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정시트" sheetId="1" r:id="rId4"/>
    <sheet state="visible" name="연간시트" sheetId="2" r:id="rId5"/>
    <sheet state="visible" name="자산관리" sheetId="3" r:id="rId6"/>
    <sheet state="visible" name="연말정산" sheetId="4" r:id="rId7"/>
    <sheet state="visible" name="1월" sheetId="5" r:id="rId8"/>
    <sheet state="visible" name="2월" sheetId="6" r:id="rId9"/>
    <sheet state="visible" name="3월" sheetId="7" r:id="rId10"/>
    <sheet state="visible" name="4월" sheetId="8" r:id="rId11"/>
    <sheet state="visible" name="5월" sheetId="9" r:id="rId12"/>
    <sheet state="visible" name="6월" sheetId="10" r:id="rId13"/>
    <sheet state="visible" name="7월" sheetId="11" r:id="rId14"/>
    <sheet state="visible" name="8월" sheetId="12" r:id="rId15"/>
    <sheet state="visible" name="9월" sheetId="13" r:id="rId16"/>
    <sheet state="visible" name="10월" sheetId="14" r:id="rId17"/>
    <sheet state="visible" name="11월" sheetId="15" r:id="rId18"/>
    <sheet state="visible" name="12월" sheetId="16" r:id="rId19"/>
    <sheet state="visible" name="쿠앤크" sheetId="17" r:id="rId20"/>
  </sheets>
  <definedNames>
    <definedName name="대분류">'설정시트'!$C$7:$C$20</definedName>
    <definedName name="결제수단">'설정시트'!$D$23:$J$23</definedName>
    <definedName hidden="1" localSheetId="4" name="Z_48029EEC_043B_4596_BD82_4885B5601D90_.wvu.FilterData">'1월'!$I$61:$L$500</definedName>
    <definedName hidden="1" localSheetId="5" name="Z_48029EEC_043B_4596_BD82_4885B5601D90_.wvu.FilterData">'2월'!$I$61:$L$500</definedName>
    <definedName hidden="1" localSheetId="6" name="Z_48029EEC_043B_4596_BD82_4885B5601D90_.wvu.FilterData">'3월'!$I$61:$L$500</definedName>
    <definedName hidden="1" localSheetId="7" name="Z_48029EEC_043B_4596_BD82_4885B5601D90_.wvu.FilterData">'4월'!$I$61:$L$499</definedName>
    <definedName hidden="1" localSheetId="8" name="Z_48029EEC_043B_4596_BD82_4885B5601D90_.wvu.FilterData">'5월'!$I$61:$L$501</definedName>
    <definedName hidden="1" localSheetId="9" name="Z_48029EEC_043B_4596_BD82_4885B5601D90_.wvu.FilterData">'6월'!$I$61:$L$500</definedName>
    <definedName hidden="1" localSheetId="10" name="Z_48029EEC_043B_4596_BD82_4885B5601D90_.wvu.FilterData">'7월'!$I$61:$L$500</definedName>
    <definedName hidden="1" localSheetId="11" name="Z_48029EEC_043B_4596_BD82_4885B5601D90_.wvu.FilterData">'8월'!$I$61:$L$500</definedName>
    <definedName hidden="1" localSheetId="12" name="Z_48029EEC_043B_4596_BD82_4885B5601D90_.wvu.FilterData">'9월'!$I$61:$L$500</definedName>
    <definedName hidden="1" localSheetId="13" name="Z_48029EEC_043B_4596_BD82_4885B5601D90_.wvu.FilterData">'10월'!$I$61:$L$500</definedName>
    <definedName hidden="1" localSheetId="14" name="Z_48029EEC_043B_4596_BD82_4885B5601D90_.wvu.FilterData">'11월'!$I$61:$L$500</definedName>
    <definedName hidden="1" localSheetId="15" name="Z_48029EEC_043B_4596_BD82_4885B5601D90_.wvu.FilterData">'12월'!$I$61:$L$500</definedName>
    <definedName hidden="1" localSheetId="4" name="Z_1306F103_82DB_4721_A081_DFC677B29403_.wvu.FilterData">'1월'!$H$61:$J$150</definedName>
    <definedName hidden="1" localSheetId="5" name="Z_1306F103_82DB_4721_A081_DFC677B29403_.wvu.FilterData">'2월'!$H$61:$J$179</definedName>
    <definedName hidden="1" localSheetId="6" name="Z_1306F103_82DB_4721_A081_DFC677B29403_.wvu.FilterData">'3월'!$H$61:$J$150</definedName>
    <definedName hidden="1" localSheetId="7" name="Z_1306F103_82DB_4721_A081_DFC677B29403_.wvu.FilterData">'4월'!$H$61:$J$149</definedName>
    <definedName hidden="1" localSheetId="8" name="Z_1306F103_82DB_4721_A081_DFC677B29403_.wvu.FilterData">'5월'!$H$61:$J$151</definedName>
    <definedName hidden="1" localSheetId="9" name="Z_1306F103_82DB_4721_A081_DFC677B29403_.wvu.FilterData">'6월'!$H$61:$J$164</definedName>
    <definedName hidden="1" localSheetId="10" name="Z_1306F103_82DB_4721_A081_DFC677B29403_.wvu.FilterData">'7월'!$H$61:$J$150</definedName>
    <definedName hidden="1" localSheetId="11" name="Z_1306F103_82DB_4721_A081_DFC677B29403_.wvu.FilterData">'8월'!$H$61:$J$150</definedName>
    <definedName hidden="1" localSheetId="12" name="Z_1306F103_82DB_4721_A081_DFC677B29403_.wvu.FilterData">'9월'!$H$61:$J$150</definedName>
    <definedName hidden="1" localSheetId="13" name="Z_1306F103_82DB_4721_A081_DFC677B29403_.wvu.FilterData">'10월'!$H$61:$J$153</definedName>
    <definedName hidden="1" localSheetId="14" name="Z_1306F103_82DB_4721_A081_DFC677B29403_.wvu.FilterData">'11월'!$H$61:$J$156</definedName>
    <definedName hidden="1" localSheetId="15" name="Z_1306F103_82DB_4721_A081_DFC677B29403_.wvu.FilterData">'12월'!$H$61:$J$150</definedName>
  </definedNames>
  <calcPr/>
  <customWorkbookViews>
    <customWorkbookView activeSheetId="0" maximized="1" windowHeight="0" windowWidth="0" guid="{48029EEC-043B-4596-BD82-4885B5601D90}" name="필터 3"/>
    <customWorkbookView activeSheetId="0" maximized="1" windowHeight="0" windowWidth="0" guid="{1306F103-82DB-4721-A081-DFC677B29403}" name="필터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8">
      <text>
        <t xml:space="preserve">한화손해보험 1주
뉴스케일 파워 6주
리졸브 AI 137주
실SQ 628주</t>
      </text>
    </comment>
    <comment authorId="0" ref="I38">
      <text>
        <t xml:space="preserve">한화손해보험 1주
뉴스케일 파워 6주
리졸브 AI 137주
실SQ 628주</t>
      </text>
    </comment>
    <comment authorId="0" ref="H39">
      <text>
        <t xml:space="preserve">KODEX 은행 2주
TIGER 은행 26주
TIGER 필라델피아반도체 20주
TIGER 미국 S&amp;P500 125주
TIGER 200 에너지화학 231주
KODEX 에너지화학 242주
TIGER Fn 메타버스 26주</t>
      </text>
    </comment>
    <comment authorId="0" ref="I39">
      <text>
        <t xml:space="preserve">KODEX 은행 2주
TIGER 은행 26주
TIGER 필라델피아반도체 20주
TIGER 미국 S&amp;P500 125주
TIGER 200 에너지화학 231주
KODEX 에너지화학 242주
TIGER Fn 메타버스 26주</t>
      </text>
    </comment>
    <comment authorId="0" ref="H40">
      <text>
        <t xml:space="preserve">현금 100%
</t>
      </text>
    </comment>
    <comment authorId="0" ref="I40">
      <text>
        <t xml:space="preserve">현금 100%
</t>
      </text>
    </comment>
    <comment authorId="0" ref="J40">
      <text>
        <t xml:space="preserve">6/19 한투 이전</t>
      </text>
    </comment>
    <comment authorId="0" ref="H41">
      <text>
        <t xml:space="preserve">SBI저축은행 정기예금(1년) 개인IRP형 2,075,608 (원리금보장형)
TIGER K방산&amp;우주 1주
TIGER 미국필라델피아반도체 225주
TIGER 미국S&amp;P500 88주</t>
      </text>
    </comment>
    <comment authorId="0" ref="I41">
      <text>
        <t xml:space="preserve">SBI저축은행 정기예금(1년) 개인IRP형 2,075,608 (원리금보장형)
TIGER K방산&amp;우주 1주
TIGER 미국필라델피아반도체 225주
TIGER 미국S&amp;P500 88주</t>
      </text>
    </comment>
    <comment authorId="0" ref="H42">
      <text>
        <t xml:space="preserve">한화손해보험 28주
하나금융지주 1주
</t>
      </text>
    </comment>
    <comment authorId="0" ref="I42">
      <text>
        <t xml:space="preserve">한화손해보험 28주
하나금융지주 1주
</t>
      </text>
    </comment>
    <comment authorId="0" ref="F53">
      <text>
        <t xml:space="preserve">차량구매
</t>
      </text>
    </comment>
    <comment authorId="0" ref="G53">
      <text>
        <t xml:space="preserve">보민 간이대지급금 받음
</t>
      </text>
    </comment>
    <comment authorId="0" ref="M54">
      <text>
        <t xml:space="preserve">산후조리원 온누리사느라 현금 소진 ㅠㅠㅠㅠ
</t>
      </text>
    </comment>
  </commentList>
</comments>
</file>

<file path=xl/sharedStrings.xml><?xml version="1.0" encoding="utf-8"?>
<sst xmlns="http://schemas.openxmlformats.org/spreadsheetml/2006/main" count="6259" uniqueCount="1030">
  <si>
    <t>연도</t>
  </si>
  <si>
    <t>대분류</t>
  </si>
  <si>
    <t>소분류</t>
  </si>
  <si>
    <t>수입</t>
  </si>
  <si>
    <t>🍪 월급</t>
  </si>
  <si>
    <t>🍪 부수입</t>
  </si>
  <si>
    <t>🐻 월급</t>
  </si>
  <si>
    <t>🐻 부수입</t>
  </si>
  <si>
    <t>기타</t>
  </si>
  <si>
    <t>저축</t>
  </si>
  <si>
    <t>주택청약</t>
  </si>
  <si>
    <t>우리은행</t>
  </si>
  <si>
    <t>케이뱅크</t>
  </si>
  <si>
    <t>연금저축</t>
  </si>
  <si>
    <t>🍪고정비</t>
  </si>
  <si>
    <t>관리비</t>
  </si>
  <si>
    <t>월세</t>
  </si>
  <si>
    <t>대출이자</t>
  </si>
  <si>
    <t>통신비</t>
  </si>
  <si>
    <t>보험료</t>
  </si>
  <si>
    <t>곗돈</t>
  </si>
  <si>
    <t>🐻고정비</t>
  </si>
  <si>
    <t>🍪생필품</t>
  </si>
  <si>
    <t>주방/욕실</t>
  </si>
  <si>
    <t>소모품</t>
  </si>
  <si>
    <t>🐻생필품</t>
  </si>
  <si>
    <t>🍪식비</t>
  </si>
  <si>
    <t>식재료비</t>
  </si>
  <si>
    <t>회사점심</t>
  </si>
  <si>
    <t>간식/카페</t>
  </si>
  <si>
    <t>외식/배달</t>
  </si>
  <si>
    <t>🐻식비</t>
  </si>
  <si>
    <t>🍪여가비</t>
  </si>
  <si>
    <t>의류/잡화</t>
  </si>
  <si>
    <t>OTT</t>
  </si>
  <si>
    <t>문화생활</t>
  </si>
  <si>
    <t>자기계발</t>
  </si>
  <si>
    <t>미용</t>
  </si>
  <si>
    <t>🐻여가비</t>
  </si>
  <si>
    <t>🍪기타</t>
  </si>
  <si>
    <t>약국</t>
  </si>
  <si>
    <t>병원비</t>
  </si>
  <si>
    <t>영양제</t>
  </si>
  <si>
    <t>교통비</t>
  </si>
  <si>
    <t>주유비</t>
  </si>
  <si>
    <t>🐻기타</t>
  </si>
  <si>
    <t>🍪이벤트성</t>
  </si>
  <si>
    <t>축의/부의금</t>
  </si>
  <si>
    <t>생신/생일선물</t>
  </si>
  <si>
    <t>명절/어버이날</t>
  </si>
  <si>
    <t>여행</t>
  </si>
  <si>
    <t>출산</t>
  </si>
  <si>
    <t>🐻 이벤트성</t>
  </si>
  <si>
    <t>결제수단</t>
  </si>
  <si>
    <t>🍪체크카드(현영)</t>
  </si>
  <si>
    <t>🍪현금/이체</t>
  </si>
  <si>
    <t>🍪전통시장(제로페이)</t>
  </si>
  <si>
    <t>🍪현대카드</t>
  </si>
  <si>
    <t>🍪국민카드</t>
  </si>
  <si>
    <t>🍪기업카드</t>
  </si>
  <si>
    <t>🍪하나카드</t>
  </si>
  <si>
    <t>🐻체크카드(현영)</t>
  </si>
  <si>
    <t>🐻현금/이체</t>
  </si>
  <si>
    <t>🐻전통시장(제로페이)</t>
  </si>
  <si>
    <t>🐻하나카드</t>
  </si>
  <si>
    <t>🐻현백카드</t>
  </si>
  <si>
    <t>🐻국민카드</t>
  </si>
  <si>
    <t>저축/현금</t>
  </si>
  <si>
    <t>지출</t>
  </si>
  <si>
    <t>합계</t>
  </si>
  <si>
    <t>저축률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</si>
  <si>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</si>
  <si>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</si>
  <si>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</si>
  <si>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</si>
  <si>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</si>
  <si>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</si>
  <si>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</si>
  <si>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</si>
  <si>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</si>
  <si>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</si>
  <si>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</si>
  <si>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</si>
  <si>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평균</t>
  </si>
  <si>
    <t>작성여부</t>
  </si>
  <si>
    <t>계</t>
  </si>
  <si>
    <t>총잉여현금</t>
  </si>
  <si>
    <t>부채</t>
  </si>
  <si>
    <t>전세대출</t>
  </si>
  <si>
    <t>부채 합계</t>
  </si>
  <si>
    <t>비유동자산</t>
  </si>
  <si>
    <t>-</t>
  </si>
  <si>
    <t>SK뷰-전세보증금</t>
  </si>
  <si>
    <t>🐻주택청약</t>
  </si>
  <si>
    <t>🍪주택청약</t>
  </si>
  <si>
    <t>비유동자산 합계</t>
  </si>
  <si>
    <t>유동자산
(투자)</t>
  </si>
  <si>
    <t>🐻주식</t>
  </si>
  <si>
    <t>🐻연금저축 한투</t>
  </si>
  <si>
    <t>🐻연금저축 KB</t>
  </si>
  <si>
    <t>🐻퇴직연금</t>
  </si>
  <si>
    <t>🐻ISA</t>
  </si>
  <si>
    <t>🍪주식</t>
  </si>
  <si>
    <t>🍪연금저축</t>
  </si>
  <si>
    <t>유동자산(투자) 합계</t>
  </si>
  <si>
    <t>🐻우리은행적금</t>
  </si>
  <si>
    <t>🐻K뱅크-예금</t>
  </si>
  <si>
    <t>0-</t>
  </si>
  <si>
    <t>🐻K뱅크-생활통장</t>
  </si>
  <si>
    <t>🐻K뱅크-파킹</t>
  </si>
  <si>
    <t>🍪우리은행적금</t>
  </si>
  <si>
    <t>🍪K뱅크-예금</t>
  </si>
  <si>
    <t>🍪K뱅크-생활통장</t>
  </si>
  <si>
    <t>🍪K뱅크-파킹</t>
  </si>
  <si>
    <t>유동자산(현금) 합계</t>
  </si>
  <si>
    <t>순자산</t>
  </si>
  <si>
    <t>증감액</t>
  </si>
  <si>
    <t>주식칸도 만들어봄♥</t>
  </si>
  <si>
    <t>총액</t>
  </si>
  <si>
    <t>간이대지급금</t>
  </si>
  <si>
    <t>미정산</t>
  </si>
  <si>
    <t>퇴직금
임금체불(3개월)</t>
  </si>
  <si>
    <t>정산</t>
  </si>
  <si>
    <t>조현철</t>
  </si>
  <si>
    <t>월</t>
  </si>
  <si>
    <t>체크카드(현금영수증)</t>
  </si>
  <si>
    <t>전통시장(제로페이)</t>
  </si>
  <si>
    <t>신용카드</t>
  </si>
  <si>
    <t>금액</t>
  </si>
  <si>
    <t>S</t>
  </si>
  <si>
    <t>M</t>
  </si>
  <si>
    <t>T</t>
  </si>
  <si>
    <t>W</t>
  </si>
  <si>
    <t>F</t>
  </si>
  <si>
    <t>누적</t>
  </si>
  <si>
    <t>항목</t>
  </si>
  <si>
    <t>총수입</t>
  </si>
  <si>
    <t>총지출</t>
  </si>
  <si>
    <t>총저축</t>
  </si>
  <si>
    <t>이벤트</t>
  </si>
  <si>
    <t>잉여현금</t>
  </si>
  <si>
    <t>총저축률</t>
  </si>
  <si>
    <t>현금저축률</t>
  </si>
  <si>
    <t>목표</t>
  </si>
  <si>
    <t>예산</t>
  </si>
  <si>
    <t>지출예산</t>
  </si>
  <si>
    <t>날짜</t>
  </si>
  <si>
    <t>세부사항</t>
  </si>
  <si>
    <t>비고</t>
  </si>
  <si>
    <t>잔여예산</t>
  </si>
  <si>
    <t>12월 교통비</t>
  </si>
  <si>
    <t>쿠팡</t>
  </si>
  <si>
    <t>쿠팡이츠-페리카나</t>
  </si>
  <si>
    <t>방송국 동기</t>
  </si>
  <si>
    <t>명동왕돈까스 - 돈까스</t>
  </si>
  <si>
    <t xml:space="preserve">호경수석님 생일선물 </t>
  </si>
  <si>
    <t>모닝토스트(호경혜미)</t>
  </si>
  <si>
    <t>루나여성의원 초음파</t>
  </si>
  <si>
    <t>정육점 앞다리살 300</t>
  </si>
  <si>
    <t>밀밀밀</t>
  </si>
  <si>
    <t>전복 - 주르미네</t>
  </si>
  <si>
    <t>쿠팡이츠-자담치킨</t>
  </si>
  <si>
    <t>팀장생일</t>
  </si>
  <si>
    <t>속눈썹</t>
  </si>
  <si>
    <t>쿠팡이츠-족보세트</t>
  </si>
  <si>
    <t>생선구이</t>
  </si>
  <si>
    <t>당근-쿠에른발레리나슈즈</t>
  </si>
  <si>
    <t>농활상품권</t>
  </si>
  <si>
    <t>루나여성의원 초음파 재검</t>
  </si>
  <si>
    <t>당근 반택</t>
  </si>
  <si>
    <t>볶음밥 + 군만두</t>
  </si>
  <si>
    <t>🐻체크카드(현금영수증)</t>
  </si>
  <si>
    <t>Apple Cloud</t>
  </si>
  <si>
    <t>점심- 치폴레샐러드</t>
  </si>
  <si>
    <t>희연수석님 10900받음</t>
  </si>
  <si>
    <t>전설의왕만두</t>
  </si>
  <si>
    <t>컬리-루꼴라,잠봉햄,땅콩쨈,피스피스2조각</t>
  </si>
  <si>
    <t>뼈해장국</t>
  </si>
  <si>
    <t>혜지 12500 받음</t>
  </si>
  <si>
    <t>젤네일</t>
  </si>
  <si>
    <t>딜라잇 가디건</t>
  </si>
  <si>
    <t>제육백반</t>
  </si>
  <si>
    <t>G마켓 - 키친타월, 휴지</t>
  </si>
  <si>
    <t>쿠팡 키친타올 2개</t>
  </si>
  <si>
    <t>인터넷티비 요금</t>
  </si>
  <si>
    <t xml:space="preserve">통신비 (할인, 25,000) </t>
  </si>
  <si>
    <t>여수 가족 곗돈</t>
  </si>
  <si>
    <t>통신비 (할인예정)</t>
  </si>
  <si>
    <t>다음달부터 약정할인 25%(1년)</t>
  </si>
  <si>
    <t>파이브가이즈</t>
  </si>
  <si>
    <t>보라 파데 비용</t>
  </si>
  <si>
    <t>온누리상품권 100만원</t>
  </si>
  <si>
    <t>루나여성의원-배란초음파</t>
  </si>
  <si>
    <t>쿠팡 - 사과, 알룰로스</t>
  </si>
  <si>
    <t>콘타이</t>
  </si>
  <si>
    <t>유니클로 내복 2개</t>
  </si>
  <si>
    <t>올리브영 퍼프 브러쉬</t>
  </si>
  <si>
    <t>페리카나</t>
  </si>
  <si>
    <t>부천 - 자담치킨</t>
  </si>
  <si>
    <t>엄마 이사 용돈</t>
  </si>
  <si>
    <t>병주 축의금</t>
  </si>
  <si>
    <t>휴게소 - 찹쌀도너츠, 커피</t>
  </si>
  <si>
    <t>뚝배기불고기</t>
  </si>
  <si>
    <t>마라샹궈</t>
  </si>
  <si>
    <t>_x0008_</t>
  </si>
  <si>
    <t>스틸브로 - 철거</t>
  </si>
  <si>
    <t>쓰레기봉투 75L * 4</t>
  </si>
  <si>
    <t>비타500 이사</t>
  </si>
  <si>
    <t>삼성 이전설치비 워시타워</t>
  </si>
  <si>
    <t>스틸브로 무타공 이전설치비</t>
  </si>
  <si>
    <t>이사 복비</t>
  </si>
  <si>
    <t>성우 냉장고 식세기</t>
  </si>
  <si>
    <t>아이파크 전세입자 관리비 정산</t>
  </si>
  <si>
    <t>아트포레 관리비- 장충금 정산</t>
  </si>
  <si>
    <t>중국집 탕수육 짬뽕 짜장</t>
  </si>
  <si>
    <t>쿠팡 주문</t>
  </si>
  <si>
    <t>가스관리비 - 이사(잔금)</t>
  </si>
  <si>
    <t>청소 - 이사(잔금)</t>
  </si>
  <si>
    <t>유일익스프레스 - 이사(잔금)</t>
  </si>
  <si>
    <t>당근 연작프라이머</t>
  </si>
  <si>
    <t>쿠팡-주방쓰레기통</t>
  </si>
  <si>
    <t>쿠팡-도어스토퍼</t>
  </si>
  <si>
    <t>쿠팡-세탁기도어클립</t>
  </si>
  <si>
    <t>웜그레이테일</t>
  </si>
  <si>
    <t>쿠팡-주방휴지통</t>
  </si>
  <si>
    <t>환불중</t>
  </si>
  <si>
    <t>KOSA 소프트웨어경력 신청</t>
  </si>
  <si>
    <t>닭볶음탕</t>
  </si>
  <si>
    <t>큰집촌돼지 - 김치찌개</t>
  </si>
  <si>
    <t>다이소</t>
  </si>
  <si>
    <t>코스트코</t>
  </si>
  <si>
    <t>미용실 예약비용</t>
  </si>
  <si>
    <t>이케아</t>
  </si>
  <si>
    <t>당근-구찌신발 목걸이</t>
  </si>
  <si>
    <t>당근-밀짚모자</t>
  </si>
  <si>
    <t>쿠팡-수세미거치대</t>
  </si>
  <si>
    <t>쿠팡-커튼 압축봉</t>
  </si>
  <si>
    <t>오늘의집 / 러그, 블라인드</t>
  </si>
  <si>
    <t>쿠팡-접이식 빨래건조대</t>
  </si>
  <si>
    <t>당근-출입문러그</t>
  </si>
  <si>
    <t>명절선물 / 누룽지밥솥(굿밥)</t>
  </si>
  <si>
    <t>24년 12월 급여</t>
  </si>
  <si>
    <t>봄 - 케이뱅크 이체</t>
  </si>
  <si>
    <t>당근-유리병</t>
  </si>
  <si>
    <t>당근-하부장슬라이드서랍장</t>
  </si>
  <si>
    <t>세기커튼 수선비</t>
  </si>
  <si>
    <t xml:space="preserve">퀵비 </t>
  </si>
  <si>
    <t>사과2 감자 루꼴라 양배추 스낵면 딸기쨈</t>
  </si>
  <si>
    <t xml:space="preserve">리코너 커트 33남음 </t>
  </si>
  <si>
    <t>삼성역 - 파리바게트</t>
  </si>
  <si>
    <t>보승회관 - 감자탕</t>
  </si>
  <si>
    <t>오늘의집 러그 반품비용</t>
  </si>
  <si>
    <t>이왕수팀장님 부의</t>
  </si>
  <si>
    <t>월급</t>
  </si>
  <si>
    <t>연금저축 - 쿸</t>
  </si>
  <si>
    <t>전세대출 이자</t>
  </si>
  <si>
    <t xml:space="preserve">사워도우2 샌드위치 커피 </t>
  </si>
  <si>
    <t>알파문구 양면테이프</t>
  </si>
  <si>
    <t>쿠팡이츠 페리카나</t>
  </si>
  <si>
    <t xml:space="preserve">파랑베이커리 모닝빵 </t>
  </si>
  <si>
    <t>쿠팡 바디워시2</t>
  </si>
  <si>
    <t>전설의왕만두 - 전골만두</t>
  </si>
  <si>
    <t>인정병원</t>
  </si>
  <si>
    <t>배민 용무</t>
  </si>
  <si>
    <t>쿠팡 현관스토퍼</t>
  </si>
  <si>
    <t>현관매트2개 포스터3개</t>
  </si>
  <si>
    <t>망원시장 - 딸기</t>
  </si>
  <si>
    <t>우이락</t>
  </si>
  <si>
    <t>망원고로케</t>
  </si>
  <si>
    <t>톨보네야채 - 귤</t>
  </si>
  <si>
    <t>설날 용돈</t>
  </si>
  <si>
    <t>농활 상품권-정육점 앞다리 대패삼겹살</t>
  </si>
  <si>
    <t>인정병원 - 응급진료(초음파, 피검사)</t>
  </si>
  <si>
    <t>쿠팡 가글2</t>
  </si>
  <si>
    <t>코스트코-미림 참기름 깨소금 물</t>
  </si>
  <si>
    <t>이삭토스트</t>
  </si>
  <si>
    <t>대학동기 곗돈</t>
  </si>
  <si>
    <t>연금저축 - 봄</t>
  </si>
  <si>
    <t>쿠팡 와우멤버쉽</t>
  </si>
  <si>
    <t>_x0008_영화-소방관</t>
  </si>
  <si>
    <t>유튜브</t>
  </si>
  <si>
    <t>편의점</t>
  </si>
  <si>
    <t>우체국보험</t>
  </si>
  <si>
    <t>차량구매</t>
  </si>
  <si>
    <t>강릉여행</t>
  </si>
  <si>
    <t>쿠팡-스리라차, 오일병, 양념통, 계란트레이, 립밤*4</t>
  </si>
  <si>
    <t>53220 환불예정</t>
  </si>
  <si>
    <t>무지티 6장</t>
  </si>
  <si>
    <t>인정병원 초음파</t>
  </si>
  <si>
    <t>브라운 체온계</t>
  </si>
  <si>
    <t xml:space="preserve">지마켓 - 시계 배송비 </t>
  </si>
  <si>
    <t>환불예정</t>
  </si>
  <si>
    <t>교촌치킨</t>
  </si>
  <si>
    <t>쿠팡-오일병 재주문</t>
  </si>
  <si>
    <t>한화손해보험</t>
  </si>
  <si>
    <t>바나프레소 - 커피</t>
  </si>
  <si>
    <t>GV70 차량구입비 (18,558 이자)</t>
  </si>
  <si>
    <t>연말정산 가능?</t>
  </si>
  <si>
    <t>돈코츠 라멘</t>
  </si>
  <si>
    <t>칫솔, 치약</t>
  </si>
  <si>
    <t>DB 손해보험</t>
  </si>
  <si>
    <t>60230원 반환</t>
  </si>
  <si>
    <t>쿠팡이츠 - 마녀김밥</t>
  </si>
  <si>
    <t>쿠팡 - 땅콩버터, 양파, 마늘, 당근, 맛소금</t>
  </si>
  <si>
    <t>KTX 용산/여수</t>
  </si>
  <si>
    <t>24년 12월 관리비</t>
  </si>
  <si>
    <t>DB 손보 반환 (블랙박스,어라운드 특약)</t>
  </si>
  <si>
    <t>백소정 - 메밀소바 + 돈까스</t>
  </si>
  <si>
    <t>?</t>
  </si>
  <si>
    <t xml:space="preserve">다이소 </t>
  </si>
  <si>
    <t>애플 클라우드</t>
  </si>
  <si>
    <t>쿠팡이츠 샹궈</t>
  </si>
  <si>
    <t>당근-재활용비닐</t>
  </si>
  <si>
    <t>DB 손보 반환 (경력인정)</t>
  </si>
  <si>
    <t>1월 월세</t>
  </si>
  <si>
    <t>KTX 여수/용산</t>
  </si>
  <si>
    <t>용산역 빵 선물</t>
  </si>
  <si>
    <t xml:space="preserve">오토클릭 서비스 (대행) </t>
  </si>
  <si>
    <t>취등록세, 공채(매도), 등록면허세, 중지대, 인지세</t>
  </si>
  <si>
    <t>핸드폰 요금(할인 예정)</t>
  </si>
  <si>
    <t>메가커피</t>
  </si>
  <si>
    <t>인감증명서 2통</t>
  </si>
  <si>
    <t>여수 곗돈</t>
  </si>
  <si>
    <t>핸드폰 요금 (회사 할인예정)</t>
  </si>
  <si>
    <t>엘지유플-인터넷요금 + 이전설치비</t>
  </si>
  <si>
    <t>당근-라벨지</t>
  </si>
  <si>
    <t xml:space="preserve">쿠팡이츠 샐러드 </t>
  </si>
  <si>
    <t>30000원 받음</t>
  </si>
  <si>
    <t>수산대전 환불</t>
  </si>
  <si>
    <t>오토클릭서비스 대행 반환</t>
  </si>
  <si>
    <t>붕어빵</t>
  </si>
  <si>
    <t>서울사랑상품권 20만원, 두루미 마사지</t>
  </si>
  <si>
    <t>옥토끼</t>
  </si>
  <si>
    <t>타코</t>
  </si>
  <si>
    <t>쿠팡 엽산</t>
  </si>
  <si>
    <t>이비인후과</t>
  </si>
  <si>
    <t>알레르기 약</t>
  </si>
  <si>
    <t>윈코 에어몬스터 터보</t>
  </si>
  <si>
    <t>쿠팡이츠 꿔바로우</t>
  </si>
  <si>
    <t>제주도그릴</t>
  </si>
  <si>
    <t>쿠팡이츠 닭볶음탕</t>
  </si>
  <si>
    <t>광명동굴 주차장</t>
  </si>
  <si>
    <t>쿠팡이츠 샐러드</t>
  </si>
  <si>
    <t>9900받음</t>
  </si>
  <si>
    <t>쿠팡이츠</t>
  </si>
  <si>
    <t>점심-샐러드 주문</t>
  </si>
  <si>
    <t>현대백화점 - 할부 마지막</t>
  </si>
  <si>
    <t>9900 받음</t>
  </si>
  <si>
    <t>컬리 - 단호박스프, 땅콩쨈, 페퍼론치노</t>
  </si>
  <si>
    <t>조선호텔김치 8kg</t>
  </si>
  <si>
    <t>29cm - 자주 그릇</t>
  </si>
  <si>
    <t>가스비</t>
  </si>
  <si>
    <t xml:space="preserve">코스트코 - 후무스, 크래커, 물, 와인(유미), 치즈(정은), 오르조, 시즈닝, 껌, 계란, 오트우유 </t>
  </si>
  <si>
    <t>카페?</t>
  </si>
  <si>
    <t xml:space="preserve">쿠팡이츠 - 샐러드 </t>
  </si>
  <si>
    <t>22000원 받음</t>
  </si>
  <si>
    <t>닭가슴살 * 20</t>
  </si>
  <si>
    <t>커피 여과지, 필터</t>
  </si>
  <si>
    <t>쿠팡이츠 - 미미롤</t>
  </si>
  <si>
    <t xml:space="preserve">20000원 받음 </t>
  </si>
  <si>
    <t>아파트 관리비 1월분</t>
  </si>
  <si>
    <t>쿠팡이츠 - 소문난간이횟집</t>
  </si>
  <si>
    <t>우지커피 딥라떼</t>
  </si>
  <si>
    <t>연말정산 환급액</t>
  </si>
  <si>
    <t>고향옥</t>
  </si>
  <si>
    <t>대출세금인가?</t>
  </si>
  <si>
    <t>압구정공주떡 1호 2개</t>
  </si>
  <si>
    <t>안다르 - 바지</t>
  </si>
  <si>
    <t>현대백화점 - 브롬튼(바지, 셔츠, 자켓)</t>
  </si>
  <si>
    <t>당근 - 음료 디스펜서</t>
  </si>
  <si>
    <t>다이소 - 수납</t>
  </si>
  <si>
    <t>한식백반</t>
  </si>
  <si>
    <t>어묵, 물떡</t>
  </si>
  <si>
    <t>대출</t>
  </si>
  <si>
    <t>주유</t>
  </si>
  <si>
    <t>스타벅스</t>
  </si>
  <si>
    <t>옥션 / 물티슈</t>
  </si>
  <si>
    <t>한솥도시락</t>
  </si>
  <si>
    <t>강릉 / 중앙시장제1공영주차장</t>
  </si>
  <si>
    <t>유튜브 프리미엄</t>
  </si>
  <si>
    <t>강릉 / 동해일미 - 게장</t>
  </si>
  <si>
    <t>강릉 / 동해일미 - 주차비</t>
  </si>
  <si>
    <t>강릉 / 강릉사임당오징어순대</t>
  </si>
  <si>
    <t>강릉 / 서울양계</t>
  </si>
  <si>
    <t>강릉 / 세인트존스 - 세븐일레븐</t>
  </si>
  <si>
    <t>실업급여 8일분 ( ~2/26)</t>
  </si>
  <si>
    <t>강릉 / GS25 - 얼음</t>
  </si>
  <si>
    <t>강릉 / 교동빵집</t>
  </si>
  <si>
    <t>강릉 / 경보배오징어 - 쥐포</t>
  </si>
  <si>
    <t>강릉 / 감미반찬 - 오징어젓갈, 명란젓갈</t>
  </si>
  <si>
    <t>휴게소</t>
  </si>
  <si>
    <t>배다리문화원</t>
  </si>
  <si>
    <t>_x0008_강릉 숙소 예약 세인트존스 1박</t>
  </si>
  <si>
    <t>점심 샹궈 (혜지,혜경숵님)</t>
  </si>
  <si>
    <t>22000원받음</t>
  </si>
  <si>
    <t>밧드야 - 음쓰통</t>
  </si>
  <si>
    <t>딤딤섬</t>
  </si>
  <si>
    <t>_x0008_교통비</t>
  </si>
  <si>
    <t>강름 짬뽕순두부</t>
  </si>
  <si>
    <t>오징어순대</t>
  </si>
  <si>
    <t>편의점 물</t>
  </si>
  <si>
    <t xml:space="preserve">당근 - _x0008_리핑페어 </t>
  </si>
  <si>
    <t>당근 - 시계</t>
  </si>
  <si>
    <t>농활상품권 환불</t>
  </si>
  <si>
    <t>건강보험료(지역가입자, 2월)</t>
  </si>
  <si>
    <t>형부떡볶이</t>
  </si>
  <si>
    <t>다이소 - 봉투</t>
  </si>
  <si>
    <t>코스트코 - 베이글, 떡볶이</t>
  </si>
  <si>
    <t>지하철 버스</t>
  </si>
  <si>
    <t xml:space="preserve">쿠팡이츠 - 닭도리탕			</t>
  </si>
  <si>
    <t>쿠팡 - 섬유유연제</t>
  </si>
  <si>
    <t>곗돈에서 받음</t>
  </si>
  <si>
    <t>실내자전거</t>
  </si>
  <si>
    <t>족발(보선), 피자(여수) 음식값</t>
  </si>
  <si>
    <t>여수 - 피자</t>
  </si>
  <si>
    <t>쿠팡이츠 - 족발(보선보민)</t>
  </si>
  <si>
    <t>카카오페이 ???</t>
  </si>
  <si>
    <t>당근 무료나눔 주차비</t>
  </si>
  <si>
    <t>쿠팡이츠 - 교촌 허니콤보</t>
  </si>
  <si>
    <t>방송국 동기 곗돈</t>
  </si>
  <si>
    <t>밀대2, 면도기거치대, 세제용기</t>
  </si>
  <si>
    <t>아트월고정핀</t>
  </si>
  <si>
    <t>쿠팡 - 스텐 접착식 고리</t>
  </si>
  <si>
    <t>커피</t>
  </si>
  <si>
    <t>강릉(2월) - 하이패스</t>
  </si>
  <si>
    <t>_x0008_전동거품기2(혜지생일선물), 피지제거기</t>
  </si>
  <si>
    <t>큐어코드 수분크림2개</t>
  </si>
  <si>
    <t>농할상품권 환불</t>
  </si>
  <si>
    <t>_x0008_쿠팡 - 스낵면, 감자, 양배추, 깻잎, 파, 다담, 사과, 당근, 비트</t>
  </si>
  <si>
    <t>당근 - 앞치마</t>
  </si>
  <si>
    <t>실업급여</t>
  </si>
  <si>
    <t>애플클라우드</t>
  </si>
  <si>
    <t>연남동 - 가람돈까스</t>
  </si>
  <si>
    <t>편의점 - 하리보 2+2</t>
  </si>
  <si>
    <t>랜디스 도넛</t>
  </si>
  <si>
    <t>마늘빵</t>
  </si>
  <si>
    <t>쿠팡이츠 -샹궈</t>
  </si>
  <si>
    <t>변기세정제 리필</t>
  </si>
  <si>
    <t>엄마 고기주문 용돈</t>
  </si>
  <si>
    <t>오늘의정육점 - 소고기</t>
  </si>
  <si>
    <t xml:space="preserve"> 인터넷티비요금</t>
  </si>
  <si>
    <t>쿠팡 - 소파테이블</t>
  </si>
  <si>
    <t>점심-육개장칼국수</t>
  </si>
  <si>
    <t>실적에 따른 환불예정</t>
  </si>
  <si>
    <t>회사 지원금 받으면 0</t>
  </si>
  <si>
    <t>딜라잇 - 준지셔츠, 시스템반팔티</t>
  </si>
  <si>
    <t>쿠팡이츠-배달삼겹살 실패대실패</t>
  </si>
  <si>
    <t>쿠팡 - 딸기쨈</t>
  </si>
  <si>
    <t>갈빗살, 업진살, 등심, 오겹살</t>
  </si>
  <si>
    <t>금화왕돈까스</t>
  </si>
  <si>
    <t>쿠팡이츠 피자</t>
  </si>
  <si>
    <t>_x0008_쿠팡 -켄트칫솔</t>
  </si>
  <si>
    <t xml:space="preserve">코스트코 - 물, 국거리, 치즈, 통새우패티, 치킨너겟 </t>
  </si>
  <si>
    <t>11번가 심플리 디카페인</t>
  </si>
  <si>
    <t>온습도계</t>
  </si>
  <si>
    <t>매직랩</t>
  </si>
  <si>
    <t>점심-건밀그린*3</t>
  </si>
  <si>
    <t>은비,혜지 건밀그린값</t>
  </si>
  <si>
    <t>아이허브 - 치약, 탈모스프레이, 엽산</t>
  </si>
  <si>
    <t xml:space="preserve">월세 </t>
  </si>
  <si>
    <t>혜지 면세점 헤어에센스</t>
  </si>
  <si>
    <t>민지 헤어토닉*2 당근</t>
  </si>
  <si>
    <t>_x0008_오늘의집 -만두</t>
  </si>
  <si>
    <t>오다주따 아이스크림</t>
  </si>
  <si>
    <t>_x0008_딜라잇-블라우스</t>
  </si>
  <si>
    <t>맘모스 커피 - 2잔(+과장)</t>
  </si>
  <si>
    <t>가스비 (2월)</t>
  </si>
  <si>
    <t>권연주사원 조모상</t>
  </si>
  <si>
    <t>마스크팩 *12개입</t>
  </si>
  <si>
    <t>아파트 관리비 (2월)</t>
  </si>
  <si>
    <t>대가호떡: 붕어빵, 호떡</t>
  </si>
  <si>
    <t>크림프헤어 잔액결제</t>
  </si>
  <si>
    <t>김치도가</t>
  </si>
  <si>
    <t>모닝커피 혜지</t>
  </si>
  <si>
    <t>점심 알밥 돈까스</t>
  </si>
  <si>
    <t>_x0008_커피 은비</t>
  </si>
  <si>
    <t>급여</t>
  </si>
  <si>
    <t>안과 (시력 안구건조증 검진, 시술)</t>
  </si>
  <si>
    <t>약국 인공눈물 +소화제</t>
  </si>
  <si>
    <t>코스트코 계란</t>
  </si>
  <si>
    <t>어머니와 아들 *2 성우서현</t>
  </si>
  <si>
    <t>제주도그릴 성우서현</t>
  </si>
  <si>
    <t>우지커피</t>
  </si>
  <si>
    <t>의류커버</t>
  </si>
  <si>
    <t>칫솔</t>
  </si>
  <si>
    <t>종량제봉투 20L, 10장</t>
  </si>
  <si>
    <t>맥도날드 상하이스파이시투움바 세트</t>
  </si>
  <si>
    <t>자라 검정니트</t>
  </si>
  <si>
    <t>버섯</t>
  </si>
  <si>
    <t xml:space="preserve">전세대출 이자 </t>
  </si>
  <si>
    <t>점심 - 건밀그린 은비</t>
  </si>
  <si>
    <t>10000받음</t>
  </si>
  <si>
    <t>쭈꾸미</t>
  </si>
  <si>
    <t>양가 쭈꾸미 택배</t>
  </si>
  <si>
    <t>쿠팡 유산균</t>
  </si>
  <si>
    <t>음식물 처리기</t>
  </si>
  <si>
    <t>우체국 보험</t>
  </si>
  <si>
    <t>점심 건밀그린</t>
  </si>
  <si>
    <t>쿠팡 코숨테이프*2</t>
  </si>
  <si>
    <t>나비골농협 소고기</t>
  </si>
  <si>
    <t>라면</t>
  </si>
  <si>
    <t>쿠팡 - 사과, 당근, 비트, 달래, 감자, 무, 마요네즈</t>
  </si>
  <si>
    <t>아사이볼</t>
  </si>
  <si>
    <t>튀김</t>
  </si>
  <si>
    <t>쿠팡멤버쉽</t>
  </si>
  <si>
    <t>쿠팡이츠 - 건밀그린</t>
  </si>
  <si>
    <t>혜지 11000원받음</t>
  </si>
  <si>
    <t>오동현팀장님 부의금</t>
  </si>
  <si>
    <t>한샘 쇼파테이블 (네이버페이 결제)</t>
  </si>
  <si>
    <t>택시</t>
  </si>
  <si>
    <t>점심 후식</t>
  </si>
  <si>
    <t>세븐일레븐 - 호올스</t>
  </si>
  <si>
    <t>조찬모임 모닝토스트</t>
  </si>
  <si>
    <t>3월급여 + 1.5일 출근</t>
  </si>
  <si>
    <t>성수동 - 식당 예약금</t>
  </si>
  <si>
    <t>덴푸라 온</t>
  </si>
  <si>
    <t>쿠팡 삼양라면 매운맛 3</t>
  </si>
  <si>
    <t>루나여성의원</t>
  </si>
  <si>
    <t>바우처</t>
  </si>
  <si>
    <t>포텐자 약국</t>
  </si>
  <si>
    <t>수원 예식장 - 택시비</t>
  </si>
  <si>
    <t>수원 명섭 결혼식 축의금</t>
  </si>
  <si>
    <t>용산역 - 크림단팥빵</t>
  </si>
  <si>
    <t>쿠팡 싱크대 배수구</t>
  </si>
  <si>
    <t>보험 반환</t>
  </si>
  <si>
    <t>안과 현대카드 결제내역 반환</t>
  </si>
  <si>
    <t>안과  1회차 재결제</t>
  </si>
  <si>
    <t>안과 2회차 결제</t>
  </si>
  <si>
    <t xml:space="preserve">코스트코 - 생수, 비요뜨, 날치알, </t>
  </si>
  <si>
    <t>컬리멤버스</t>
  </si>
  <si>
    <t>컬리 - 사워도우, 청소솔</t>
  </si>
  <si>
    <t>부천 - 주차비</t>
  </si>
  <si>
    <t>빅트리 - 커피 + 케이크</t>
  </si>
  <si>
    <t>점심 커피 - 호경,혜미</t>
  </si>
  <si>
    <t>상암동 로또 복권</t>
  </si>
  <si>
    <t>점심-마이클돈까스</t>
  </si>
  <si>
    <t>프로쉬 청소용품</t>
  </si>
  <si>
    <t>아스토니쉬 청소용품</t>
  </si>
  <si>
    <t>인터넷 통신요금</t>
  </si>
  <si>
    <t>일본 비행기표(에어부산, 인천 - 나리타)</t>
  </si>
  <si>
    <t>물빛세탁 - 정장상하의, 와이셔츠</t>
  </si>
  <si>
    <t>핸드폰 요금(실적 2만원 5천원 차감)</t>
  </si>
  <si>
    <t>구욱희씨 - 케이크</t>
  </si>
  <si>
    <t>꽃</t>
  </si>
  <si>
    <t>고기요</t>
  </si>
  <si>
    <t>신구멍가게24</t>
  </si>
  <si>
    <t>성수동 - 편의점 물, 과자</t>
  </si>
  <si>
    <t>성수동 - 프롤라</t>
  </si>
  <si>
    <t>현대백화점 - 뉴발란스 신발</t>
  </si>
  <si>
    <t>다이소 - 종이봉투, 병솔</t>
  </si>
  <si>
    <t>일본 숙소 (호텔 무세 긴자 메이테츠, 4박)</t>
  </si>
  <si>
    <t>3월 가스비</t>
  </si>
  <si>
    <t>3월 아파트 관리비(필라테스: 180,000)</t>
  </si>
  <si>
    <t>크림프헤어</t>
  </si>
  <si>
    <t>추천해꼬막짬뽕</t>
  </si>
  <si>
    <t>한투 연금저축</t>
  </si>
  <si>
    <t>밀밀밀 - 소금빵2개</t>
  </si>
  <si>
    <t>노무상담</t>
  </si>
  <si>
    <t>여수 - 디카페인 아메리카노</t>
  </si>
  <si>
    <t>다이슨 선물 환급</t>
  </si>
  <si>
    <t>보험금반환</t>
  </si>
  <si>
    <t>어머님 용돈</t>
  </si>
  <si>
    <t>전세대출이자</t>
  </si>
  <si>
    <t>감량기 보조금</t>
  </si>
  <si>
    <t xml:space="preserve">미즈톡톡 </t>
  </si>
  <si>
    <t>무인양품</t>
  </si>
  <si>
    <t>팝콘</t>
  </si>
  <si>
    <t>태극당 - 호두과자 5개</t>
  </si>
  <si>
    <t>쿠팡 떡국떡 계란 당면 명란김 *3</t>
  </si>
  <si>
    <t>자주 식기</t>
  </si>
  <si>
    <t>쿠팡 고무장갑</t>
  </si>
  <si>
    <t>쿠팡 니트릴장갑</t>
  </si>
  <si>
    <t>쿠팡이츠 이병태함흥냉면</t>
  </si>
  <si>
    <t>4월 급여</t>
  </si>
  <si>
    <t>짬뽕지존 - 짬뽕</t>
  </si>
  <si>
    <t>쿠팡이츠 소문난 간이횟집</t>
  </si>
  <si>
    <t>브랜든 여행용 파우치 당근</t>
  </si>
  <si>
    <t>쿠팡 명란김 *3</t>
  </si>
  <si>
    <t>가평 - 주유소</t>
  </si>
  <si>
    <t>편의점 과자 삼각김밥 소세지</t>
  </si>
  <si>
    <t>프에프에 어머님생신 케이크</t>
  </si>
  <si>
    <t>컬리 구독</t>
  </si>
  <si>
    <t>쿠팡 바디워시 *2</t>
  </si>
  <si>
    <t>스타필드 - 핫도그, 닭강정</t>
  </si>
  <si>
    <t>스타필드 - 살로몬 신발</t>
  </si>
  <si>
    <t>보민 건밀그린 6일치</t>
  </si>
  <si>
    <t>구시완 과장, 박지혜 대리 결혼 각 5만</t>
  </si>
  <si>
    <t>어버이날 - 소고기</t>
  </si>
  <si>
    <t>여수</t>
  </si>
  <si>
    <t>어버이날 - 솥밥</t>
  </si>
  <si>
    <t>부천</t>
  </si>
  <si>
    <t>쿠팡 금화왕돈까스</t>
  </si>
  <si>
    <t>옥션 키친타올</t>
  </si>
  <si>
    <t>커피 (뽀곤)</t>
  </si>
  <si>
    <t>마포 공영주차장</t>
  </si>
  <si>
    <t>아웃백</t>
  </si>
  <si>
    <t>통신요금, 66,260(2만 5천 할인예정)</t>
  </si>
  <si>
    <t>회사할인받으면 0원..</t>
  </si>
  <si>
    <t>TV 인터넷 요금</t>
  </si>
  <si>
    <t>올리브영 폼클렌징 틴트</t>
  </si>
  <si>
    <t>쿠팡 트라이앵글 집개</t>
  </si>
  <si>
    <t>안약</t>
  </si>
  <si>
    <t>안과(바우처소진후 잔여결제)</t>
  </si>
  <si>
    <t>춘천명동1번지닭갈비</t>
  </si>
  <si>
    <t>동동꽈배기</t>
  </si>
  <si>
    <t>브랜든 화장품 파우치 당근</t>
  </si>
  <si>
    <t>보험금반환 안과</t>
  </si>
  <si>
    <t>점심 - 김밥</t>
  </si>
  <si>
    <t>현대백화점 - 휘슬러</t>
  </si>
  <si>
    <t>건밀그린</t>
  </si>
  <si>
    <t>아이셔</t>
  </si>
  <si>
    <t>다이소 - 얼리</t>
  </si>
  <si>
    <t>수색마트 - 양배추</t>
  </si>
  <si>
    <t>크림프헤어 - 다운펌</t>
  </si>
  <si>
    <t>삼성화재 여행자보험 2인</t>
  </si>
  <si>
    <t>현대백화점 - 플랫포인트 (1/6회차)</t>
  </si>
  <si>
    <t>삼각김밥</t>
  </si>
  <si>
    <t>성우 생일선물(신셰계상품권)</t>
  </si>
  <si>
    <t>대학 동기 곗돈</t>
  </si>
  <si>
    <t>아파트 관리비</t>
  </si>
  <si>
    <t>하이패스</t>
  </si>
  <si>
    <t>교통카드</t>
  </si>
  <si>
    <t>렌트리 정수기</t>
  </si>
  <si>
    <t>5월 급여</t>
  </si>
  <si>
    <t>이병태 함흥냉면</t>
  </si>
  <si>
    <t>도깨비유심 * 2</t>
  </si>
  <si>
    <t>코스트코-여름이불+..</t>
  </si>
  <si>
    <t>네이버페이 - 다이슨대여</t>
  </si>
  <si>
    <t>약국 나팔관조영술 항생제</t>
  </si>
  <si>
    <t>지하철+버스</t>
  </si>
  <si>
    <t>쿠페이-일본동전지갑</t>
  </si>
  <si>
    <t>현대면세점(쿠션리필)</t>
  </si>
  <si>
    <t>타르데마 빵집</t>
  </si>
  <si>
    <t>네이버페이-형부떡볶이</t>
  </si>
  <si>
    <t>감자와눈사람 보험청구완료</t>
  </si>
  <si>
    <t>제네시스 공항서비스</t>
  </si>
  <si>
    <t>공항 편의점</t>
  </si>
  <si>
    <t>컬리페이</t>
  </si>
  <si>
    <t>토스페이</t>
  </si>
  <si>
    <t>샤브샤브</t>
  </si>
  <si>
    <t>통신요금(실적에 따른 할인예정)</t>
  </si>
  <si>
    <t>점심 KFC</t>
  </si>
  <si>
    <t>네이버페이-형부떡볶이*6</t>
  </si>
  <si>
    <t>감자와눈사람 보민 검진료</t>
  </si>
  <si>
    <t>통신비 할인예정</t>
  </si>
  <si>
    <t>통신요금</t>
  </si>
  <si>
    <t>코웨이</t>
  </si>
  <si>
    <t>점심-그린하이</t>
  </si>
  <si>
    <t>매머드 커피</t>
  </si>
  <si>
    <t>점심 - 장정정 (혜지,신일)</t>
  </si>
  <si>
    <t>하밀베이글</t>
  </si>
  <si>
    <t>디에스글로벌주식회사</t>
  </si>
  <si>
    <t>삼성화재해외여행보험</t>
  </si>
  <si>
    <t>꼬막짬뽕(상민)</t>
  </si>
  <si>
    <t>쿠페이-저당고추장</t>
  </si>
  <si>
    <t>코스트코 현금결제후 잔액결제</t>
  </si>
  <si>
    <t>코스트코 현금결제, 현금영수증</t>
  </si>
  <si>
    <t>국민카드 - 섭이네?</t>
  </si>
  <si>
    <t>쿠팡이츠-포방터-정은이네</t>
  </si>
  <si>
    <t>쿠페이-가글2</t>
  </si>
  <si>
    <t>현백카드 - 플랫포인트 2 / 6 회차</t>
  </si>
  <si>
    <t>cursor ai 1년 구독(192달러)</t>
  </si>
  <si>
    <t>국민카드 - 편의점</t>
  </si>
  <si>
    <t>국민카드 - 이마트에브리데이</t>
  </si>
  <si>
    <t>쿠팡이츠-점심-그린하이</t>
  </si>
  <si>
    <t>누리꿈스퀘어 주차권</t>
  </si>
  <si>
    <t>쿠페이-무수리 집들이선물 전동 그라인더</t>
  </si>
  <si>
    <t>맘모스 커피</t>
  </si>
  <si>
    <t>그린하이 샐러드 - 도시락</t>
  </si>
  <si>
    <t>로또, 케이뱅크 이체</t>
  </si>
  <si>
    <t>쿠팡이츠-마라샹궈</t>
  </si>
  <si>
    <t>쿠페이-땀티슈</t>
  </si>
  <si>
    <t>쿠페이-임테기</t>
  </si>
  <si>
    <t>쿠페이-마요네즈</t>
  </si>
  <si>
    <t>쫄면, 하리보</t>
  </si>
  <si>
    <t>👉🏻6월 중순~말 카드내역 정리 예정..일단 7월부터 쓸게요♥️</t>
  </si>
  <si>
    <t>크리스피크림</t>
  </si>
  <si>
    <t>투썸플레이스, 이모님 생신케이크</t>
  </si>
  <si>
    <t>홈쇼핑(공영쇼핑) - 손질오징어</t>
  </si>
  <si>
    <t>쿠페이-유산균</t>
  </si>
  <si>
    <t>청심연한의원</t>
  </si>
  <si>
    <t>6월 월급</t>
  </si>
  <si>
    <t>고등어, 네이버페이</t>
  </si>
  <si>
    <t>폴라커피</t>
  </si>
  <si>
    <t>삼각김밥 + 맘모스 커피</t>
  </si>
  <si>
    <t>대학동기</t>
  </si>
  <si>
    <t>더현대 서울</t>
  </si>
  <si>
    <t>일월육일 상암점</t>
  </si>
  <si>
    <t>택시 (여의도)</t>
  </si>
  <si>
    <t>곤쥬들 모임</t>
  </si>
  <si>
    <t>국민카드 - 웰튼병원</t>
  </si>
  <si>
    <t>국민카드 - 감눈</t>
  </si>
  <si>
    <t>택시 (집&gt;감눈)</t>
  </si>
  <si>
    <t>택시 (감눈&gt;집)</t>
  </si>
  <si>
    <t>참치</t>
  </si>
  <si>
    <t>맘모스커피</t>
  </si>
  <si>
    <t>국민카드 - 제주도그릴</t>
  </si>
  <si>
    <t>국민카드 - 페리카나</t>
  </si>
  <si>
    <t>국민카드 - 위생용품</t>
  </si>
  <si>
    <t>연금보험</t>
  </si>
  <si>
    <t>쿠팡이츠-브런치</t>
  </si>
  <si>
    <t>대학남자동기 - 궁평항 1박 2일</t>
  </si>
  <si>
    <t>로또 충전</t>
  </si>
  <si>
    <t>국민카드 - 회사점심(그린하이도시락)</t>
  </si>
  <si>
    <t>화접몽</t>
  </si>
  <si>
    <t>국민카드 - 상암동청심연한의원</t>
  </si>
  <si>
    <t>국민카드 - 만세회관</t>
  </si>
  <si>
    <t>국민카드 - 웰빙온누리약국</t>
  </si>
  <si>
    <t>야식 - 돈카츠</t>
  </si>
  <si>
    <t>6월 급여</t>
  </si>
  <si>
    <t>매머드 커피 - 아메리카노</t>
  </si>
  <si>
    <t>행복양꼬치</t>
  </si>
  <si>
    <t>신구멍가게24 아이스크림</t>
  </si>
  <si>
    <t>이마트에브리데이 라면 * 3</t>
  </si>
  <si>
    <t>감눈 - 난자채취</t>
  </si>
  <si>
    <t>감눈 - 정액검사</t>
  </si>
  <si>
    <t>포카리스웨트</t>
  </si>
  <si>
    <t>주차비</t>
  </si>
  <si>
    <t>빵</t>
  </si>
  <si>
    <t>국민카드 - 이조갈비, 냉면, 갈비탕, 만두</t>
  </si>
  <si>
    <t>광명 - 투썸플레이스</t>
  </si>
  <si>
    <t>국민카드 - 네이버페이, 큐어코드 수딩 젤크림</t>
  </si>
  <si>
    <t>국민카드 - 네이버페이, 어라운지 원두</t>
  </si>
  <si>
    <t>국민카드 - 네이버페이, 슬라이딩 선반</t>
  </si>
  <si>
    <t>국민카드 - 네이버페이, 스텐 쌀씻는볼</t>
  </si>
  <si>
    <t>삼형제 김밥</t>
  </si>
  <si>
    <t>국민카드 - 네이버페이, 들기름 메밀</t>
  </si>
  <si>
    <t>국민카드 - 네이버페이, 다운펌</t>
  </si>
  <si>
    <t>메머드 커피</t>
  </si>
  <si>
    <t>생일 선물</t>
  </si>
  <si>
    <t>양산도</t>
  </si>
  <si>
    <t>국민카드 - 코웨이 정수기</t>
  </si>
  <si>
    <t>오다주따</t>
  </si>
  <si>
    <t>로또</t>
  </si>
  <si>
    <t>물빛세탁 - 옷수선</t>
  </si>
  <si>
    <t>교보문고 - 점프투파이썬</t>
  </si>
  <si>
    <t>국민카드 - 풋살 간식</t>
  </si>
  <si>
    <t>감눈</t>
  </si>
  <si>
    <t>국민카드 - 페이퍼커피</t>
  </si>
  <si>
    <t>최선생마라탕</t>
  </si>
  <si>
    <t>메머드커피</t>
  </si>
  <si>
    <t>국민카드 - 씨유상암누리꿈점</t>
  </si>
  <si>
    <t>국민카드 - 일산비빔국수&amp;돈까스</t>
  </si>
  <si>
    <t>국민카드 - 신구멍가게24 수색역점</t>
  </si>
  <si>
    <t>국민카드 - 여수 치킨</t>
  </si>
  <si>
    <t>국민카드 - 타코끼리</t>
  </si>
  <si>
    <t>6월 가스비</t>
  </si>
  <si>
    <t>국민카드</t>
  </si>
  <si>
    <t>매머드커피</t>
  </si>
  <si>
    <t>마루 보리굴비 * 2</t>
  </si>
  <si>
    <t>국민카드 - 누리꿈스퀘어 정기주차권</t>
  </si>
  <si>
    <t>국민카드 - CU</t>
  </si>
  <si>
    <t>6월 아파트 관리비</t>
  </si>
  <si>
    <t>국민카드 - 교촌배달비</t>
  </si>
  <si>
    <t>국민카드 - 네이버페이, 노시부</t>
  </si>
  <si>
    <t>네이버페이</t>
  </si>
  <si>
    <t>김치도가 상암점</t>
  </si>
  <si>
    <t>로마옥 마곡점 주차</t>
  </si>
  <si>
    <t>연남CGV 주차</t>
  </si>
  <si>
    <t>쿠팡 와우멤버십</t>
  </si>
  <si>
    <t>꽃피는 한우곰탕</t>
  </si>
  <si>
    <t>토속촌삼계탕</t>
  </si>
  <si>
    <t>통인스윗</t>
  </si>
  <si>
    <t>햇사래 복숭아 (여수)</t>
  </si>
  <si>
    <t>준규형님 선물</t>
  </si>
  <si>
    <t>오늘의 정육점 - 대패삼겹살</t>
  </si>
  <si>
    <t>부의금 - 홍제원 과장, 부친상</t>
  </si>
  <si>
    <t>국민카드 - 다운펌</t>
  </si>
  <si>
    <t>국민카드 - AWS</t>
  </si>
  <si>
    <t>7월 급여</t>
  </si>
  <si>
    <t>국민카드 - 매머드커피</t>
  </si>
  <si>
    <t>국민카드 - 바디워시</t>
  </si>
  <si>
    <t>국민카드 - 샌드위치, 물</t>
  </si>
  <si>
    <t>국민카드 - 메머드커피</t>
  </si>
  <si>
    <t>쿠팡이츠 - 유부초밥</t>
  </si>
  <si>
    <t>대전시청 고향사랑기금 기부</t>
  </si>
  <si>
    <t>구름카츠</t>
  </si>
  <si>
    <t>이마트 수색점</t>
  </si>
  <si>
    <t>강원토종삼계탕</t>
  </si>
  <si>
    <t>여의도현대 - GS25</t>
  </si>
  <si>
    <t>서현 - 생일선물 (드파운드)</t>
  </si>
  <si>
    <t>핸드폰요금</t>
  </si>
  <si>
    <t>국민카드 - 쿠팡</t>
  </si>
  <si>
    <t>국민카드 - 명랑핫도그</t>
  </si>
  <si>
    <t>국민카드 - 삼형제김밥</t>
  </si>
  <si>
    <t>국민카드 - 쿠팡이츠 (오봉집)</t>
  </si>
  <si>
    <t>국민카드 - 고망고</t>
  </si>
  <si>
    <t>국민카드 - 이케아 (미트볼, 양파후레이크)</t>
  </si>
  <si>
    <t>국민카드 - 이케아 (컵, 수세미)</t>
  </si>
  <si>
    <t>국민카드 - 국립중앙박물관 주차비</t>
  </si>
  <si>
    <t>국민카드 - 성북동메밀수제비</t>
  </si>
  <si>
    <t>국민카드 - 화이트리에</t>
  </si>
  <si>
    <t>순대</t>
  </si>
  <si>
    <t>조현철 빌린돈 상환 (7, 8월)</t>
  </si>
  <si>
    <t>당근 - 배드민턴</t>
  </si>
  <si>
    <t>국민카드 - 파파이스</t>
  </si>
  <si>
    <t>국민카드 - 와플대학</t>
  </si>
  <si>
    <t>국민카드 - 오봉닭강정</t>
  </si>
  <si>
    <t>빨래 - 인터파크티켓</t>
  </si>
  <si>
    <t>김치찜</t>
  </si>
  <si>
    <t>풋살화</t>
  </si>
  <si>
    <t>네이버페이 - C타입</t>
  </si>
  <si>
    <t>GS 샌드위치</t>
  </si>
  <si>
    <t>29cm</t>
  </si>
  <si>
    <t>국민카드 - 쿠팡이츠</t>
  </si>
  <si>
    <t>국민카드 - 설빙고아이스 수색점</t>
  </si>
  <si>
    <t>국민카드 - 아이엠유의원 - 발톱무좀</t>
  </si>
  <si>
    <t>국민카드 - 약국</t>
  </si>
  <si>
    <t>국민카드 - 이조냉면</t>
  </si>
  <si>
    <t>국민카드 - 롯데호텔 르세느</t>
  </si>
  <si>
    <t>국민카드 - 고향옥</t>
  </si>
  <si>
    <t>아파트 7월 관리비</t>
  </si>
  <si>
    <t>굿러너컴퍼니</t>
  </si>
  <si>
    <t>주민센터 출력</t>
  </si>
  <si>
    <t>알파문고 마포역, 출력</t>
  </si>
  <si>
    <t>보험 환급</t>
  </si>
  <si>
    <t>쿠팡 - 축구복 상의</t>
  </si>
  <si>
    <t>원민 생일</t>
  </si>
  <si>
    <t>반구정민물장어</t>
  </si>
  <si>
    <t>축구복 하의</t>
  </si>
  <si>
    <t>무화과미니케이크</t>
  </si>
  <si>
    <t>아엠유의원 - 무좀치료</t>
  </si>
  <si>
    <t>월드컵경기장 - 물</t>
  </si>
  <si>
    <t>애림</t>
  </si>
  <si>
    <t>국민카드 - 옷</t>
  </si>
  <si>
    <t>국민카드 - 쿠팡이츠, 마라탕</t>
  </si>
  <si>
    <t>국민카드 - 쿠팡이츠, 중식</t>
  </si>
  <si>
    <t>두루미 - 잔액결제</t>
  </si>
  <si>
    <t>네이버페이, 국민카드 - 조미김</t>
  </si>
  <si>
    <t>우체국 등기</t>
  </si>
  <si>
    <t>국민카드 - 안다르</t>
  </si>
  <si>
    <t>홍태기 부친상</t>
  </si>
  <si>
    <t>배민 - 콰삭킹</t>
  </si>
  <si>
    <t>보험환급</t>
  </si>
  <si>
    <t>국민카드 - 코웨이 할인(3만)</t>
  </si>
  <si>
    <t>국민카드 - 바디필로우</t>
  </si>
  <si>
    <t>8월 급여</t>
  </si>
  <si>
    <t>편의점, 월드컵경기장</t>
  </si>
  <si>
    <t>쿠팡, 유산균</t>
  </si>
  <si>
    <t>국민카드 - 심플리(여수)</t>
  </si>
  <si>
    <t>따릉이</t>
  </si>
  <si>
    <t>국민카드 - 홍우기업?</t>
  </si>
  <si>
    <t>국민카드 - 네이버페이, 71000</t>
  </si>
  <si>
    <t>국민카드 - KTX 왕복 2인</t>
  </si>
  <si>
    <t>국민카드 - 메가커피, 아이스티</t>
  </si>
  <si>
    <t>국민카드 - 아이엠유의원</t>
  </si>
  <si>
    <t>국민카드 - GS25</t>
  </si>
  <si>
    <t>국민카드 - 샌드위치</t>
  </si>
  <si>
    <t>국민카드 - 쿠팡멤버쉽</t>
  </si>
  <si>
    <t>국민카드 - 쿠팡이츠, 알통닭강정</t>
  </si>
  <si>
    <t>아이엠유의원</t>
  </si>
  <si>
    <t>8월 가스비</t>
  </si>
  <si>
    <t>GS25</t>
  </si>
  <si>
    <t>8월 아파트 관리비</t>
  </si>
  <si>
    <t>메가커피, 아이스티</t>
  </si>
  <si>
    <t>기후동행환급</t>
  </si>
  <si>
    <t>종소세</t>
  </si>
  <si>
    <t>세븐일레븐</t>
  </si>
  <si>
    <t>보험금환급</t>
  </si>
  <si>
    <t>조현철 3회차 입금</t>
  </si>
  <si>
    <t>보흠금환급</t>
  </si>
  <si>
    <t>현대카드 - 매머드커피</t>
  </si>
  <si>
    <t>현대카드 - 아이엠유의원</t>
  </si>
  <si>
    <t>현대카드 - 하리보</t>
  </si>
  <si>
    <t>현대카드 - 코스트코</t>
  </si>
  <si>
    <t>현대카드 - CU, 물</t>
  </si>
  <si>
    <t>국민카드 - 네이버페이, 구두주걱</t>
  </si>
  <si>
    <t>국민카드 - 쿠팡, 코숨테이프</t>
  </si>
  <si>
    <t>국민카드 - 네이버페이, 서리태콩</t>
  </si>
  <si>
    <t>9월 급여</t>
  </si>
  <si>
    <t>현대카드 연회비 환급</t>
  </si>
  <si>
    <t>현대카드 - 주차비</t>
  </si>
  <si>
    <t>두루미</t>
  </si>
  <si>
    <t xml:space="preserve"> (취소예정)</t>
  </si>
  <si>
    <t>현대카드 - 보드게임카페(정글비)</t>
  </si>
  <si>
    <t>편의점 (샌드위치)</t>
  </si>
  <si>
    <t>KTX 김밥</t>
  </si>
  <si>
    <t>현대카드 - 물</t>
  </si>
  <si>
    <t>콩면당</t>
  </si>
  <si>
    <t>국민카드 - 죽</t>
  </si>
  <si>
    <t>국민카드 - 코웨이</t>
  </si>
  <si>
    <t xml:space="preserve">인터넷 통신요금 </t>
  </si>
  <si>
    <t>안과 (다래끼)</t>
  </si>
  <si>
    <t>향동 안과</t>
  </si>
  <si>
    <t>신한카드 바우처</t>
  </si>
  <si>
    <t>현대카드 - 송추가마골인어반</t>
  </si>
  <si>
    <t>현대카드 - 핸드폰요금</t>
  </si>
  <si>
    <t>국민카드 - 네이버페이, 크림프헤어</t>
  </si>
  <si>
    <t>국민카드 - 쿠팡, 비닐봉지</t>
  </si>
  <si>
    <t>임부치마</t>
  </si>
  <si>
    <t>점심?</t>
  </si>
  <si>
    <t>조현철 4회차 입금</t>
  </si>
  <si>
    <t>국민카드 - 공영주차장</t>
  </si>
  <si>
    <t>국민카드 - 황가네칼국수</t>
  </si>
  <si>
    <t>점심 - 본죽(비지찌개)</t>
  </si>
  <si>
    <t>편의점(샌드위치2)</t>
  </si>
  <si>
    <t>KB운전자보험 1회차</t>
  </si>
  <si>
    <t>루나 링겔 초음파</t>
  </si>
  <si>
    <t>감기약</t>
  </si>
  <si>
    <t>점심- 삼형제김밥</t>
  </si>
  <si>
    <t>핸드폰요금(20000원 할인예정)</t>
  </si>
  <si>
    <t>운전자보험</t>
  </si>
  <si>
    <t>저녁 -삼형제김밥</t>
  </si>
  <si>
    <t>저녁- 옥토끼</t>
  </si>
  <si>
    <t xml:space="preserve">마곡나루 - 고향옥 </t>
  </si>
  <si>
    <t>감자와 눈사람-마지막진료</t>
  </si>
  <si>
    <t>우체국 보험 환급</t>
  </si>
  <si>
    <t xml:space="preserve">컬리 - 단호박스프3, 유린기, 브리치즈, </t>
  </si>
  <si>
    <t>배민 - 닭발 오돌뼈</t>
  </si>
  <si>
    <t>국민카드 - 청심연한의원</t>
  </si>
  <si>
    <t>조현철 5회차 입금</t>
  </si>
  <si>
    <t>주차비 - 송도갈매기</t>
  </si>
  <si>
    <t>반값택배</t>
  </si>
  <si>
    <t>은비 김밥 사다줌 (받음)</t>
  </si>
  <si>
    <t>삼형제김밥 -모듬, 크래미 저녁</t>
  </si>
  <si>
    <t>국민카드 - 한의원</t>
  </si>
  <si>
    <t>밤 2kg 주문</t>
  </si>
  <si>
    <t>점심 -삼형제김밥 - 크래미</t>
  </si>
  <si>
    <t>점심 -컵누들 3개</t>
  </si>
  <si>
    <t>온누리상품권 구매</t>
  </si>
  <si>
    <t>엄마용돈</t>
  </si>
  <si>
    <t>국민카드 - 쿠팡(보조기)</t>
  </si>
  <si>
    <t>저녁 - 덴푸라온 텐동2 카레우동1</t>
  </si>
  <si>
    <t>커피(류명훈수석님)</t>
  </si>
  <si>
    <t>점심-옥토끼(희연수석님)</t>
  </si>
  <si>
    <t>보선이형 기차비 환불</t>
  </si>
  <si>
    <t>현대카드 - 한의원</t>
  </si>
  <si>
    <t>점심-옥토끼 제육덮밥</t>
  </si>
  <si>
    <t>이마트-부대찌개 밀키트</t>
  </si>
  <si>
    <t>10월 급여</t>
  </si>
  <si>
    <t>누리꿈스퀘어 월주차료</t>
  </si>
  <si>
    <t>점심 - KFC</t>
  </si>
  <si>
    <t>현대카드 - 편의점</t>
  </si>
  <si>
    <t>현대카드 - 한섬팩토리아울렛 쿸이 외투</t>
  </si>
  <si>
    <t>국민카드 - 주차비</t>
  </si>
  <si>
    <t>국민카드 - 한섬아울렛 쿸이 외투</t>
  </si>
  <si>
    <t xml:space="preserve">임부복 </t>
  </si>
  <si>
    <t>미즈메디 진료비 + 마미톡 결제 금액</t>
  </si>
  <si>
    <t>타이레놀 처방(2달분)</t>
  </si>
  <si>
    <t>JTBC 1회분</t>
  </si>
  <si>
    <t>크리미 태아보험 2회차</t>
  </si>
  <si>
    <t>크리미 실손보험 2회차</t>
  </si>
  <si>
    <t>이효진사원 부친상</t>
  </si>
  <si>
    <t>업진살 + 양지 + 앞다리살</t>
  </si>
  <si>
    <t>CU 삼김 + 초코우유</t>
  </si>
  <si>
    <t>점심-유부초밥 불닭볶음면 스트링치즈3</t>
  </si>
  <si>
    <t>한의원</t>
  </si>
  <si>
    <t>현대카드 - 파리바게뜨</t>
  </si>
  <si>
    <t>모닝커피 - 상민</t>
  </si>
  <si>
    <t>국민카드 - 땡겨요</t>
  </si>
  <si>
    <t>10월 가스비</t>
  </si>
  <si>
    <t>모닝커피 샌듸치</t>
  </si>
  <si>
    <t>국민카드 - 아파트 관리비</t>
  </si>
  <si>
    <t>쿠팡플레이 - 스포츠패스</t>
  </si>
  <si>
    <t>현대카드 - 서울문산고속도로</t>
  </si>
  <si>
    <t>현대카드 - 옐로커피</t>
  </si>
  <si>
    <t>현대카드 - 바른마디정형외과의원</t>
  </si>
  <si>
    <t>오브조리원 선불금 차액 결제</t>
  </si>
  <si>
    <t>현대카드 - 한국도로공사</t>
  </si>
  <si>
    <t>컬리정기결제</t>
  </si>
  <si>
    <t>국민카드 - 발톱약국</t>
  </si>
  <si>
    <t>모닝커피</t>
  </si>
  <si>
    <t>점심-포케</t>
  </si>
  <si>
    <t>서울페이 환급(강서상품권)</t>
  </si>
  <si>
    <t>점심-쌀국수</t>
  </si>
  <si>
    <t xml:space="preserve">서울페이 환불 </t>
  </si>
  <si>
    <t>화곡 궁 조리원 환불</t>
  </si>
  <si>
    <t>강서 리베 조리원 환불</t>
  </si>
  <si>
    <t>모닝커피 - 혜경 민지</t>
  </si>
  <si>
    <t>점심-삼형제김밥</t>
  </si>
  <si>
    <t>현대카드 - 고향옥</t>
  </si>
  <si>
    <t>현대카드 - 아마스빈</t>
  </si>
  <si>
    <t>현대카드 - 현대백화점 푸드코트</t>
  </si>
  <si>
    <t>현대카드 - 현대백화점 젤라또</t>
  </si>
  <si>
    <t>현대카드 - 코스트코 츄러스</t>
  </si>
  <si>
    <t>현대카드 - 스시이안앤DMC역점</t>
  </si>
  <si>
    <t>국민카드 - 파밀리아 F&amp;B</t>
  </si>
  <si>
    <t>현대카드 - 핸드폰요금(3만 5천원 할인)</t>
  </si>
  <si>
    <t>국민카드 - 베트남 파라타항공</t>
  </si>
  <si>
    <t>현대카드 - 소담촌</t>
  </si>
  <si>
    <t>현대카드 - 쿠팡, 유산균</t>
  </si>
  <si>
    <t>점심-KFC</t>
  </si>
  <si>
    <t>현대카드 - 베트남, 퓨전리조트 3박</t>
  </si>
  <si>
    <t>여기어때</t>
  </si>
  <si>
    <t>국민카드 - 쿠팡이츠, 돈까스</t>
  </si>
  <si>
    <t>국민카드 - 여수,대전 KTX</t>
  </si>
  <si>
    <t>마곡코엑스 베페 주차비</t>
  </si>
  <si>
    <t>송쭈</t>
  </si>
  <si>
    <t>타르데마</t>
  </si>
  <si>
    <t>왜할인안되지..?</t>
  </si>
  <si>
    <t>현대카드 - 웰튼병원</t>
  </si>
  <si>
    <t>현대카드 - 성삼의료재단</t>
  </si>
  <si>
    <t>모임 - 이체 (신흥시장 홍)</t>
  </si>
  <si>
    <t>김우철 대리 결혼</t>
  </si>
  <si>
    <t>KB 운전자보험</t>
  </si>
  <si>
    <t>국민카드 - 쿠팡, 마스크</t>
  </si>
  <si>
    <t>대가호떡</t>
  </si>
  <si>
    <t>요가매트</t>
  </si>
  <si>
    <t>조찬</t>
  </si>
  <si>
    <t>롯데몰 커피 주름</t>
  </si>
  <si>
    <t>롯데몰 물품보관비</t>
  </si>
  <si>
    <t>마스크팩</t>
  </si>
  <si>
    <t>아이엠유의원 발톱무좀</t>
  </si>
  <si>
    <t>11월 월급</t>
  </si>
  <si>
    <t>나트랑 - 디셈버호텔</t>
  </si>
  <si>
    <t>피자스쿨</t>
  </si>
  <si>
    <t>두툼</t>
  </si>
  <si>
    <t>컬리-반품예정</t>
  </si>
  <si>
    <t>국민카드 - 자동차점검 비용</t>
  </si>
  <si>
    <t>국민카드 - 쿠팡이츠, 미미롤</t>
  </si>
  <si>
    <t>누리꿈스퀘어 월주차비</t>
  </si>
  <si>
    <t>JTBC 2회분</t>
  </si>
  <si>
    <t>크리미 보험 2회차</t>
  </si>
  <si>
    <t>위드맘케어 산후도우미 예약</t>
  </si>
  <si>
    <t>국민카드 - 아파트관리비</t>
  </si>
  <si>
    <t>방문일자</t>
  </si>
  <si>
    <t>내역</t>
  </si>
  <si>
    <t>첫방문 (기본검진,초음파,보민정액검사)</t>
  </si>
  <si>
    <t>현대카드?</t>
  </si>
  <si>
    <t>과배란주사 처방, 나팔관조영술</t>
  </si>
  <si>
    <t>현댜카드?</t>
  </si>
  <si>
    <t>난포터지는 주사,</t>
  </si>
  <si>
    <t>과배란주사처방, 난소나이검사(혈액), 비타민D 주사, 엑스레이(웰튼병원)</t>
  </si>
  <si>
    <t>생리2일차 방문 - 국민카드</t>
  </si>
  <si>
    <t>초음파, 주사추가처방</t>
  </si>
  <si>
    <t>난포 잘 크고 있는지 방문 - 국민카드</t>
  </si>
  <si>
    <t>국민카드 - 난포 터트리는 주사</t>
  </si>
  <si>
    <t>난자채취, 정액검사</t>
  </si>
  <si>
    <t>채취 - 하나카드</t>
  </si>
  <si>
    <t>이식(예정)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</si>
</sst>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 ;- #,##0; -  ;"/>
    <numFmt numFmtId="165" formatCode="[color45]▲#,##0 ;[color50]▼#,##0; -  ;"/>
    <numFmt numFmtId="166" formatCode="[$₩]#,##0"/>
    <numFmt numFmtId="167" formatCode="&quot; &quot;d"/>
    <numFmt numFmtId="168" formatCode="[color50]▲#,##0 ;[color45]▼#,##0; -  ;"/>
    <numFmt numFmtId="169" formatCode="[red]▲#,##0 ;[blue]▼#,##0; -  ;"/>
    <numFmt numFmtId="170" formatCode="#,##0 ;[red]- #,##0; -  ;"/>
    <numFmt numFmtId="171" formatCode="m/d"/>
    <numFmt numFmtId="172" formatCode="yyyy. M. d"/>
  </numFmts>
  <fonts count="31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9.0"/>
      <color theme="1"/>
      <name val="Arial"/>
      <scheme val="minor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color rgb="FF000000"/>
      <name val="Arial"/>
    </font>
    <font>
      <color theme="0"/>
      <name val="Arial"/>
      <scheme val="minor"/>
    </font>
    <font>
      <b/>
      <sz val="17.0"/>
      <color theme="1"/>
      <name val="Arial"/>
      <scheme val="minor"/>
    </font>
    <font>
      <b/>
      <sz val="34.0"/>
      <color theme="1"/>
      <name val="Arial"/>
      <scheme val="minor"/>
    </font>
    <font>
      <b/>
      <sz val="9.0"/>
      <color rgb="FFFF0000"/>
      <name val="Arial"/>
      <scheme val="minor"/>
    </font>
    <font>
      <b/>
      <sz val="9.0"/>
      <color theme="1"/>
      <name val="Arial"/>
      <scheme val="minor"/>
    </font>
    <font>
      <b/>
      <sz val="9.0"/>
      <color rgb="FF1155CC"/>
      <name val="Arial"/>
      <scheme val="minor"/>
    </font>
    <font>
      <color rgb="FFD9D9D9"/>
      <name val="&quot;맑은 고딕&quot;"/>
    </font>
    <font>
      <color rgb="FFD9D9D9"/>
      <name val="Arial"/>
      <scheme val="minor"/>
    </font>
    <font>
      <sz val="8.0"/>
      <color rgb="FFFF0000"/>
      <name val="Arial"/>
      <scheme val="minor"/>
    </font>
    <font>
      <sz val="8.0"/>
      <color theme="1"/>
      <name val="Arial"/>
      <scheme val="minor"/>
    </font>
    <font>
      <sz val="8.0"/>
      <color rgb="FF1155CC"/>
      <name val="Arial"/>
      <scheme val="minor"/>
    </font>
    <font>
      <sz val="7.0"/>
      <color theme="1"/>
      <name val="Arial"/>
      <scheme val="minor"/>
    </font>
    <font>
      <sz val="7.0"/>
      <color rgb="FFFF0000"/>
      <name val="Arial"/>
      <scheme val="minor"/>
    </font>
    <font>
      <color rgb="FF000000"/>
      <name val="Arial"/>
      <scheme val="minor"/>
    </font>
    <font>
      <sz val="10.0"/>
      <color rgb="FF000000"/>
      <name val="&quot;맑은 고딕&quot;"/>
    </font>
    <font>
      <sz val="10.0"/>
      <color theme="1"/>
      <name val="&quot;맑은 고딕&quot;"/>
    </font>
    <font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718585"/>
        <bgColor rgb="FF718585"/>
      </patternFill>
    </fill>
    <fill>
      <patternFill patternType="solid">
        <fgColor rgb="FFD9EAD3"/>
        <bgColor rgb="FFD9EAD3"/>
      </patternFill>
    </fill>
    <fill>
      <patternFill patternType="solid">
        <fgColor rgb="FFF9F5EB"/>
        <bgColor rgb="FFF9F5E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6E0B4"/>
        <bgColor rgb="FFC6E0B4"/>
      </patternFill>
    </fill>
    <fill>
      <patternFill patternType="solid">
        <fgColor rgb="FFFFE69B"/>
        <bgColor rgb="FFFFE69B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E7E0D5"/>
        <bgColor rgb="FFE7E0D5"/>
      </patternFill>
    </fill>
    <fill>
      <patternFill patternType="solid">
        <fgColor rgb="FFFCE8B2"/>
        <bgColor rgb="FFFCE8B2"/>
      </patternFill>
    </fill>
    <fill>
      <patternFill patternType="solid">
        <fgColor rgb="FFCFE2F3"/>
        <bgColor rgb="FFCFE2F3"/>
      </patternFill>
    </fill>
  </fills>
  <borders count="62">
    <border/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B7B7B7"/>
      </top>
    </border>
    <border>
      <bottom style="thin">
        <color rgb="FFB7B7B7"/>
      </bottom>
    </border>
    <border>
      <left style="thin">
        <color rgb="FFD9D9D9"/>
      </left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right style="thin">
        <color rgb="FFD9D9D9"/>
      </right>
      <top style="thin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  <top style="hair">
        <color rgb="FFD9D9D9"/>
      </top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</border>
    <border>
      <left style="thin">
        <color rgb="FFD9D9D9"/>
      </left>
      <right style="hair">
        <color rgb="FFD9D9D9"/>
      </right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</border>
    <border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bottom style="hair">
        <color rgb="FFD9D9D9"/>
      </bottom>
    </border>
    <border>
      <left style="thin">
        <color rgb="FFD9D9D9"/>
      </left>
      <top style="thin">
        <color rgb="FFD9D9D9"/>
      </top>
      <bottom style="hair">
        <color rgb="FFD9D9D9"/>
      </bottom>
    </border>
    <border>
      <right style="thin">
        <color rgb="FFD9D9D9"/>
      </right>
      <top style="thin">
        <color rgb="FFD9D9D9"/>
      </top>
      <bottom style="hair">
        <color rgb="FFD9D9D9"/>
      </bottom>
    </border>
    <border>
      <left style="thin">
        <color rgb="FFD9D9D9"/>
      </left>
      <top style="hair">
        <color rgb="FFD9D9D9"/>
      </top>
      <bottom style="thin">
        <color rgb="FFD9D9D9"/>
      </bottom>
    </border>
    <border>
      <right style="thin">
        <color rgb="FFD9D9D9"/>
      </right>
      <top style="hair">
        <color rgb="FFD9D9D9"/>
      </top>
      <bottom style="thin">
        <color rgb="FFD9D9D9"/>
      </bottom>
    </border>
    <border>
      <right style="hair">
        <color rgb="FFD9D9D9"/>
      </right>
      <top style="hair">
        <color rgb="FFD9D9D9"/>
      </top>
      <bottom style="thin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D9D9D9"/>
      </bottom>
    </border>
    <border>
      <left style="hair">
        <color rgb="FFD9D9D9"/>
      </left>
      <right style="thin">
        <color rgb="FFD9D9D9"/>
      </right>
      <top style="hair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right style="hair">
        <color rgb="FFD9D9D9"/>
      </right>
      <top style="hair">
        <color rgb="FFD9D9D9"/>
      </top>
      <bottom style="thin">
        <color rgb="FFD9D9D9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hair">
        <color rgb="FFD9D9D9"/>
      </left>
      <right style="thin">
        <color rgb="FFD9D9D9"/>
      </right>
      <top style="hair">
        <color rgb="FFD9D9D9"/>
      </top>
    </border>
    <border>
      <left style="hair">
        <color rgb="FFD9D9D9"/>
      </left>
      <right style="thin">
        <color rgb="FFD9D9D9"/>
      </right>
      <bottom style="hair">
        <color rgb="FFD9D9D9"/>
      </bottom>
    </border>
    <border>
      <top style="thin">
        <color rgb="FFD9D9D9"/>
      </top>
      <bottom style="hair">
        <color rgb="FFD9D9D9"/>
      </bottom>
    </border>
    <border>
      <left style="thin">
        <color rgb="FFD9D9D9"/>
      </left>
      <top style="hair">
        <color rgb="FFD9D9D9"/>
      </top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right style="thin">
        <color rgb="FFD9D9D9"/>
      </right>
      <top style="hair">
        <color rgb="FFD9D9D9"/>
      </top>
      <bottom style="hair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hair">
        <color rgb="FFD9D9D9"/>
      </top>
      <bottom style="thin">
        <color rgb="FFD9D9D9"/>
      </bottom>
    </border>
    <border>
      <right style="hair">
        <color rgb="FFD9D9D9"/>
      </right>
      <top style="thin">
        <color rgb="FFD9D9D9"/>
      </top>
      <bottom style="hair">
        <color rgb="FFD9D9D9"/>
      </bottom>
    </border>
    <border>
      <left style="hair">
        <color rgb="FFD9D9D9"/>
      </left>
      <top style="thin">
        <color rgb="FFD9D9D9"/>
      </top>
      <bottom style="hair">
        <color rgb="FFD9D9D9"/>
      </bottom>
    </border>
    <border>
      <left style="thin">
        <color rgb="FFD9D9D9"/>
      </left>
      <top style="hair">
        <color rgb="FFD9D9D9"/>
      </top>
    </border>
    <border>
      <right style="hair">
        <color rgb="FFD9D9D9"/>
      </right>
      <top style="hair">
        <color rgb="FFD9D9D9"/>
      </top>
    </border>
    <border>
      <left style="hair">
        <color rgb="FFD9D9D9"/>
      </left>
      <top style="hair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</border>
    <border>
      <left style="hair">
        <color rgb="FFD9D9D9"/>
      </left>
      <right style="hair">
        <color rgb="FFD9D9D9"/>
      </right>
    </border>
    <border>
      <right style="hair">
        <color rgb="FFD9D9D9"/>
      </right>
    </border>
    <border>
      <left style="hair">
        <color rgb="FFD9D9D9"/>
      </left>
    </border>
    <border>
      <left style="thin">
        <color rgb="FFD9D9D9"/>
      </left>
      <bottom style="hair">
        <color rgb="FFD9D9D9"/>
      </bottom>
    </border>
    <border>
      <right style="hair">
        <color rgb="FFD9D9D9"/>
      </right>
      <bottom style="hair">
        <color rgb="FFD9D9D9"/>
      </bottom>
    </border>
    <border>
      <left style="hair">
        <color rgb="FFD9D9D9"/>
      </left>
      <bottom style="hair">
        <color rgb="FFD9D9D9"/>
      </bottom>
    </border>
    <border>
      <top style="hair">
        <color rgb="FFD9D9D9"/>
      </top>
    </border>
    <border>
      <bottom style="hair">
        <color rgb="FFD9D9D9"/>
      </bottom>
    </border>
    <border>
      <right style="hair">
        <color rgb="FFD9D9D9"/>
      </right>
      <bottom style="thin">
        <color rgb="FFD9D9D9"/>
      </bottom>
    </border>
    <border>
      <left style="hair">
        <color rgb="FFD9D9D9"/>
      </left>
      <top style="hair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3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5" fillId="0" fontId="4" numFmtId="0" xfId="0" applyBorder="1" applyFont="1"/>
    <xf borderId="2" fillId="0" fontId="4" numFmtId="0" xfId="0" applyBorder="1" applyFont="1"/>
    <xf borderId="3" fillId="3" fontId="5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3" fillId="4" fontId="5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2" fillId="4" fontId="7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right"/>
    </xf>
    <xf borderId="2" fillId="0" fontId="6" numFmtId="0" xfId="0" applyAlignment="1" applyBorder="1" applyFont="1">
      <alignment horizontal="center" readingOrder="0" vertical="bottom"/>
    </xf>
    <xf borderId="7" fillId="5" fontId="3" numFmtId="0" xfId="0" applyAlignment="1" applyBorder="1" applyFill="1" applyFont="1">
      <alignment horizontal="center" readingOrder="0"/>
    </xf>
    <xf borderId="7" fillId="5" fontId="2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Border="1" applyFont="1"/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vertical="top"/>
    </xf>
    <xf borderId="10" fillId="0" fontId="2" numFmtId="0" xfId="0" applyBorder="1" applyFont="1"/>
    <xf borderId="3" fillId="0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3" fillId="0" fontId="2" numFmtId="2" xfId="0" applyAlignment="1" applyBorder="1" applyFont="1" applyNumberFormat="1">
      <alignment horizontal="center"/>
    </xf>
    <xf borderId="0" fillId="0" fontId="11" numFmtId="0" xfId="0" applyFont="1"/>
    <xf borderId="0" fillId="0" fontId="2" numFmtId="0" xfId="0" applyAlignment="1" applyFont="1">
      <alignment readingOrder="0"/>
    </xf>
    <xf borderId="3" fillId="0" fontId="2" numFmtId="9" xfId="0" applyAlignment="1" applyBorder="1" applyFont="1" applyNumberFormat="1">
      <alignment horizontal="center"/>
    </xf>
    <xf borderId="0" fillId="0" fontId="12" numFmtId="0" xfId="0" applyFont="1"/>
    <xf borderId="11" fillId="6" fontId="2" numFmtId="0" xfId="0" applyAlignment="1" applyBorder="1" applyFill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3" fillId="7" fontId="2" numFmtId="0" xfId="0" applyAlignment="1" applyBorder="1" applyFill="1" applyFont="1">
      <alignment horizontal="center" readingOrder="0" vertical="center"/>
    </xf>
    <xf borderId="14" fillId="4" fontId="5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/>
    </xf>
    <xf borderId="15" fillId="0" fontId="2" numFmtId="164" xfId="0" applyBorder="1" applyFont="1" applyNumberFormat="1"/>
    <xf borderId="15" fillId="0" fontId="2" numFmtId="164" xfId="0" applyAlignment="1" applyBorder="1" applyFont="1" applyNumberFormat="1">
      <alignment readingOrder="0"/>
    </xf>
    <xf borderId="16" fillId="0" fontId="2" numFmtId="164" xfId="0" applyBorder="1" applyFont="1" applyNumberFormat="1"/>
    <xf borderId="17" fillId="0" fontId="4" numFmtId="0" xfId="0" applyBorder="1" applyFont="1"/>
    <xf borderId="18" fillId="0" fontId="4" numFmtId="0" xfId="0" applyBorder="1" applyFont="1"/>
    <xf borderId="19" fillId="0" fontId="2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/>
    </xf>
    <xf borderId="20" fillId="0" fontId="5" numFmtId="164" xfId="0" applyBorder="1" applyFont="1" applyNumberFormat="1"/>
    <xf borderId="17" fillId="4" fontId="5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readingOrder="0"/>
    </xf>
    <xf borderId="22" fillId="2" fontId="3" numFmtId="0" xfId="0" applyAlignment="1" applyBorder="1" applyFont="1">
      <alignment horizontal="center"/>
    </xf>
    <xf borderId="23" fillId="0" fontId="4" numFmtId="0" xfId="0" applyBorder="1" applyFont="1"/>
    <xf borderId="24" fillId="2" fontId="3" numFmtId="0" xfId="0" applyAlignment="1" applyBorder="1" applyFont="1">
      <alignment horizontal="center" readingOrder="0"/>
    </xf>
    <xf borderId="25" fillId="0" fontId="4" numFmtId="0" xfId="0" applyBorder="1" applyFont="1"/>
    <xf borderId="20" fillId="0" fontId="2" numFmtId="164" xfId="0" applyBorder="1" applyFont="1" applyNumberFormat="1"/>
    <xf borderId="26" fillId="0" fontId="5" numFmtId="164" xfId="0" applyBorder="1" applyFont="1" applyNumberFormat="1"/>
    <xf borderId="27" fillId="0" fontId="2" numFmtId="164" xfId="0" applyBorder="1" applyFont="1" applyNumberFormat="1"/>
    <xf borderId="28" fillId="0" fontId="2" numFmtId="164" xfId="0" applyBorder="1" applyFont="1" applyNumberFormat="1"/>
    <xf borderId="3" fillId="8" fontId="2" numFmtId="0" xfId="0" applyAlignment="1" applyBorder="1" applyFill="1" applyFont="1">
      <alignment horizontal="center" readingOrder="0"/>
    </xf>
    <xf borderId="3" fillId="8" fontId="5" numFmtId="0" xfId="0" applyAlignment="1" applyBorder="1" applyFont="1">
      <alignment horizontal="center" readingOrder="0"/>
    </xf>
    <xf borderId="6" fillId="4" fontId="5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/>
    </xf>
    <xf borderId="12" fillId="0" fontId="2" numFmtId="164" xfId="0" applyAlignment="1" applyBorder="1" applyFont="1" applyNumberFormat="1">
      <alignment horizontal="right" readingOrder="0"/>
    </xf>
    <xf borderId="29" fillId="0" fontId="4" numFmtId="0" xfId="0" applyBorder="1" applyFont="1"/>
    <xf borderId="30" fillId="0" fontId="2" numFmtId="0" xfId="0" applyAlignment="1" applyBorder="1" applyFont="1">
      <alignment horizontal="center"/>
    </xf>
    <xf borderId="15" fillId="0" fontId="2" numFmtId="164" xfId="0" applyAlignment="1" applyBorder="1" applyFont="1" applyNumberFormat="1">
      <alignment horizontal="right" readingOrder="0"/>
    </xf>
    <xf borderId="16" fillId="0" fontId="2" numFmtId="164" xfId="0" applyAlignment="1" applyBorder="1" applyFont="1" applyNumberFormat="1">
      <alignment horizontal="right" readingOrder="0"/>
    </xf>
    <xf borderId="8" fillId="0" fontId="4" numFmtId="0" xfId="0" applyBorder="1" applyFont="1"/>
    <xf borderId="31" fillId="0" fontId="2" numFmtId="0" xfId="0" applyAlignment="1" applyBorder="1" applyFont="1">
      <alignment horizontal="center"/>
    </xf>
    <xf borderId="30" fillId="0" fontId="2" numFmtId="164" xfId="0" applyAlignment="1" applyBorder="1" applyFont="1" applyNumberFormat="1">
      <alignment horizontal="right"/>
    </xf>
    <xf borderId="15" fillId="0" fontId="2" numFmtId="164" xfId="0" applyAlignment="1" applyBorder="1" applyFont="1" applyNumberFormat="1">
      <alignment horizontal="right"/>
    </xf>
    <xf borderId="16" fillId="0" fontId="2" numFmtId="164" xfId="0" applyAlignment="1" applyBorder="1" applyFont="1" applyNumberFormat="1">
      <alignment horizontal="right"/>
    </xf>
    <xf borderId="30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32" fillId="5" fontId="13" numFmtId="0" xfId="0" applyAlignment="1" applyBorder="1" applyFont="1">
      <alignment horizontal="center" readingOrder="0"/>
    </xf>
    <xf borderId="20" fillId="0" fontId="2" numFmtId="164" xfId="0" applyAlignment="1" applyBorder="1" applyFont="1" applyNumberFormat="1">
      <alignment horizontal="right" readingOrder="0"/>
    </xf>
    <xf borderId="32" fillId="0" fontId="2" numFmtId="0" xfId="0" applyAlignment="1" applyBorder="1" applyFont="1">
      <alignment horizontal="center" readingOrder="0"/>
    </xf>
    <xf borderId="18" fillId="0" fontId="2" numFmtId="0" xfId="0" applyAlignment="1" applyBorder="1" applyFont="1">
      <alignment horizontal="center" readingOrder="0"/>
    </xf>
    <xf borderId="31" fillId="0" fontId="2" numFmtId="164" xfId="0" applyAlignment="1" applyBorder="1" applyFont="1" applyNumberFormat="1">
      <alignment horizontal="right"/>
    </xf>
    <xf borderId="27" fillId="0" fontId="2" numFmtId="164" xfId="0" applyAlignment="1" applyBorder="1" applyFont="1" applyNumberFormat="1">
      <alignment horizontal="right"/>
    </xf>
    <xf borderId="28" fillId="0" fontId="2" numFmtId="164" xfId="0" applyAlignment="1" applyBorder="1" applyFont="1" applyNumberFormat="1">
      <alignment horizontal="right"/>
    </xf>
    <xf borderId="4" fillId="9" fontId="5" numFmtId="0" xfId="0" applyAlignment="1" applyBorder="1" applyFill="1" applyFont="1">
      <alignment horizontal="center" readingOrder="0"/>
    </xf>
    <xf borderId="11" fillId="0" fontId="5" numFmtId="164" xfId="0" applyAlignment="1" applyBorder="1" applyFont="1" applyNumberFormat="1">
      <alignment horizontal="right"/>
    </xf>
    <xf borderId="4" fillId="10" fontId="5" numFmtId="0" xfId="0" applyAlignment="1" applyBorder="1" applyFill="1" applyFont="1">
      <alignment horizontal="center" readingOrder="0"/>
    </xf>
    <xf borderId="31" fillId="0" fontId="5" numFmtId="164" xfId="0" applyAlignment="1" applyBorder="1" applyFont="1" applyNumberFormat="1">
      <alignment horizontal="right"/>
    </xf>
    <xf borderId="27" fillId="0" fontId="5" numFmtId="165" xfId="0" applyAlignment="1" applyBorder="1" applyFont="1" applyNumberFormat="1">
      <alignment horizontal="right"/>
    </xf>
    <xf borderId="28" fillId="0" fontId="5" numFmtId="165" xfId="0" applyAlignment="1" applyBorder="1" applyFont="1" applyNumberFormat="1">
      <alignment horizontal="right"/>
    </xf>
    <xf borderId="0" fillId="0" fontId="2" numFmtId="0" xfId="0" applyAlignment="1" applyFont="1">
      <alignment horizontal="left" readingOrder="0"/>
    </xf>
    <xf borderId="0" fillId="0" fontId="2" numFmtId="166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/>
    </xf>
    <xf borderId="0" fillId="11" fontId="2" numFmtId="0" xfId="0" applyFill="1" applyFont="1"/>
    <xf borderId="0" fillId="0" fontId="6" numFmtId="0" xfId="0" applyAlignment="1" applyFont="1">
      <alignment vertical="bottom"/>
    </xf>
    <xf borderId="0" fillId="0" fontId="6" numFmtId="166" xfId="0" applyAlignment="1" applyFont="1" applyNumberFormat="1">
      <alignment vertical="bottom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12" fontId="14" numFmtId="0" xfId="0" applyAlignment="1" applyFill="1" applyFont="1">
      <alignment horizontal="center" readingOrder="0" shrinkToFit="0" vertical="center" wrapText="0"/>
    </xf>
    <xf borderId="0" fillId="12" fontId="14" numFmtId="166" xfId="0" applyAlignment="1" applyFont="1" applyNumberFormat="1">
      <alignment shrinkToFit="0" vertical="center" wrapText="0"/>
    </xf>
    <xf borderId="0" fillId="0" fontId="15" numFmtId="0" xfId="0" applyAlignment="1" applyFont="1">
      <alignment horizontal="center" readingOrder="0" vertical="center"/>
    </xf>
    <xf borderId="0" fillId="5" fontId="16" numFmtId="0" xfId="0" applyAlignment="1" applyFont="1">
      <alignment horizontal="left" readingOrder="0" vertical="center"/>
    </xf>
    <xf borderId="11" fillId="6" fontId="2" numFmtId="0" xfId="0" applyAlignment="1" applyBorder="1" applyFont="1">
      <alignment horizontal="center" readingOrder="0"/>
    </xf>
    <xf borderId="13" fillId="6" fontId="2" numFmtId="0" xfId="0" applyAlignment="1" applyBorder="1" applyFont="1">
      <alignment horizontal="center" readingOrder="0"/>
    </xf>
    <xf borderId="6" fillId="4" fontId="17" numFmtId="0" xfId="0" applyAlignment="1" applyBorder="1" applyFont="1">
      <alignment horizontal="center" readingOrder="0" vertical="center"/>
    </xf>
    <xf borderId="6" fillId="4" fontId="18" numFmtId="0" xfId="0" applyAlignment="1" applyBorder="1" applyFont="1">
      <alignment horizontal="center" readingOrder="0" vertical="center"/>
    </xf>
    <xf borderId="6" fillId="4" fontId="19" numFmtId="0" xfId="0" applyAlignment="1" applyBorder="1" applyFont="1">
      <alignment horizontal="center" readingOrder="0" vertical="center"/>
    </xf>
    <xf borderId="6" fillId="13" fontId="18" numFmtId="0" xfId="0" applyAlignment="1" applyBorder="1" applyFill="1" applyFont="1">
      <alignment horizontal="center" readingOrder="0" vertical="center"/>
    </xf>
    <xf borderId="3" fillId="6" fontId="20" numFmtId="0" xfId="0" applyAlignment="1" applyBorder="1" applyFont="1">
      <alignment horizontal="center" readingOrder="0" shrinkToFit="0" vertical="center" wrapText="0"/>
    </xf>
    <xf borderId="3" fillId="6" fontId="21" numFmtId="0" xfId="0" applyAlignment="1" applyBorder="1" applyFont="1">
      <alignment horizontal="center" readingOrder="0" vertical="center"/>
    </xf>
    <xf borderId="3" fillId="6" fontId="21" numFmtId="0" xfId="0" applyAlignment="1" applyBorder="1" applyFont="1">
      <alignment horizontal="center" vertical="center"/>
    </xf>
    <xf borderId="30" fillId="4" fontId="2" numFmtId="0" xfId="0" applyAlignment="1" applyBorder="1" applyFont="1">
      <alignment horizontal="center" readingOrder="0"/>
    </xf>
    <xf borderId="16" fillId="0" fontId="2" numFmtId="164" xfId="0" applyAlignment="1" applyBorder="1" applyFont="1" applyNumberFormat="1">
      <alignment readingOrder="0"/>
    </xf>
    <xf borderId="33" fillId="0" fontId="22" numFmtId="167" xfId="0" applyAlignment="1" applyBorder="1" applyFont="1" applyNumberFormat="1">
      <alignment horizontal="left" vertical="center"/>
    </xf>
    <xf borderId="33" fillId="0" fontId="23" numFmtId="167" xfId="0" applyAlignment="1" applyBorder="1" applyFont="1" applyNumberFormat="1">
      <alignment horizontal="left" vertical="center"/>
    </xf>
    <xf borderId="6" fillId="0" fontId="23" numFmtId="167" xfId="0" applyAlignment="1" applyBorder="1" applyFont="1" applyNumberFormat="1">
      <alignment horizontal="left" vertical="center"/>
    </xf>
    <xf borderId="6" fillId="0" fontId="24" numFmtId="167" xfId="0" applyAlignment="1" applyBorder="1" applyFont="1" applyNumberFormat="1">
      <alignment horizontal="left" vertical="center"/>
    </xf>
    <xf borderId="6" fillId="0" fontId="25" numFmtId="0" xfId="0" applyAlignment="1" applyBorder="1" applyFont="1">
      <alignment horizontal="right" vertical="center"/>
    </xf>
    <xf borderId="3" fillId="0" fontId="20" numFmtId="0" xfId="0" applyAlignment="1" applyBorder="1" applyFont="1">
      <alignment horizontal="center" readingOrder="0" shrinkToFit="0" vertical="center" wrapText="0"/>
    </xf>
    <xf borderId="3" fillId="0" fontId="21" numFmtId="164" xfId="0" applyAlignment="1" applyBorder="1" applyFont="1" applyNumberFormat="1">
      <alignment horizontal="center" vertical="center"/>
    </xf>
    <xf borderId="3" fillId="0" fontId="21" numFmtId="0" xfId="0" applyAlignment="1" applyBorder="1" applyFont="1">
      <alignment horizontal="center" vertical="center"/>
    </xf>
    <xf borderId="34" fillId="0" fontId="26" numFmtId="164" xfId="0" applyAlignment="1" applyBorder="1" applyFont="1" applyNumberFormat="1">
      <alignment horizontal="right" shrinkToFit="0" vertical="center" wrapText="0"/>
    </xf>
    <xf borderId="34" fillId="0" fontId="26" numFmtId="164" xfId="0" applyAlignment="1" applyBorder="1" applyFont="1" applyNumberFormat="1">
      <alignment horizontal="right" shrinkToFit="0" vertical="center" wrapText="0"/>
    </xf>
    <xf borderId="8" fillId="0" fontId="26" numFmtId="164" xfId="0" applyAlignment="1" applyBorder="1" applyFont="1" applyNumberFormat="1">
      <alignment horizontal="right" vertical="center"/>
    </xf>
    <xf borderId="6" fillId="0" fontId="22" numFmtId="167" xfId="0" applyAlignment="1" applyBorder="1" applyFont="1" applyNumberFormat="1">
      <alignment horizontal="left" vertical="center"/>
    </xf>
    <xf borderId="35" fillId="0" fontId="23" numFmtId="167" xfId="0" applyAlignment="1" applyBorder="1" applyFont="1" applyNumberFormat="1">
      <alignment horizontal="left" vertical="center"/>
    </xf>
    <xf borderId="36" fillId="0" fontId="23" numFmtId="167" xfId="0" applyAlignment="1" applyBorder="1" applyFont="1" applyNumberFormat="1">
      <alignment horizontal="left" vertical="center"/>
    </xf>
    <xf borderId="36" fillId="0" fontId="24" numFmtId="167" xfId="0" applyAlignment="1" applyBorder="1" applyFont="1" applyNumberFormat="1">
      <alignment horizontal="left" vertical="center"/>
    </xf>
    <xf borderId="36" fillId="0" fontId="25" numFmtId="0" xfId="0" applyAlignment="1" applyBorder="1" applyFont="1">
      <alignment horizontal="right" vertical="center"/>
    </xf>
    <xf borderId="14" fillId="2" fontId="3" numFmtId="0" xfId="0" applyAlignment="1" applyBorder="1" applyFont="1">
      <alignment horizontal="center" readingOrder="0" vertical="center"/>
    </xf>
    <xf borderId="37" fillId="0" fontId="5" numFmtId="164" xfId="0" applyAlignment="1" applyBorder="1" applyFont="1" applyNumberFormat="1">
      <alignment horizontal="right" readingOrder="0" vertical="center"/>
    </xf>
    <xf borderId="29" fillId="0" fontId="26" numFmtId="164" xfId="0" applyAlignment="1" applyBorder="1" applyFont="1" applyNumberFormat="1">
      <alignment horizontal="right" vertical="center"/>
    </xf>
    <xf borderId="0" fillId="0" fontId="26" numFmtId="164" xfId="0" applyAlignment="1" applyFont="1" applyNumberFormat="1">
      <alignment horizontal="right" vertical="center"/>
    </xf>
    <xf borderId="34" fillId="0" fontId="26" numFmtId="164" xfId="0" applyAlignment="1" applyBorder="1" applyFont="1" applyNumberFormat="1">
      <alignment horizontal="right" vertical="center"/>
    </xf>
    <xf borderId="1" fillId="0" fontId="26" numFmtId="164" xfId="0" applyAlignment="1" applyBorder="1" applyFont="1" applyNumberFormat="1">
      <alignment horizontal="right" vertical="center"/>
    </xf>
    <xf borderId="38" fillId="0" fontId="4" numFmtId="0" xfId="0" applyBorder="1" applyFont="1"/>
    <xf borderId="0" fillId="11" fontId="27" numFmtId="0" xfId="0" applyAlignment="1" applyFont="1">
      <alignment horizontal="center" readingOrder="0" shrinkToFit="0" wrapText="0"/>
    </xf>
    <xf borderId="22" fillId="4" fontId="5" numFmtId="0" xfId="0" applyAlignment="1" applyBorder="1" applyFont="1">
      <alignment horizontal="center" readingOrder="0" vertical="center"/>
    </xf>
    <xf borderId="39" fillId="0" fontId="4" numFmtId="0" xfId="0" applyBorder="1" applyFont="1"/>
    <xf borderId="40" fillId="0" fontId="2" numFmtId="0" xfId="0" applyBorder="1" applyFont="1"/>
    <xf borderId="20" fillId="0" fontId="4" numFmtId="0" xfId="0" applyBorder="1" applyFont="1"/>
    <xf borderId="41" fillId="0" fontId="2" numFmtId="0" xfId="0" applyBorder="1" applyFont="1"/>
    <xf borderId="42" fillId="0" fontId="4" numFmtId="0" xfId="0" applyBorder="1" applyFont="1"/>
    <xf borderId="30" fillId="2" fontId="3" numFmtId="0" xfId="0" applyAlignment="1" applyBorder="1" applyFont="1">
      <alignment horizontal="center" readingOrder="0"/>
    </xf>
    <xf borderId="16" fillId="0" fontId="5" numFmtId="168" xfId="0" applyAlignment="1" applyBorder="1" applyFont="1" applyNumberFormat="1">
      <alignment horizontal="right"/>
    </xf>
    <xf borderId="7" fillId="0" fontId="26" numFmtId="164" xfId="0" applyAlignment="1" applyBorder="1" applyFont="1" applyNumberFormat="1">
      <alignment horizontal="right" vertical="center"/>
    </xf>
    <xf borderId="43" fillId="0" fontId="26" numFmtId="164" xfId="0" applyAlignment="1" applyBorder="1" applyFont="1" applyNumberFormat="1">
      <alignment horizontal="right" vertical="center"/>
    </xf>
    <xf borderId="44" fillId="0" fontId="26" numFmtId="164" xfId="0" applyAlignment="1" applyBorder="1" applyFont="1" applyNumberFormat="1">
      <alignment horizontal="right" vertical="center"/>
    </xf>
    <xf borderId="30" fillId="10" fontId="5" numFmtId="0" xfId="0" applyAlignment="1" applyBorder="1" applyFont="1">
      <alignment horizontal="center" readingOrder="0"/>
    </xf>
    <xf borderId="16" fillId="0" fontId="5" numFmtId="9" xfId="0" applyAlignment="1" applyBorder="1" applyFont="1" applyNumberFormat="1">
      <alignment horizontal="right"/>
    </xf>
    <xf borderId="29" fillId="0" fontId="22" numFmtId="167" xfId="0" applyAlignment="1" applyBorder="1" applyFont="1" applyNumberFormat="1">
      <alignment horizontal="left" vertical="center"/>
    </xf>
    <xf borderId="0" fillId="0" fontId="23" numFmtId="167" xfId="0" applyAlignment="1" applyFont="1" applyNumberFormat="1">
      <alignment horizontal="left" vertical="center"/>
    </xf>
    <xf borderId="34" fillId="0" fontId="23" numFmtId="167" xfId="0" applyAlignment="1" applyBorder="1" applyFont="1" applyNumberFormat="1">
      <alignment horizontal="left" vertical="center"/>
    </xf>
    <xf borderId="29" fillId="0" fontId="23" numFmtId="167" xfId="0" applyAlignment="1" applyBorder="1" applyFont="1" applyNumberFormat="1">
      <alignment horizontal="left" vertical="center"/>
    </xf>
    <xf borderId="1" fillId="0" fontId="23" numFmtId="167" xfId="0" applyAlignment="1" applyBorder="1" applyFont="1" applyNumberFormat="1">
      <alignment horizontal="left" vertical="center"/>
    </xf>
    <xf borderId="1" fillId="0" fontId="24" numFmtId="167" xfId="0" applyAlignment="1" applyBorder="1" applyFont="1" applyNumberFormat="1">
      <alignment horizontal="left" vertical="center"/>
    </xf>
    <xf borderId="1" fillId="0" fontId="25" numFmtId="0" xfId="0" applyAlignment="1" applyBorder="1" applyFont="1">
      <alignment horizontal="right" vertical="center"/>
    </xf>
    <xf borderId="31" fillId="10" fontId="5" numFmtId="0" xfId="0" applyAlignment="1" applyBorder="1" applyFont="1">
      <alignment horizontal="center" readingOrder="0"/>
    </xf>
    <xf borderId="28" fillId="0" fontId="5" numFmtId="9" xfId="0" applyAlignment="1" applyBorder="1" applyFont="1" applyNumberFormat="1">
      <alignment horizontal="right"/>
    </xf>
    <xf borderId="31" fillId="0" fontId="5" numFmtId="0" xfId="0" applyAlignment="1" applyBorder="1" applyFont="1">
      <alignment horizontal="center" readingOrder="0"/>
    </xf>
    <xf borderId="28" fillId="0" fontId="5" numFmtId="164" xfId="0" applyBorder="1" applyFont="1" applyNumberFormat="1"/>
    <xf borderId="24" fillId="0" fontId="2" numFmtId="0" xfId="0" applyBorder="1" applyFont="1"/>
    <xf borderId="26" fillId="0" fontId="4" numFmtId="0" xfId="0" applyBorder="1" applyFont="1"/>
    <xf borderId="45" fillId="0" fontId="2" numFmtId="0" xfId="0" applyBorder="1" applyFont="1"/>
    <xf borderId="12" fillId="6" fontId="2" numFmtId="0" xfId="0" applyAlignment="1" applyBorder="1" applyFont="1">
      <alignment horizontal="center" readingOrder="0"/>
    </xf>
    <xf borderId="22" fillId="6" fontId="2" numFmtId="0" xfId="0" applyAlignment="1" applyBorder="1" applyFont="1">
      <alignment horizontal="center" readingOrder="0" vertical="center"/>
    </xf>
    <xf borderId="46" fillId="0" fontId="4" numFmtId="0" xfId="0" applyBorder="1" applyFont="1"/>
    <xf borderId="47" fillId="6" fontId="2" numFmtId="0" xfId="0" applyAlignment="1" applyBorder="1" applyFont="1">
      <alignment horizontal="center" readingOrder="0" vertical="center"/>
    </xf>
    <xf borderId="14" fillId="13" fontId="2" numFmtId="0" xfId="0" applyAlignment="1" applyBorder="1" applyFont="1">
      <alignment horizontal="center" readingOrder="0" vertical="center"/>
    </xf>
    <xf borderId="19" fillId="0" fontId="2" numFmtId="164" xfId="0" applyAlignment="1" applyBorder="1" applyFont="1" applyNumberFormat="1">
      <alignment horizontal="right" readingOrder="0" vertical="center"/>
    </xf>
    <xf borderId="14" fillId="4" fontId="2" numFmtId="0" xfId="0" applyAlignment="1" applyBorder="1" applyFont="1">
      <alignment horizontal="center" readingOrder="0" vertical="center"/>
    </xf>
    <xf borderId="48" fillId="4" fontId="2" numFmtId="0" xfId="0" applyAlignment="1" applyBorder="1" applyFont="1">
      <alignment horizontal="center" readingOrder="0" vertical="center"/>
    </xf>
    <xf borderId="49" fillId="0" fontId="4" numFmtId="0" xfId="0" applyBorder="1" applyFont="1"/>
    <xf borderId="50" fillId="0" fontId="2" numFmtId="0" xfId="0" applyAlignment="1" applyBorder="1" applyFont="1">
      <alignment horizontal="center" readingOrder="0" vertical="center"/>
    </xf>
    <xf borderId="51" fillId="0" fontId="2" numFmtId="164" xfId="0" applyAlignment="1" applyBorder="1" applyFont="1" applyNumberFormat="1">
      <alignment horizontal="right" readingOrder="0" vertical="center"/>
    </xf>
    <xf borderId="50" fillId="0" fontId="2" numFmtId="164" xfId="0" applyAlignment="1" applyBorder="1" applyFont="1" applyNumberFormat="1">
      <alignment readingOrder="0"/>
    </xf>
    <xf borderId="52" fillId="0" fontId="4" numFmtId="0" xfId="0" applyBorder="1" applyFont="1"/>
    <xf borderId="34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21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57" fillId="0" fontId="4" numFmtId="0" xfId="0" applyBorder="1" applyFont="1"/>
    <xf borderId="48" fillId="6" fontId="5" numFmtId="0" xfId="0" applyAlignment="1" applyBorder="1" applyFont="1">
      <alignment horizontal="center" vertical="center"/>
    </xf>
    <xf borderId="58" fillId="0" fontId="4" numFmtId="0" xfId="0" applyBorder="1" applyFont="1"/>
    <xf borderId="16" fillId="0" fontId="5" numFmtId="164" xfId="0" applyBorder="1" applyFont="1" applyNumberFormat="1"/>
    <xf borderId="50" fillId="0" fontId="5" numFmtId="164" xfId="0" applyBorder="1" applyFont="1" applyNumberFormat="1"/>
    <xf borderId="59" fillId="0" fontId="4" numFmtId="0" xfId="0" applyBorder="1" applyFont="1"/>
    <xf borderId="16" fillId="5" fontId="2" numFmtId="169" xfId="0" applyBorder="1" applyFont="1" applyNumberFormat="1"/>
    <xf borderId="16" fillId="0" fontId="2" numFmtId="169" xfId="0" applyBorder="1" applyFont="1" applyNumberFormat="1"/>
    <xf borderId="50" fillId="0" fontId="2" numFmtId="169" xfId="0" applyBorder="1" applyFont="1" applyNumberFormat="1"/>
    <xf borderId="16" fillId="0" fontId="2" numFmtId="168" xfId="0" applyBorder="1" applyFont="1" applyNumberFormat="1"/>
    <xf borderId="43" fillId="0" fontId="4" numFmtId="0" xfId="0" applyBorder="1" applyFont="1"/>
    <xf borderId="7" fillId="0" fontId="4" numFmtId="0" xfId="0" applyBorder="1" applyFont="1"/>
    <xf borderId="60" fillId="0" fontId="4" numFmtId="0" xfId="0" applyBorder="1" applyFont="1"/>
    <xf borderId="28" fillId="0" fontId="2" numFmtId="168" xfId="0" applyBorder="1" applyFont="1" applyNumberFormat="1"/>
    <xf borderId="28" fillId="0" fontId="2" numFmtId="169" xfId="0" applyBorder="1" applyFont="1" applyNumberFormat="1"/>
    <xf borderId="61" fillId="0" fontId="2" numFmtId="169" xfId="0" applyBorder="1" applyFont="1" applyNumberFormat="1"/>
    <xf borderId="4" fillId="2" fontId="1" numFmtId="0" xfId="0" applyAlignment="1" applyBorder="1" applyFont="1">
      <alignment horizontal="center" readingOrder="0" vertical="center"/>
    </xf>
    <xf borderId="4" fillId="0" fontId="5" numFmtId="164" xfId="0" applyAlignment="1" applyBorder="1" applyFont="1" applyNumberFormat="1">
      <alignment horizontal="center" vertical="center"/>
    </xf>
    <xf borderId="11" fillId="6" fontId="5" numFmtId="0" xfId="0" applyAlignment="1" applyBorder="1" applyFont="1">
      <alignment horizontal="center" readingOrder="0" vertical="center"/>
    </xf>
    <xf borderId="12" fillId="6" fontId="5" numFmtId="0" xfId="0" applyAlignment="1" applyBorder="1" applyFont="1">
      <alignment horizontal="center" readingOrder="0" vertical="center"/>
    </xf>
    <xf borderId="47" fillId="6" fontId="5" numFmtId="0" xfId="0" applyAlignment="1" applyBorder="1" applyFont="1">
      <alignment horizontal="center" readingOrder="0" vertical="center"/>
    </xf>
    <xf borderId="4" fillId="14" fontId="5" numFmtId="170" xfId="0" applyAlignment="1" applyBorder="1" applyFill="1" applyFont="1" applyNumberFormat="1">
      <alignment horizontal="center" vertical="center"/>
    </xf>
    <xf borderId="30" fillId="0" fontId="11" numFmtId="171" xfId="0" applyAlignment="1" applyBorder="1" applyFont="1" applyNumberFormat="1">
      <alignment horizontal="center" readingOrder="0" vertical="center"/>
    </xf>
    <xf borderId="15" fillId="0" fontId="28" numFmtId="0" xfId="0" applyAlignment="1" applyBorder="1" applyFont="1">
      <alignment horizontal="center" readingOrder="0" shrinkToFit="0" wrapText="0"/>
    </xf>
    <xf borderId="15" fillId="0" fontId="28" numFmtId="164" xfId="0" applyAlignment="1" applyBorder="1" applyFont="1" applyNumberFormat="1">
      <alignment horizontal="right" readingOrder="0" shrinkToFit="0" wrapText="0"/>
    </xf>
    <xf borderId="50" fillId="0" fontId="11" numFmtId="0" xfId="0" applyAlignment="1" applyBorder="1" applyFont="1">
      <alignment horizontal="center" readingOrder="0" vertical="center"/>
    </xf>
    <xf borderId="41" fillId="0" fontId="4" numFmtId="0" xfId="0" applyBorder="1" applyFont="1"/>
    <xf borderId="50" fillId="0" fontId="11" numFmtId="0" xfId="0" applyAlignment="1" applyBorder="1" applyFont="1">
      <alignment horizontal="center" vertical="center"/>
    </xf>
    <xf borderId="3" fillId="0" fontId="2" numFmtId="0" xfId="0" applyBorder="1" applyFont="1"/>
    <xf borderId="0" fillId="0" fontId="2" numFmtId="0" xfId="0" applyFont="1"/>
    <xf borderId="15" fillId="0" fontId="29" numFmtId="164" xfId="0" applyAlignment="1" applyBorder="1" applyFont="1" applyNumberFormat="1">
      <alignment horizontal="right" readingOrder="0" shrinkToFit="0" wrapText="0"/>
    </xf>
    <xf borderId="15" fillId="0" fontId="11" numFmtId="0" xfId="0" applyAlignment="1" applyBorder="1" applyFont="1">
      <alignment horizontal="center" readingOrder="0" vertical="center"/>
    </xf>
    <xf borderId="15" fillId="0" fontId="11" numFmtId="164" xfId="0" applyAlignment="1" applyBorder="1" applyFont="1" applyNumberFormat="1">
      <alignment horizontal="right" readingOrder="0"/>
    </xf>
    <xf borderId="0" fillId="0" fontId="11" numFmtId="0" xfId="0" applyAlignment="1" applyFont="1">
      <alignment horizontal="center" readingOrder="0" vertical="center"/>
    </xf>
    <xf borderId="15" fillId="0" fontId="11" numFmtId="164" xfId="0" applyAlignment="1" applyBorder="1" applyFont="1" applyNumberFormat="1">
      <alignment horizontal="right"/>
    </xf>
    <xf borderId="30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readingOrder="0" vertical="center"/>
    </xf>
    <xf borderId="27" fillId="0" fontId="11" numFmtId="164" xfId="0" applyAlignment="1" applyBorder="1" applyFont="1" applyNumberFormat="1">
      <alignment horizontal="right"/>
    </xf>
    <xf borderId="61" fillId="0" fontId="11" numFmtId="0" xfId="0" applyAlignment="1" applyBorder="1" applyFont="1">
      <alignment horizontal="center" vertical="center"/>
    </xf>
    <xf borderId="45" fillId="0" fontId="4" numFmtId="0" xfId="0" applyBorder="1" applyFont="1"/>
    <xf borderId="40" fillId="0" fontId="2" numFmtId="0" xfId="0" applyAlignment="1" applyBorder="1" applyFont="1">
      <alignment readingOrder="0"/>
    </xf>
    <xf borderId="0" fillId="0" fontId="11" numFmtId="164" xfId="0" applyAlignment="1" applyFont="1" applyNumberFormat="1">
      <alignment horizontal="right" readingOrder="0"/>
    </xf>
    <xf borderId="30" fillId="0" fontId="11" numFmtId="172" xfId="0" applyAlignment="1" applyBorder="1" applyFont="1" applyNumberFormat="1">
      <alignment horizontal="center" readingOrder="0" vertical="center"/>
    </xf>
    <xf borderId="30" fillId="0" fontId="30" numFmtId="172" xfId="0" applyAlignment="1" applyBorder="1" applyFont="1" applyNumberFormat="1">
      <alignment horizontal="center"/>
    </xf>
    <xf borderId="15" fillId="0" fontId="30" numFmtId="0" xfId="0" applyAlignment="1" applyBorder="1" applyFont="1">
      <alignment horizontal="center"/>
    </xf>
    <xf borderId="15" fillId="0" fontId="30" numFmtId="164" xfId="0" applyAlignment="1" applyBorder="1" applyFont="1" applyNumberFormat="1">
      <alignment horizontal="right" vertical="bottom"/>
    </xf>
    <xf borderId="15" fillId="0" fontId="30" numFmtId="164" xfId="0" applyAlignment="1" applyBorder="1" applyFont="1" applyNumberFormat="1">
      <alignment horizontal="right" readingOrder="0" vertical="bottom"/>
    </xf>
    <xf borderId="30" fillId="0" fontId="11" numFmtId="0" xfId="0" applyAlignment="1" applyBorder="1" applyFont="1">
      <alignment horizontal="center"/>
    </xf>
    <xf borderId="15" fillId="0" fontId="11" numFmtId="0" xfId="0" applyAlignment="1" applyBorder="1" applyFont="1">
      <alignment horizontal="center"/>
    </xf>
    <xf borderId="15" fillId="0" fontId="11" numFmtId="0" xfId="0" applyAlignment="1" applyBorder="1" applyFont="1">
      <alignment horizontal="right"/>
    </xf>
    <xf borderId="30" fillId="0" fontId="30" numFmtId="171" xfId="0" applyAlignment="1" applyBorder="1" applyFont="1" applyNumberFormat="1">
      <alignment horizontal="center"/>
    </xf>
    <xf borderId="0" fillId="0" fontId="30" numFmtId="164" xfId="0" applyAlignment="1" applyFont="1" applyNumberFormat="1">
      <alignment horizontal="right" vertical="bottom"/>
    </xf>
    <xf borderId="15" fillId="0" fontId="30" numFmtId="0" xfId="0" applyAlignment="1" applyBorder="1" applyFont="1">
      <alignment horizontal="center" readingOrder="0"/>
    </xf>
    <xf borderId="0" fillId="0" fontId="2" numFmtId="166" xfId="0" applyAlignment="1" applyFont="1" applyNumberFormat="1">
      <alignment horizontal="right"/>
    </xf>
    <xf borderId="0" fillId="15" fontId="5" numFmtId="0" xfId="0" applyAlignment="1" applyFill="1" applyFont="1">
      <alignment horizontal="center" readingOrder="0" vertical="center"/>
    </xf>
    <xf borderId="0" fillId="15" fontId="5" numFmtId="166" xfId="0" applyAlignment="1" applyFont="1" applyNumberFormat="1">
      <alignment horizontal="right" readingOrder="0" vertical="center"/>
    </xf>
    <xf borderId="0" fillId="0" fontId="2" numFmtId="171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righ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B7B7B7"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연말정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연말정산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666666"/>
                </a:solidFill>
                <a:latin typeface="+mn-lt"/>
              </a:defRPr>
            </a:pPr>
            <a:r>
              <a:rPr b="1" sz="1600">
                <a:solidFill>
                  <a:srgbClr val="666666"/>
                </a:solidFill>
                <a:latin typeface="+mn-lt"/>
              </a:rPr>
              <a:t>월별흐름도</a:t>
            </a:r>
          </a:p>
        </c:rich>
      </c:tx>
      <c:layout>
        <c:manualLayout>
          <c:xMode val="edge"/>
          <c:yMode val="edge"/>
          <c:x val="0.012374719521316408"/>
          <c:y val="0.01308118081180812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'연간시트'!$W$39</c:f>
            </c:strRef>
          </c:tx>
          <c:spPr>
            <a:solidFill>
              <a:srgbClr val="F48C8C"/>
            </a:solidFill>
            <a:ln cmpd="sng">
              <a:solidFill>
                <a:srgbClr val="F7F8F8">
                  <a:alpha val="100000"/>
                </a:srgbClr>
              </a:solidFill>
            </a:ln>
          </c:spPr>
          <c:dPt>
            <c:idx val="3"/>
          </c:dPt>
          <c:dPt>
            <c:idx val="8"/>
          </c:dPt>
          <c:cat>
            <c:strRef>
              <c:f>'연간시트'!$V$40:$V$51</c:f>
            </c:strRef>
          </c:cat>
          <c:val>
            <c:numRef>
              <c:f>'연간시트'!$W$40:$W$51</c:f>
              <c:numCache/>
            </c:numRef>
          </c:val>
        </c:ser>
        <c:ser>
          <c:idx val="1"/>
          <c:order val="1"/>
          <c:tx>
            <c:strRef>
              <c:f>'연간시트'!$X$39</c:f>
            </c:strRef>
          </c:tx>
          <c:spPr>
            <a:solidFill>
              <a:srgbClr val="FFE69B"/>
            </a:solidFill>
            <a:ln cmpd="sng">
              <a:solidFill>
                <a:srgbClr val="FFE69B">
                  <a:alpha val="100000"/>
                </a:srgbClr>
              </a:solidFill>
            </a:ln>
          </c:spPr>
          <c:dPt>
            <c:idx val="0"/>
            <c:spPr>
              <a:solidFill>
                <a:srgbClr val="FFE69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69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E69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Pt>
            <c:idx val="6"/>
          </c:dPt>
          <c:dPt>
            <c:idx val="7"/>
          </c:dPt>
          <c:dPt>
            <c:idx val="8"/>
          </c:dPt>
          <c:dPt>
            <c:idx val="10"/>
          </c:dPt>
          <c:cat>
            <c:strRef>
              <c:f>'연간시트'!$V$40:$V$51</c:f>
            </c:strRef>
          </c:cat>
          <c:val>
            <c:numRef>
              <c:f>'연간시트'!$X$40:$X$51</c:f>
              <c:numCache/>
            </c:numRef>
          </c:val>
        </c:ser>
        <c:ser>
          <c:idx val="2"/>
          <c:order val="2"/>
          <c:tx>
            <c:strRef>
              <c:f>'연간시트'!$Y$39</c:f>
            </c:strRef>
          </c:tx>
          <c:spPr>
            <a:solidFill>
              <a:srgbClr val="C6E0B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'연간시트'!$V$40:$V$51</c:f>
            </c:strRef>
          </c:cat>
          <c:val>
            <c:numRef>
              <c:f>'연간시트'!$Y$40:$Y$51</c:f>
              <c:numCache/>
            </c:numRef>
          </c:val>
        </c:ser>
        <c:axId val="1977190506"/>
        <c:axId val="1169190487"/>
      </c:barChart>
      <c:catAx>
        <c:axId val="1977190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190487"/>
      </c:catAx>
      <c:valAx>
        <c:axId val="1169190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190506"/>
      </c:valAx>
      <c:lineChart>
        <c:varyColors val="0"/>
        <c:ser>
          <c:idx val="3"/>
          <c:order val="3"/>
          <c:tx>
            <c:strRef>
              <c:f>'연간시트'!$Z$39</c:f>
            </c:strRef>
          </c:tx>
          <c:spPr>
            <a:ln cmpd="sng">
              <a:solidFill>
                <a:srgbClr val="999999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999999">
                  <a:alpha val="100000"/>
                </a:srgbClr>
              </a:solidFill>
              <a:ln cmpd="sng">
                <a:solidFill>
                  <a:srgbClr val="999999">
                    <a:alpha val="100000"/>
                  </a:srgbClr>
                </a:solidFill>
              </a:ln>
            </c:spPr>
          </c:marker>
          <c:dPt>
            <c:idx val="1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43434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'연간시트'!$V$40:$V$51</c:f>
            </c:strRef>
          </c:cat>
          <c:val>
            <c:numRef>
              <c:f>'연간시트'!$Z$40:$Z$51</c:f>
              <c:numCache/>
            </c:numRef>
          </c:val>
          <c:smooth val="0"/>
        </c:ser>
        <c:axId val="669172460"/>
        <c:axId val="335421792"/>
      </c:lineChart>
      <c:catAx>
        <c:axId val="6691724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421792"/>
      </c:catAx>
      <c:valAx>
        <c:axId val="33542179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172460"/>
        <c:crosses val="max"/>
      </c:valAx>
    </c:plotArea>
    <c:legend>
      <c:legendPos val="b"/>
      <c:layout>
        <c:manualLayout>
          <c:xMode val="edge"/>
          <c:yMode val="edge"/>
          <c:x val="0.4115181054833582"/>
          <c:y val="0.940583657587548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지출별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E7E0D5"/>
            </a:solidFill>
            <a:ln cmpd="sng">
              <a:solidFill>
                <a:srgbClr val="000000"/>
              </a:solidFill>
            </a:ln>
          </c:spPr>
          <c:cat>
            <c:strRef>
              <c:f>'연간시트'!$Z$14:$Z$25</c:f>
            </c:strRef>
          </c:cat>
          <c:val>
            <c:numRef>
              <c:f>'연간시트'!$AA$14:$AA$25</c:f>
              <c:numCache/>
            </c:numRef>
          </c:val>
        </c:ser>
        <c:axId val="1572527503"/>
        <c:axId val="748930771"/>
      </c:barChart>
      <c:catAx>
        <c:axId val="1572527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930771"/>
      </c:catAx>
      <c:valAx>
        <c:axId val="748930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527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수입별</a:t>
            </a:r>
          </a:p>
        </c:rich>
      </c:tx>
      <c:layout>
        <c:manualLayout>
          <c:xMode val="edge"/>
          <c:yMode val="edge"/>
          <c:x val="0.05294943820224719"/>
          <c:y val="0.030544747081712068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'연간시트'!$AG$39</c:f>
            </c:strRef>
          </c:tx>
          <c:dPt>
            <c:idx val="0"/>
            <c:spPr>
              <a:solidFill>
                <a:srgbClr val="F48C8C"/>
              </a:solidFill>
            </c:spPr>
          </c:dPt>
          <c:dPt>
            <c:idx val="1"/>
            <c:spPr>
              <a:solidFill>
                <a:srgbClr val="FFE69B"/>
              </a:solidFill>
            </c:spPr>
          </c:dPt>
          <c:dPt>
            <c:idx val="2"/>
            <c:spPr>
              <a:solidFill>
                <a:srgbClr val="C6E0B4"/>
              </a:solidFill>
            </c:spPr>
          </c:dPt>
          <c:dPt>
            <c:idx val="3"/>
            <c:spPr>
              <a:solidFill>
                <a:srgbClr val="CFE2F3"/>
              </a:solidFill>
            </c:spPr>
          </c:dPt>
          <c:dPt>
            <c:idx val="4"/>
            <c:spPr>
              <a:solidFill>
                <a:srgbClr val="D9D2E9"/>
              </a:solidFill>
            </c:spPr>
          </c:dPt>
          <c:dPt>
            <c:idx val="5"/>
            <c:spPr>
              <a:solidFill>
                <a:srgbClr val="E7E0D5"/>
              </a:solidFill>
            </c:spPr>
          </c:dPt>
          <c:dPt>
            <c:idx val="6"/>
            <c:spPr>
              <a:solidFill>
                <a:srgbClr val="D9D9D9"/>
              </a:solidFill>
            </c:spPr>
          </c:dPt>
          <c:dPt>
            <c:idx val="7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'연간시트'!$AF$40:$AF$47</c:f>
            </c:strRef>
          </c:cat>
          <c:val>
            <c:numRef>
              <c:f>'연간시트'!$AG$40:$AG$47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결제수단별</a:t>
            </a:r>
          </a:p>
        </c:rich>
      </c:tx>
      <c:layout>
        <c:manualLayout>
          <c:xMode val="edge"/>
          <c:yMode val="edge"/>
          <c:x val="0.02911275415896488"/>
          <c:y val="0.029104477611940297"/>
        </c:manualLayout>
      </c:layout>
      <c:overlay val="0"/>
    </c:title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'연간시트'!$Z$30:$Z$35</c:f>
            </c:strRef>
          </c:cat>
          <c:val>
            <c:numRef>
              <c:f>'연간시트'!$AA$30:$AA$35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부채추이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71858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'자산관리'!$E$29:$P$29</c:f>
              <c:numCache/>
            </c:numRef>
          </c:val>
          <c:smooth val="0"/>
        </c:ser>
        <c:axId val="776377655"/>
        <c:axId val="519611780"/>
      </c:lineChart>
      <c:catAx>
        <c:axId val="776377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chemeClr val="dk1"/>
                </a:solidFill>
                <a:latin typeface="+mn-lt"/>
              </a:defRPr>
            </a:pPr>
          </a:p>
        </c:txPr>
        <c:crossAx val="519611780"/>
      </c:catAx>
      <c:valAx>
        <c:axId val="519611780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776377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비유동자산추이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C6E0B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'자산관리'!$E$37:$P$37</c:f>
              <c:numCache/>
            </c:numRef>
          </c:val>
          <c:smooth val="0"/>
        </c:ser>
        <c:axId val="1456034711"/>
        <c:axId val="13802896"/>
      </c:lineChart>
      <c:catAx>
        <c:axId val="1456034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802896"/>
      </c:catAx>
      <c:valAx>
        <c:axId val="13802896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456034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유동자산(투자)추이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'자산관리'!$C$45:$D$45</c:f>
            </c:strRef>
          </c:tx>
          <c:spPr>
            <a:ln cmpd="sng" w="19050">
              <a:solidFill>
                <a:srgbClr val="FCE8B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'자산관리'!$E$45:$P$45</c:f>
              <c:numCache/>
            </c:numRef>
          </c:val>
          <c:smooth val="0"/>
        </c:ser>
        <c:axId val="949074662"/>
        <c:axId val="2124903588"/>
      </c:lineChart>
      <c:catAx>
        <c:axId val="949074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124903588"/>
      </c:catAx>
      <c:valAx>
        <c:axId val="2124903588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949074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+mn-lt"/>
              </a:defRPr>
            </a:pPr>
            <a:r>
              <a:rPr b="1" sz="1400">
                <a:solidFill>
                  <a:srgbClr val="757575"/>
                </a:solidFill>
                <a:latin typeface="+mn-lt"/>
              </a:rPr>
              <a:t>유동자산(현금)추이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'자산관리'!$C$54:$D$54</c:f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'자산관리'!$E$22:$P$22</c:f>
            </c:strRef>
          </c:cat>
          <c:val>
            <c:numRef>
              <c:f>'자산관리'!$E$54:$P$54</c:f>
              <c:numCache/>
            </c:numRef>
          </c:val>
          <c:smooth val="0"/>
        </c:ser>
        <c:axId val="154794038"/>
        <c:axId val="1475176208"/>
      </c:lineChart>
      <c:catAx>
        <c:axId val="154794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75176208"/>
      </c:catAx>
      <c:valAx>
        <c:axId val="1475176208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54794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+mn-lt"/>
              </a:defRPr>
            </a:pPr>
            <a:r>
              <a:rPr b="1" sz="1800">
                <a:solidFill>
                  <a:srgbClr val="757575"/>
                </a:solidFill>
                <a:latin typeface="+mn-lt"/>
              </a:rPr>
              <a:t>순자산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E69B"/>
            </a:solidFill>
            <a:ln cmpd="sng" w="19050">
              <a:solidFill>
                <a:srgbClr val="000000"/>
              </a:solidFill>
            </a:ln>
          </c:spPr>
          <c:cat>
            <c:strRef>
              <c:f>'자산관리'!$E$22:$P$22</c:f>
            </c:strRef>
          </c:cat>
          <c:val>
            <c:numRef>
              <c:f>'자산관리'!$E$55:$P$55</c:f>
              <c:numCache/>
            </c:numRef>
          </c:val>
        </c:ser>
        <c:axId val="2098002066"/>
        <c:axId val="1336875812"/>
      </c:barChart>
      <c:catAx>
        <c:axId val="2098002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875812"/>
      </c:catAx>
      <c:valAx>
        <c:axId val="1336875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002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'1월'!$AF$8:$AF$20</c:f>
            </c:strRef>
          </c:cat>
          <c:val>
            <c:numRef>
              <c:f>'1월'!$AG$8:$AG$20</c:f>
              <c:numCache/>
            </c:numRef>
          </c:val>
        </c:ser>
        <c:axId val="1129866783"/>
        <c:axId val="1327461338"/>
      </c:barChart>
      <c:catAx>
        <c:axId val="1129866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327461338"/>
      </c:catAx>
      <c:valAx>
        <c:axId val="1327461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129866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'2월'!$AF$8:$AF$20</c:f>
            </c:strRef>
          </c:cat>
          <c:val>
            <c:numRef>
              <c:f>'2월'!$AG$8:$AG$20</c:f>
              <c:numCache/>
            </c:numRef>
          </c:val>
        </c:ser>
        <c:axId val="492596920"/>
        <c:axId val="1605503838"/>
      </c:barChart>
      <c:catAx>
        <c:axId val="492596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05503838"/>
      </c:catAx>
      <c:valAx>
        <c:axId val="1605503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92596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'3월'!$AF$8:$AF$20</c:f>
            </c:strRef>
          </c:cat>
          <c:val>
            <c:numRef>
              <c:f>'3월'!$AG$8:$AG$20</c:f>
              <c:numCache/>
            </c:numRef>
          </c:val>
        </c:ser>
        <c:axId val="151360881"/>
        <c:axId val="734584707"/>
      </c:barChart>
      <c:catAx>
        <c:axId val="151360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34584707"/>
      </c:catAx>
      <c:valAx>
        <c:axId val="734584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51360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'4월'!$AF$8:$AF$20</c:f>
            </c:strRef>
          </c:cat>
          <c:val>
            <c:numRef>
              <c:f>'4월'!$AG$8:$AG$20</c:f>
              <c:numCache/>
            </c:numRef>
          </c:val>
        </c:ser>
        <c:axId val="729734901"/>
        <c:axId val="1750443637"/>
      </c:barChart>
      <c:catAx>
        <c:axId val="729734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750443637"/>
      </c:catAx>
      <c:valAx>
        <c:axId val="1750443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29734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'5월'!$AF$8:$AF$20</c:f>
            </c:strRef>
          </c:cat>
          <c:val>
            <c:numRef>
              <c:f>'5월'!$AG$8:$AG$20</c:f>
              <c:numCache/>
            </c:numRef>
          </c:val>
        </c:ser>
        <c:axId val="1492200599"/>
        <c:axId val="257038062"/>
      </c:barChart>
      <c:catAx>
        <c:axId val="1492200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57038062"/>
      </c:catAx>
      <c:valAx>
        <c:axId val="257038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92200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'6월'!$AF$8:$AF$20</c:f>
            </c:strRef>
          </c:cat>
          <c:val>
            <c:numRef>
              <c:f>'6월'!$AG$8:$AG$20</c:f>
              <c:numCache/>
            </c:numRef>
          </c:val>
        </c:ser>
        <c:axId val="1465890995"/>
        <c:axId val="492179612"/>
      </c:barChart>
      <c:catAx>
        <c:axId val="1465890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92179612"/>
      </c:catAx>
      <c:valAx>
        <c:axId val="492179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65890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'7월'!$AF$8:$AF$20</c:f>
            </c:strRef>
          </c:cat>
          <c:val>
            <c:numRef>
              <c:f>'7월'!$AG$8:$AG$20</c:f>
              <c:numCache/>
            </c:numRef>
          </c:val>
        </c:ser>
        <c:axId val="511248970"/>
        <c:axId val="1951354194"/>
      </c:barChart>
      <c:catAx>
        <c:axId val="511248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951354194"/>
      </c:catAx>
      <c:valAx>
        <c:axId val="1951354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11248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'8월'!$AG$7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'8월'!$AF$8:$AF$20</c:f>
            </c:strRef>
          </c:cat>
          <c:val>
            <c:numRef>
              <c:f>'8월'!$AG$8:$AG$20</c:f>
              <c:numCache/>
            </c:numRef>
          </c:val>
        </c:ser>
        <c:axId val="412361081"/>
        <c:axId val="58979741"/>
      </c:barChart>
      <c:catAx>
        <c:axId val="412361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8979741"/>
      </c:catAx>
      <c:valAx>
        <c:axId val="58979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12361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'9월'!$AF$8:$AF$20</c:f>
            </c:strRef>
          </c:cat>
          <c:val>
            <c:numRef>
              <c:f>'9월'!$AG$8:$AG$20</c:f>
              <c:numCache/>
            </c:numRef>
          </c:val>
        </c:ser>
        <c:axId val="1117539066"/>
        <c:axId val="625215367"/>
      </c:barChart>
      <c:catAx>
        <c:axId val="1117539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25215367"/>
      </c:catAx>
      <c:valAx>
        <c:axId val="625215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117539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'10월'!$AF$8:$AF$20</c:f>
            </c:strRef>
          </c:cat>
          <c:val>
            <c:numRef>
              <c:f>'10월'!$AG$8:$AG$20</c:f>
              <c:numCache/>
            </c:numRef>
          </c:val>
        </c:ser>
        <c:axId val="1424583320"/>
        <c:axId val="1554407716"/>
      </c:barChart>
      <c:catAx>
        <c:axId val="1424583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554407716"/>
      </c:catAx>
      <c:valAx>
        <c:axId val="1554407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24583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'11월'!$AF$8:$AF$20</c:f>
            </c:strRef>
          </c:cat>
          <c:val>
            <c:numRef>
              <c:f>'11월'!$AG$8:$AG$20</c:f>
              <c:numCache/>
            </c:numRef>
          </c:val>
        </c:ser>
        <c:axId val="608932274"/>
        <c:axId val="2303382"/>
      </c:barChart>
      <c:catAx>
        <c:axId val="608932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303382"/>
      </c:catAx>
      <c:valAx>
        <c:axId val="2303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08932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757575"/>
                </a:solidFill>
                <a:latin typeface="+mn-lt"/>
              </a:defRPr>
            </a:pPr>
            <a:r>
              <a:rPr b="1" sz="1600">
                <a:solidFill>
                  <a:srgbClr val="757575"/>
                </a:solidFill>
                <a:latin typeface="+mn-lt"/>
              </a:rPr>
              <a:t>지출차트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'12월'!$AG$7</c:f>
            </c:strRef>
          </c:tx>
          <c:spPr>
            <a:solidFill>
              <a:srgbClr val="FFE69B"/>
            </a:solidFill>
            <a:ln cmpd="sng">
              <a:solidFill>
                <a:srgbClr val="000000"/>
              </a:solidFill>
            </a:ln>
          </c:spPr>
          <c:cat>
            <c:strRef>
              <c:f>'12월'!$AF$8:$AF$20</c:f>
            </c:strRef>
          </c:cat>
          <c:val>
            <c:numRef>
              <c:f>'12월'!$AG$8:$AG$20</c:f>
              <c:numCache/>
            </c:numRef>
          </c:val>
        </c:ser>
        <c:axId val="198874132"/>
        <c:axId val="573149452"/>
      </c:barChart>
      <c:catAx>
        <c:axId val="198874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73149452"/>
      </c:catAx>
      <c:valAx>
        <c:axId val="573149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98874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809625</xdr:colOff>
      <xdr:row>4</xdr:row>
      <xdr:rowOff>180975</xdr:rowOff>
    </xdr:from>
    <xdr:ext cx="1133475" cy="381000"/>
    <xdr:sp>
      <xdr:nvSpPr>
        <xdr:cNvPr id="3" name="Shape 3"/>
        <xdr:cNvSpPr/>
      </xdr:nvSpPr>
      <xdr:spPr>
        <a:xfrm>
          <a:off x="1277975" y="931250"/>
          <a:ext cx="1297800" cy="4062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B7B7B7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Malgun Gothic"/>
              <a:ea typeface="Malgun Gothic"/>
              <a:cs typeface="Malgun Gothic"/>
              <a:sym typeface="Malgun Gothic"/>
            </a:rPr>
            <a:t>업데이트</a:t>
          </a:r>
          <a:endParaRPr b="1" sz="12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12</xdr:col>
      <xdr:colOff>809625</xdr:colOff>
      <xdr:row>7</xdr:row>
      <xdr:rowOff>152400</xdr:rowOff>
    </xdr:from>
    <xdr:ext cx="1133475" cy="381000"/>
    <xdr:sp>
      <xdr:nvSpPr>
        <xdr:cNvPr id="4" name="Shape 4"/>
        <xdr:cNvSpPr/>
      </xdr:nvSpPr>
      <xdr:spPr>
        <a:xfrm>
          <a:off x="1277975" y="931250"/>
          <a:ext cx="1297800" cy="4062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B7B7B7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latin typeface="Malgun Gothic"/>
              <a:ea typeface="Malgun Gothic"/>
              <a:cs typeface="Malgun Gothic"/>
              <a:sym typeface="Malgun Gothic"/>
            </a:rPr>
            <a:t>새 시트 만들기</a:t>
          </a:r>
          <a:endParaRPr b="1" sz="12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14</xdr:row>
      <xdr:rowOff>28575</xdr:rowOff>
    </xdr:from>
    <xdr:ext cx="13992225" cy="286702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609600</xdr:colOff>
      <xdr:row>33</xdr:row>
      <xdr:rowOff>200025</xdr:rowOff>
    </xdr:from>
    <xdr:ext cx="4438650" cy="31242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428625</xdr:colOff>
      <xdr:row>34</xdr:row>
      <xdr:rowOff>104775</xdr:rowOff>
    </xdr:from>
    <xdr:ext cx="4019550" cy="291465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466725</xdr:colOff>
      <xdr:row>34</xdr:row>
      <xdr:rowOff>104775</xdr:rowOff>
    </xdr:from>
    <xdr:ext cx="3657600" cy="2914650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209550</xdr:colOff>
      <xdr:row>3</xdr:row>
      <xdr:rowOff>200025</xdr:rowOff>
    </xdr:from>
    <xdr:ext cx="3409950" cy="15525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85725</xdr:colOff>
      <xdr:row>3</xdr:row>
      <xdr:rowOff>200025</xdr:rowOff>
    </xdr:from>
    <xdr:ext cx="3352800" cy="155257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200025</xdr:colOff>
      <xdr:row>12</xdr:row>
      <xdr:rowOff>19050</xdr:rowOff>
    </xdr:from>
    <xdr:ext cx="3409950" cy="1504950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57150</xdr:colOff>
      <xdr:row>11</xdr:row>
      <xdr:rowOff>180975</xdr:rowOff>
    </xdr:from>
    <xdr:ext cx="3409950" cy="155257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314325</xdr:colOff>
      <xdr:row>3</xdr:row>
      <xdr:rowOff>200025</xdr:rowOff>
    </xdr:from>
    <xdr:ext cx="5305425" cy="324802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647700</xdr:colOff>
      <xdr:row>56</xdr:row>
      <xdr:rowOff>161925</xdr:rowOff>
    </xdr:from>
    <xdr:ext cx="1057275" cy="295275"/>
    <xdr:sp>
      <xdr:nvSpPr>
        <xdr:cNvPr id="5" name="Shape 5"/>
        <xdr:cNvSpPr/>
      </xdr:nvSpPr>
      <xdr:spPr>
        <a:xfrm>
          <a:off x="346750" y="227850"/>
          <a:ext cx="1040100" cy="277500"/>
        </a:xfrm>
        <a:prstGeom prst="roundRect">
          <a:avLst>
            <a:gd fmla="val 16667" name="adj"/>
          </a:avLst>
        </a:prstGeom>
        <a:solidFill>
          <a:srgbClr val="FCE5CD"/>
        </a:solidFill>
        <a:ln cap="flat" cmpd="sng" w="9525">
          <a:solidFill>
            <a:srgbClr val="B7B7B7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Malgun Gothic"/>
              <a:ea typeface="Malgun Gothic"/>
              <a:cs typeface="Malgun Gothic"/>
              <a:sym typeface="Malgun Gothic"/>
            </a:rPr>
            <a:t>수식복구</a:t>
          </a:r>
          <a:endParaRPr sz="10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685800</xdr:colOff>
      <xdr:row>19</xdr:row>
      <xdr:rowOff>104775</xdr:rowOff>
    </xdr:from>
    <xdr:ext cx="6229350" cy="31146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3" name="Chart 1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6" name="Chart 1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7" name="Chart 1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19" name="Chart 1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20" name="Chart 2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6</xdr:row>
      <xdr:rowOff>190500</xdr:rowOff>
    </xdr:from>
    <xdr:ext cx="3543300" cy="2886075"/>
    <xdr:graphicFrame>
      <xdr:nvGraphicFramePr>
        <xdr:cNvPr id="21" name="Chart 2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419100</xdr:colOff>
      <xdr:row>58</xdr:row>
      <xdr:rowOff>28575</xdr:rowOff>
    </xdr:from>
    <xdr:ext cx="857250" cy="276225"/>
    <xdr:sp>
      <xdr:nvSpPr>
        <xdr:cNvPr id="6" name="Shape 6"/>
        <xdr:cNvSpPr/>
      </xdr:nvSpPr>
      <xdr:spPr>
        <a:xfrm>
          <a:off x="348300" y="368200"/>
          <a:ext cx="835800" cy="2586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날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짜 정렬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15</xdr:col>
      <xdr:colOff>733425</xdr:colOff>
      <xdr:row>58</xdr:row>
      <xdr:rowOff>38100</xdr:rowOff>
    </xdr:from>
    <xdr:ext cx="904875" cy="266700"/>
    <xdr:sp>
      <xdr:nvSpPr>
        <xdr:cNvPr id="7" name="Shape 7"/>
        <xdr:cNvSpPr/>
      </xdr:nvSpPr>
      <xdr:spPr>
        <a:xfrm>
          <a:off x="447800" y="199025"/>
          <a:ext cx="885600" cy="2487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셀 병합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  <xdr:oneCellAnchor>
    <xdr:from>
      <xdr:col>14</xdr:col>
      <xdr:colOff>657225</xdr:colOff>
      <xdr:row>58</xdr:row>
      <xdr:rowOff>38100</xdr:rowOff>
    </xdr:from>
    <xdr:ext cx="904875" cy="266700"/>
    <xdr:sp>
      <xdr:nvSpPr>
        <xdr:cNvPr id="8" name="Shape 8"/>
        <xdr:cNvSpPr/>
      </xdr:nvSpPr>
      <xdr:spPr>
        <a:xfrm>
          <a:off x="326925" y="217950"/>
          <a:ext cx="881700" cy="247800"/>
        </a:xfrm>
        <a:prstGeom prst="roundRect">
          <a:avLst>
            <a:gd fmla="val 16667" name="adj"/>
          </a:avLst>
        </a:prstGeom>
        <a:solidFill>
          <a:srgbClr val="FFF2CC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수</a:t>
          </a:r>
          <a:r>
            <a:rPr lang="en-US" sz="900">
              <a:latin typeface="Malgun Gothic"/>
              <a:ea typeface="Malgun Gothic"/>
              <a:cs typeface="Malgun Gothic"/>
              <a:sym typeface="Malgun Gothic"/>
            </a:rPr>
            <a:t>식 복구</a:t>
          </a:r>
          <a:endParaRPr sz="900">
            <a:latin typeface="Malgun Gothic"/>
            <a:ea typeface="Malgun Gothic"/>
            <a:cs typeface="Malgun Gothic"/>
            <a:sym typeface="Malgun Gothic"/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E17" displayName="쿸이" name="쿸이" id="1">
  <tableColumns count="4">
    <tableColumn name="월" id="1"/>
    <tableColumn name="체크카드(현금영수증)" id="2"/>
    <tableColumn name="전통시장(제로페이)" id="3"/>
    <tableColumn name="신용카드" id="4"/>
  </tableColumns>
  <tableStyleInfo name="연말정산-style" showColumnStripes="0" showFirstColumn="1" showLastColumn="1" showRowStripes="1"/>
</table>
</file>

<file path=xl/tables/table2.xml><?xml version="1.0" encoding="utf-8"?>
<table xmlns="http://schemas.openxmlformats.org/spreadsheetml/2006/main" ref="G4:J17" displayName="봄이" name="봄이" id="2">
  <tableColumns count="4">
    <tableColumn name="월" id="1"/>
    <tableColumn name="체크카드(현금영수증)" id="2"/>
    <tableColumn name="전통시장(제로페이)" id="3"/>
    <tableColumn name="신용카드" id="4"/>
  </tableColumns>
  <tableStyleInfo name="연말정산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10.75"/>
    <col customWidth="1" min="3" max="3" width="14.13"/>
    <col customWidth="1" min="4" max="17" width="10.75"/>
  </cols>
  <sheetData>
    <row r="3">
      <c r="B3" s="1"/>
      <c r="C3" s="2" t="s">
        <v>0</v>
      </c>
      <c r="D3" s="3">
        <v>2025.0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6">
      <c r="C6" s="5" t="s">
        <v>1</v>
      </c>
      <c r="D6" s="6" t="s">
        <v>2</v>
      </c>
      <c r="E6" s="7"/>
      <c r="F6" s="7"/>
      <c r="G6" s="7"/>
      <c r="H6" s="7"/>
      <c r="I6" s="7"/>
      <c r="J6" s="7"/>
      <c r="K6" s="7"/>
      <c r="L6" s="8"/>
    </row>
    <row r="7">
      <c r="C7" s="9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/>
      <c r="J7" s="3"/>
      <c r="K7" s="3"/>
      <c r="L7" s="3"/>
    </row>
    <row r="8">
      <c r="C8" s="9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/>
      <c r="I8" s="3"/>
      <c r="J8" s="3"/>
      <c r="K8" s="10"/>
      <c r="L8" s="10"/>
    </row>
    <row r="9">
      <c r="C9" s="11" t="s">
        <v>14</v>
      </c>
      <c r="D9" s="3" t="s">
        <v>15</v>
      </c>
      <c r="E9" s="3" t="s">
        <v>16</v>
      </c>
      <c r="F9" s="12" t="s">
        <v>17</v>
      </c>
      <c r="G9" s="12" t="s">
        <v>18</v>
      </c>
      <c r="H9" s="12" t="s">
        <v>19</v>
      </c>
      <c r="I9" s="13"/>
      <c r="J9" s="13" t="s">
        <v>20</v>
      </c>
      <c r="K9" s="3"/>
      <c r="L9" s="3"/>
    </row>
    <row r="10">
      <c r="C10" s="11" t="s">
        <v>21</v>
      </c>
      <c r="D10" s="3" t="s">
        <v>15</v>
      </c>
      <c r="E10" s="3" t="s">
        <v>17</v>
      </c>
      <c r="F10" s="3" t="s">
        <v>18</v>
      </c>
      <c r="G10" s="3" t="s">
        <v>19</v>
      </c>
      <c r="H10" s="3" t="s">
        <v>20</v>
      </c>
      <c r="I10" s="14"/>
      <c r="J10" s="14"/>
      <c r="K10" s="3"/>
      <c r="L10" s="3"/>
    </row>
    <row r="11">
      <c r="C11" s="11" t="s">
        <v>22</v>
      </c>
      <c r="D11" s="3" t="s">
        <v>23</v>
      </c>
      <c r="E11" s="3" t="s">
        <v>24</v>
      </c>
      <c r="F11" s="3" t="s">
        <v>8</v>
      </c>
      <c r="G11" s="3"/>
      <c r="H11" s="3"/>
      <c r="I11" s="3"/>
      <c r="J11" s="3"/>
      <c r="K11" s="3"/>
      <c r="L11" s="3"/>
    </row>
    <row r="12">
      <c r="A12" s="15"/>
      <c r="B12" s="16"/>
      <c r="C12" s="17" t="s">
        <v>25</v>
      </c>
      <c r="D12" s="18" t="s">
        <v>23</v>
      </c>
      <c r="E12" s="18" t="s">
        <v>24</v>
      </c>
      <c r="F12" s="3" t="s">
        <v>8</v>
      </c>
      <c r="G12" s="3"/>
      <c r="H12" s="3"/>
      <c r="I12" s="3"/>
      <c r="J12" s="3"/>
      <c r="K12" s="3"/>
      <c r="L12" s="3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C13" s="11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8</v>
      </c>
      <c r="I13" s="3"/>
      <c r="J13" s="3"/>
      <c r="K13" s="3"/>
      <c r="L13" s="3"/>
    </row>
    <row r="14">
      <c r="C14" s="11" t="s">
        <v>31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8</v>
      </c>
      <c r="I14" s="3"/>
      <c r="J14" s="3"/>
      <c r="K14" s="3"/>
      <c r="L14" s="3"/>
    </row>
    <row r="15">
      <c r="C15" s="11" t="s">
        <v>32</v>
      </c>
      <c r="D15" s="3" t="s">
        <v>33</v>
      </c>
      <c r="E15" s="3" t="s">
        <v>34</v>
      </c>
      <c r="F15" s="3" t="s">
        <v>35</v>
      </c>
      <c r="G15" s="3" t="s">
        <v>36</v>
      </c>
      <c r="H15" s="3" t="s">
        <v>37</v>
      </c>
      <c r="I15" s="14"/>
      <c r="J15" s="14" t="s">
        <v>8</v>
      </c>
      <c r="K15" s="3"/>
      <c r="L15" s="3"/>
    </row>
    <row r="16">
      <c r="C16" s="11" t="s">
        <v>38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  <c r="I16" s="14"/>
      <c r="J16" s="14" t="s">
        <v>8</v>
      </c>
      <c r="K16" s="3"/>
      <c r="L16" s="3"/>
    </row>
    <row r="17">
      <c r="C17" s="11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s">
        <v>44</v>
      </c>
      <c r="I17" s="3"/>
      <c r="J17" s="3" t="s">
        <v>8</v>
      </c>
      <c r="K17" s="3"/>
      <c r="L17" s="3"/>
      <c r="X17" s="19"/>
    </row>
    <row r="18">
      <c r="A18" s="15"/>
      <c r="B18" s="16"/>
      <c r="C18" s="17" t="s">
        <v>45</v>
      </c>
      <c r="D18" s="18" t="s">
        <v>40</v>
      </c>
      <c r="E18" s="18" t="s">
        <v>41</v>
      </c>
      <c r="F18" s="18" t="s">
        <v>42</v>
      </c>
      <c r="G18" s="20" t="s">
        <v>43</v>
      </c>
      <c r="H18" s="20" t="s">
        <v>44</v>
      </c>
      <c r="I18" s="20"/>
      <c r="J18" s="20" t="s">
        <v>8</v>
      </c>
      <c r="K18" s="3"/>
      <c r="L18" s="3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C19" s="11" t="s">
        <v>46</v>
      </c>
      <c r="D19" s="3" t="s">
        <v>47</v>
      </c>
      <c r="E19" s="3" t="s">
        <v>48</v>
      </c>
      <c r="F19" s="3" t="s">
        <v>49</v>
      </c>
      <c r="G19" s="3" t="s">
        <v>50</v>
      </c>
      <c r="H19" s="3" t="s">
        <v>8</v>
      </c>
      <c r="I19" s="3" t="s">
        <v>51</v>
      </c>
      <c r="J19" s="3"/>
      <c r="K19" s="3"/>
      <c r="L19" s="3"/>
    </row>
    <row r="20">
      <c r="C20" s="11" t="s">
        <v>52</v>
      </c>
      <c r="D20" s="3" t="s">
        <v>47</v>
      </c>
      <c r="E20" s="3" t="s">
        <v>48</v>
      </c>
      <c r="F20" s="3" t="s">
        <v>49</v>
      </c>
      <c r="G20" s="3" t="s">
        <v>50</v>
      </c>
      <c r="H20" s="3" t="s">
        <v>8</v>
      </c>
      <c r="I20" s="3" t="s">
        <v>51</v>
      </c>
      <c r="J20" s="3"/>
      <c r="K20" s="3"/>
      <c r="L20" s="3"/>
    </row>
    <row r="21">
      <c r="C21" s="4"/>
      <c r="D21" s="4"/>
      <c r="E21" s="4"/>
      <c r="F21" s="4"/>
      <c r="G21" s="4"/>
      <c r="H21" s="4"/>
      <c r="I21" s="4"/>
      <c r="J21" s="4"/>
      <c r="K21" s="4"/>
      <c r="L21" s="4"/>
      <c r="W21" s="19"/>
    </row>
    <row r="22">
      <c r="C22" s="21"/>
      <c r="D22" s="22"/>
      <c r="E22" s="22"/>
      <c r="F22" s="22"/>
      <c r="G22" s="22"/>
      <c r="H22" s="22"/>
      <c r="I22" s="22"/>
      <c r="J22" s="22"/>
      <c r="K22" s="4"/>
      <c r="L22" s="4"/>
    </row>
    <row r="23">
      <c r="C23" s="23" t="s">
        <v>53</v>
      </c>
      <c r="D23" s="24" t="s">
        <v>54</v>
      </c>
      <c r="E23" s="24" t="s">
        <v>55</v>
      </c>
      <c r="F23" s="24" t="s">
        <v>56</v>
      </c>
      <c r="G23" s="24" t="s">
        <v>57</v>
      </c>
      <c r="H23" s="24" t="s">
        <v>58</v>
      </c>
      <c r="I23" s="24" t="s">
        <v>59</v>
      </c>
      <c r="J23" s="24" t="s">
        <v>60</v>
      </c>
      <c r="K23" s="24" t="s">
        <v>61</v>
      </c>
      <c r="L23" s="3" t="s">
        <v>62</v>
      </c>
      <c r="M23" s="3" t="s">
        <v>63</v>
      </c>
      <c r="N23" s="3" t="s">
        <v>64</v>
      </c>
      <c r="O23" s="3" t="s">
        <v>65</v>
      </c>
      <c r="P23" s="3" t="s">
        <v>66</v>
      </c>
    </row>
  </sheetData>
  <mergeCells count="1">
    <mergeCell ref="D6: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69B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4.0"/>
    <col customWidth="1" min="3" max="18" width="11.38"/>
    <col hidden="1" min="22" max="33" width="12.63"/>
  </cols>
  <sheetData>
    <row r="5"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>
      <c r="C6" s="26">
        <v>2025.0</v>
      </c>
      <c r="F6" s="27" t="s">
        <v>3</v>
      </c>
      <c r="J6" s="27" t="s">
        <v>67</v>
      </c>
      <c r="N6" s="27" t="s">
        <v>68</v>
      </c>
    </row>
    <row r="8">
      <c r="F8" s="28">
        <f>W52</f>
        <v>96087011</v>
      </c>
      <c r="J8" s="28">
        <f>X52</f>
        <v>1931734</v>
      </c>
      <c r="N8" s="28">
        <f>Y52</f>
        <v>94155277</v>
      </c>
    </row>
    <row r="10"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3">
      <c r="V13" s="3" t="s">
        <v>68</v>
      </c>
      <c r="W13" s="3" t="s">
        <v>69</v>
      </c>
      <c r="X13" s="30"/>
      <c r="Y13" s="30"/>
      <c r="Z13" s="30"/>
      <c r="AA13" s="30"/>
    </row>
    <row r="14">
      <c r="V14" s="30" t="str">
        <f>$C$81</f>
        <v>총🍪고정비</v>
      </c>
      <c r="W14" s="31">
        <f>$E$81</f>
        <v>5320373</v>
      </c>
      <c r="X14" s="32">
        <f t="shared" ref="X14:X25" si="1">_xlfn.RANK.EQ(W14,$W$14:$W$25,0) + ROW(AE1)/10000</f>
        <v>5.0001</v>
      </c>
      <c r="Y14" s="30">
        <f t="shared" ref="Y14:Y25" si="2">SMALL($X$14:$X$25, ROW(AE1))</f>
        <v>1.0011</v>
      </c>
      <c r="Z14" s="30" t="str">
        <f t="shared" ref="Z14:Z25" si="3">INDEX($V$14:$V$25,MATCH(Y14,$X$14:$X$25,0))</f>
        <v>총🍪이벤트성</v>
      </c>
      <c r="AA14" s="31">
        <f t="shared" ref="AA14:AA25" si="4">INDEX($W$14:$W$25,MATCH(Y14,$X$14:$X$25,0))</f>
        <v>45890106</v>
      </c>
    </row>
    <row r="15">
      <c r="V15" s="30" t="str">
        <f>$C$88</f>
        <v>총🐻고정비</v>
      </c>
      <c r="W15" s="31">
        <f>$E$88</f>
        <v>5740616</v>
      </c>
      <c r="X15" s="32">
        <f t="shared" si="1"/>
        <v>4.0002</v>
      </c>
      <c r="Y15" s="30">
        <f t="shared" si="2"/>
        <v>2.0012</v>
      </c>
      <c r="Z15" s="30" t="str">
        <f t="shared" si="3"/>
        <v>총🐻 이벤트성</v>
      </c>
      <c r="AA15" s="31">
        <f t="shared" si="4"/>
        <v>10032724</v>
      </c>
    </row>
    <row r="16">
      <c r="V16" s="30" t="str">
        <f>$C$95</f>
        <v>총🍪생필품</v>
      </c>
      <c r="W16" s="31">
        <f>$E$95</f>
        <v>1976775</v>
      </c>
      <c r="X16" s="32">
        <f t="shared" si="1"/>
        <v>12.0003</v>
      </c>
      <c r="Y16" s="30">
        <f t="shared" si="2"/>
        <v>3.0005</v>
      </c>
      <c r="Z16" s="30" t="str">
        <f t="shared" si="3"/>
        <v>총🍪식비</v>
      </c>
      <c r="AA16" s="31">
        <f t="shared" si="4"/>
        <v>5858619</v>
      </c>
    </row>
    <row r="17">
      <c r="V17" s="30" t="str">
        <f>$C$102</f>
        <v>총🐻생필품</v>
      </c>
      <c r="W17" s="31">
        <f>$E$102</f>
        <v>2924998</v>
      </c>
      <c r="X17" s="32">
        <f t="shared" si="1"/>
        <v>10.0004</v>
      </c>
      <c r="Y17" s="30">
        <f t="shared" si="2"/>
        <v>4.0002</v>
      </c>
      <c r="Z17" s="30" t="str">
        <f t="shared" si="3"/>
        <v>총🐻고정비</v>
      </c>
      <c r="AA17" s="31">
        <f t="shared" si="4"/>
        <v>5740616</v>
      </c>
    </row>
    <row r="18">
      <c r="V18" s="30" t="str">
        <f>$C$109</f>
        <v>총🍪식비</v>
      </c>
      <c r="W18" s="31">
        <f>$E$109</f>
        <v>5858619</v>
      </c>
      <c r="X18" s="32">
        <f t="shared" si="1"/>
        <v>3.0005</v>
      </c>
      <c r="Y18" s="30">
        <f t="shared" si="2"/>
        <v>5.0001</v>
      </c>
      <c r="Z18" s="30" t="str">
        <f t="shared" si="3"/>
        <v>총🍪고정비</v>
      </c>
      <c r="AA18" s="31">
        <f t="shared" si="4"/>
        <v>5320373</v>
      </c>
    </row>
    <row r="19">
      <c r="V19" s="30" t="str">
        <f>$C$116</f>
        <v>총🐻식비</v>
      </c>
      <c r="W19" s="31">
        <f>$E$116</f>
        <v>3620716</v>
      </c>
      <c r="X19" s="32">
        <f t="shared" si="1"/>
        <v>7.0006</v>
      </c>
      <c r="Y19" s="30">
        <f t="shared" si="2"/>
        <v>6.001</v>
      </c>
      <c r="Z19" s="30" t="str">
        <f t="shared" si="3"/>
        <v>총🐻기타</v>
      </c>
      <c r="AA19" s="31">
        <f t="shared" si="4"/>
        <v>3646390</v>
      </c>
    </row>
    <row r="20">
      <c r="V20" s="30" t="str">
        <f>$C$123</f>
        <v>총🍪여가비</v>
      </c>
      <c r="W20" s="31">
        <f>$E$123</f>
        <v>3414407</v>
      </c>
      <c r="X20" s="32">
        <f t="shared" si="1"/>
        <v>8.0007</v>
      </c>
      <c r="Y20" s="30">
        <f t="shared" si="2"/>
        <v>7.0006</v>
      </c>
      <c r="Z20" s="30" t="str">
        <f t="shared" si="3"/>
        <v>총🐻식비</v>
      </c>
      <c r="AA20" s="31">
        <f t="shared" si="4"/>
        <v>3620716</v>
      </c>
    </row>
    <row r="21">
      <c r="V21" s="30" t="str">
        <f>$C$130</f>
        <v>총🐻여가비</v>
      </c>
      <c r="W21" s="31">
        <f>$E$130</f>
        <v>2758802</v>
      </c>
      <c r="X21" s="32">
        <f t="shared" si="1"/>
        <v>11.0008</v>
      </c>
      <c r="Y21" s="30">
        <f t="shared" si="2"/>
        <v>8.0007</v>
      </c>
      <c r="Z21" s="30" t="str">
        <f t="shared" si="3"/>
        <v>총🍪여가비</v>
      </c>
      <c r="AA21" s="31">
        <f t="shared" si="4"/>
        <v>3414407</v>
      </c>
    </row>
    <row r="22">
      <c r="V22" s="30" t="str">
        <f>$C$137</f>
        <v>총🍪기타</v>
      </c>
      <c r="W22" s="31">
        <f>$E$137</f>
        <v>2970751</v>
      </c>
      <c r="X22" s="32">
        <f t="shared" si="1"/>
        <v>9.0009</v>
      </c>
      <c r="Y22" s="30">
        <f t="shared" si="2"/>
        <v>9.0009</v>
      </c>
      <c r="Z22" s="30" t="str">
        <f t="shared" si="3"/>
        <v>총🍪기타</v>
      </c>
      <c r="AA22" s="31">
        <f t="shared" si="4"/>
        <v>2970751</v>
      </c>
    </row>
    <row r="23">
      <c r="V23" s="30" t="str">
        <f>$C$144</f>
        <v>총🐻기타</v>
      </c>
      <c r="W23" s="31">
        <f>$E$144</f>
        <v>3646390</v>
      </c>
      <c r="X23" s="32">
        <f t="shared" si="1"/>
        <v>6.001</v>
      </c>
      <c r="Y23" s="30">
        <f t="shared" si="2"/>
        <v>10.0004</v>
      </c>
      <c r="Z23" s="30" t="str">
        <f t="shared" si="3"/>
        <v>총🐻생필품</v>
      </c>
      <c r="AA23" s="31">
        <f t="shared" si="4"/>
        <v>2924998</v>
      </c>
    </row>
    <row r="24">
      <c r="V24" s="30" t="str">
        <f>$C$151</f>
        <v>총🍪이벤트성</v>
      </c>
      <c r="W24" s="31">
        <f>$E$151</f>
        <v>45890106</v>
      </c>
      <c r="X24" s="32">
        <f t="shared" si="1"/>
        <v>1.0011</v>
      </c>
      <c r="Y24" s="30">
        <f t="shared" si="2"/>
        <v>11.0008</v>
      </c>
      <c r="Z24" s="30" t="str">
        <f t="shared" si="3"/>
        <v>총🐻여가비</v>
      </c>
      <c r="AA24" s="31">
        <f t="shared" si="4"/>
        <v>2758802</v>
      </c>
    </row>
    <row r="25">
      <c r="V25" s="30" t="str">
        <f>$C$158</f>
        <v>총🐻 이벤트성</v>
      </c>
      <c r="W25" s="31">
        <f>$E$158</f>
        <v>10032724</v>
      </c>
      <c r="X25" s="32">
        <f t="shared" si="1"/>
        <v>2.0012</v>
      </c>
      <c r="Y25" s="30">
        <f t="shared" si="2"/>
        <v>12.0003</v>
      </c>
      <c r="Z25" s="30" t="str">
        <f t="shared" si="3"/>
        <v>총🍪생필품</v>
      </c>
      <c r="AA25" s="31">
        <f t="shared" si="4"/>
        <v>1976775</v>
      </c>
    </row>
    <row r="29">
      <c r="V29" s="3" t="s">
        <v>53</v>
      </c>
      <c r="W29" s="3" t="s">
        <v>69</v>
      </c>
      <c r="X29" s="30"/>
      <c r="Y29" s="30"/>
      <c r="Z29" s="30"/>
      <c r="AA29" s="30"/>
    </row>
    <row r="30">
      <c r="V30" s="30" t="str">
        <f>'1월'!$E$14</f>
        <v>🍪기업카드</v>
      </c>
      <c r="W30" s="30" t="str">
        <f>'1월'!$F14+'2월'!$F14+'3월'!$F14+'4월'!$F14+'5월'!$F14+'6월'!$F14+'7월'!$F14+'8월'!$F14+'9월'!$F14+'10월'!$F14+'11월'!$F14+'12월'!$F14</f>
        <v>#REF!</v>
      </c>
      <c r="X30" s="30" t="str">
        <f t="shared" ref="X30:X35" si="5">_xlfn.RANK.EQ(W30,$W$30:$W$35,0) + ROW(AE1)/10000</f>
        <v>#REF!</v>
      </c>
      <c r="Y30" s="30" t="str">
        <f t="shared" ref="Y30:Y35" si="6">SMALL($X$30:$X$35, ROW(AE1))</f>
        <v>#REF!</v>
      </c>
      <c r="Z30" s="30" t="str">
        <f t="shared" ref="Z30:Z35" si="7">INDEX($V$30:$V$35,MATCH(Y30,$X$30:$X$35,0))</f>
        <v>#REF!</v>
      </c>
      <c r="AA30" s="30" t="str">
        <f t="shared" ref="AA30:AA35" si="8">INDEX($W$30:$W$35,MATCH(Y30,$X$30:$X$35,0))</f>
        <v>#REF!</v>
      </c>
    </row>
    <row r="31">
      <c r="N31" s="33"/>
      <c r="V31" s="30" t="str">
        <f>'1월'!$E$15</f>
        <v>🍪하나카드</v>
      </c>
      <c r="W31" s="30" t="str">
        <f>'1월'!$F15+'2월'!$F15+'3월'!$F15+'4월'!$F15+'5월'!$F15+'6월'!$F15+'7월'!$F15+'8월'!$F15+'9월'!$F15+'10월'!$F15+'11월'!$F15+'12월'!$F15</f>
        <v>#REF!</v>
      </c>
      <c r="X31" s="30" t="str">
        <f t="shared" si="5"/>
        <v>#REF!</v>
      </c>
      <c r="Y31" s="30" t="str">
        <f t="shared" si="6"/>
        <v>#REF!</v>
      </c>
      <c r="Z31" s="30" t="str">
        <f t="shared" si="7"/>
        <v>#REF!</v>
      </c>
      <c r="AA31" s="30" t="str">
        <f t="shared" si="8"/>
        <v>#REF!</v>
      </c>
    </row>
    <row r="32">
      <c r="V32" s="30" t="str">
        <f>'1월'!$E$16</f>
        <v>🐻체크카드(현영)</v>
      </c>
      <c r="W32" s="30" t="str">
        <f>'1월'!$F16+'2월'!$F16+'3월'!$F16+'4월'!$F16+'5월'!$F16+'6월'!$F16+'7월'!$F16+'8월'!$F16+'9월'!$F16+'10월'!$F16+'11월'!$F16+'12월'!$F16</f>
        <v>#REF!</v>
      </c>
      <c r="X32" s="30" t="str">
        <f t="shared" si="5"/>
        <v>#REF!</v>
      </c>
      <c r="Y32" s="30" t="str">
        <f t="shared" si="6"/>
        <v>#REF!</v>
      </c>
      <c r="Z32" s="30" t="str">
        <f t="shared" si="7"/>
        <v>#REF!</v>
      </c>
      <c r="AA32" s="30" t="str">
        <f t="shared" si="8"/>
        <v>#REF!</v>
      </c>
    </row>
    <row r="33">
      <c r="V33" s="30" t="str">
        <f>'1월'!$E$17</f>
        <v>🐻현금/이체</v>
      </c>
      <c r="W33" s="30" t="str">
        <f>'1월'!$F17+'2월'!$F17+'3월'!$F17+'4월'!$F17+'5월'!$F17+'6월'!$F17+'7월'!$F17+'8월'!$F17+'9월'!$F17+'10월'!$F17+'11월'!$F17+'12월'!$F17</f>
        <v>#REF!</v>
      </c>
      <c r="X33" s="30" t="str">
        <f t="shared" si="5"/>
        <v>#REF!</v>
      </c>
      <c r="Y33" s="30" t="str">
        <f t="shared" si="6"/>
        <v>#REF!</v>
      </c>
      <c r="Z33" s="30" t="str">
        <f t="shared" si="7"/>
        <v>#REF!</v>
      </c>
      <c r="AA33" s="30" t="str">
        <f t="shared" si="8"/>
        <v>#REF!</v>
      </c>
    </row>
    <row r="34">
      <c r="V34" s="30" t="str">
        <f>'1월'!$E$18</f>
        <v>🐻전통시장(제로페이)</v>
      </c>
      <c r="W34" s="30" t="str">
        <f>'1월'!$F18+'2월'!$F18+'3월'!$F18+'4월'!$F18+'5월'!$F18+'6월'!$F18+'7월'!$F18+'8월'!$F18+'9월'!$F18+'10월'!$F18+'11월'!$F18+'12월'!$F18</f>
        <v>#REF!</v>
      </c>
      <c r="X34" s="30" t="str">
        <f t="shared" si="5"/>
        <v>#REF!</v>
      </c>
      <c r="Y34" s="30" t="str">
        <f t="shared" si="6"/>
        <v>#REF!</v>
      </c>
      <c r="Z34" s="30" t="str">
        <f t="shared" si="7"/>
        <v>#REF!</v>
      </c>
      <c r="AA34" s="30" t="str">
        <f t="shared" si="8"/>
        <v>#REF!</v>
      </c>
    </row>
    <row r="35">
      <c r="V35" s="30" t="str">
        <f>'1월'!$E$19</f>
        <v>🐻하나카드</v>
      </c>
      <c r="W35" s="30" t="str">
        <f>'1월'!$F19+'2월'!$F19+'3월'!$F19+'4월'!$F19+'5월'!$F19+'6월'!$F19+'7월'!$F19+'8월'!$F19+'9월'!$F19+'10월'!$F19+'11월'!$F19+'12월'!$F19</f>
        <v>#REF!</v>
      </c>
      <c r="X35" s="30" t="str">
        <f t="shared" si="5"/>
        <v>#REF!</v>
      </c>
      <c r="Y35" s="30" t="str">
        <f t="shared" si="6"/>
        <v>#REF!</v>
      </c>
      <c r="Z35" s="30" t="str">
        <f t="shared" si="7"/>
        <v>#REF!</v>
      </c>
      <c r="AA35" s="30" t="str">
        <f t="shared" si="8"/>
        <v>#REF!</v>
      </c>
    </row>
    <row r="36">
      <c r="V36" s="4"/>
      <c r="W36" s="4"/>
      <c r="X36" s="4"/>
      <c r="Y36" s="4"/>
      <c r="Z36" s="4"/>
      <c r="AA36" s="4"/>
    </row>
    <row r="39">
      <c r="V39" s="30"/>
      <c r="W39" s="3" t="s">
        <v>3</v>
      </c>
      <c r="X39" s="3" t="s">
        <v>67</v>
      </c>
      <c r="Y39" s="3" t="s">
        <v>68</v>
      </c>
      <c r="Z39" s="3" t="s">
        <v>70</v>
      </c>
      <c r="AA39" s="34"/>
      <c r="AB39" s="3" t="s">
        <v>3</v>
      </c>
      <c r="AC39" s="3" t="s">
        <v>69</v>
      </c>
      <c r="AD39" s="3"/>
      <c r="AE39" s="3"/>
      <c r="AF39" s="3"/>
      <c r="AG39" s="3"/>
      <c r="AH39" s="34"/>
    </row>
    <row r="40">
      <c r="V40" s="3" t="s">
        <v>71</v>
      </c>
      <c r="W40" s="31">
        <f>F64</f>
        <v>10192950</v>
      </c>
      <c r="X40" s="31">
        <f>SUM(F73:F74)</f>
        <v>2319974</v>
      </c>
      <c r="Y40" s="31">
        <f>SUM(F81,F88,F95,F102,F109,F116,F123,F130,F137,F144,F151,F158)</f>
        <v>7872976</v>
      </c>
      <c r="Z40" s="35">
        <f t="shared" ref="Z40:Z51" si="10">X40/W40</f>
        <v>0.2276057471</v>
      </c>
      <c r="AB40" s="30" t="str">
        <f t="shared" ref="AB40:AC40" si="9">D56</f>
        <v>🍪 월급</v>
      </c>
      <c r="AC40" s="31">
        <f t="shared" si="9"/>
        <v>26352200</v>
      </c>
      <c r="AD40" s="30">
        <f t="shared" ref="AD40:AD47" si="12">_xlfn.RANK.EQ(AC40,$AC$40:$AC$47,0) + ROW(AE1)/10000</f>
        <v>2.0001</v>
      </c>
      <c r="AE40" s="30">
        <f t="shared" ref="AE40:AE47" si="13">SMALL($AD$40:$AD$47, ROW(AE1))</f>
        <v>1.0003</v>
      </c>
      <c r="AF40" s="30" t="str">
        <f t="shared" ref="AF40:AF47" si="14">INDEX($AB$40:$AB$47,MATCH(AE40,$AD$40:$AD$47,0))</f>
        <v>🐻 월급</v>
      </c>
      <c r="AG40" s="31">
        <f t="shared" ref="AG40:AG47" si="15">INDEX($AC$40:$AC$47,MATCH(AE40,$AD$40:$AD$47,0))</f>
        <v>40036190</v>
      </c>
    </row>
    <row r="41">
      <c r="V41" s="3" t="s">
        <v>72</v>
      </c>
      <c r="W41" s="31">
        <f>G64</f>
        <v>5488395</v>
      </c>
      <c r="X41" s="31">
        <f>SUM(G73:G74)</f>
        <v>-43556626</v>
      </c>
      <c r="Y41" s="31">
        <f>SUM(G81,G88,G95,G102,G109,G116,G123,G130,G137,G144,G151,G158)</f>
        <v>49045021</v>
      </c>
      <c r="Z41" s="35">
        <f t="shared" si="10"/>
        <v>-7.936131784</v>
      </c>
      <c r="AB41" s="30" t="str">
        <f t="shared" ref="AB41:AC41" si="11">D57</f>
        <v>🍪 부수입</v>
      </c>
      <c r="AC41" s="31">
        <f t="shared" si="11"/>
        <v>1217670</v>
      </c>
      <c r="AD41" s="30">
        <f t="shared" si="12"/>
        <v>5.0002</v>
      </c>
      <c r="AE41" s="30">
        <f t="shared" si="13"/>
        <v>2.0001</v>
      </c>
      <c r="AF41" s="30" t="str">
        <f t="shared" si="14"/>
        <v>🍪 월급</v>
      </c>
      <c r="AG41" s="31">
        <f t="shared" si="15"/>
        <v>26352200</v>
      </c>
    </row>
    <row r="42">
      <c r="V42" s="3" t="s">
        <v>73</v>
      </c>
      <c r="W42" s="31">
        <f>H64</f>
        <v>14040178</v>
      </c>
      <c r="X42" s="31">
        <f>SUM(H73:H74)</f>
        <v>9168382</v>
      </c>
      <c r="Y42" s="31">
        <f>SUM(H81,H88,H95,H102,H109,H116,H123,H130,H137,H144,H151,H158)</f>
        <v>4871796</v>
      </c>
      <c r="Z42" s="35">
        <f t="shared" si="10"/>
        <v>0.6530103821</v>
      </c>
      <c r="AB42" s="30" t="str">
        <f t="shared" ref="AB42:AC42" si="16">D58</f>
        <v>🐻 월급</v>
      </c>
      <c r="AC42" s="31">
        <f t="shared" si="16"/>
        <v>40036190</v>
      </c>
      <c r="AD42" s="30">
        <f t="shared" si="12"/>
        <v>1.0003</v>
      </c>
      <c r="AE42" s="30">
        <f t="shared" si="13"/>
        <v>3.0005</v>
      </c>
      <c r="AF42" s="30" t="str">
        <f t="shared" si="14"/>
        <v>기타</v>
      </c>
      <c r="AG42" s="31">
        <f t="shared" si="15"/>
        <v>25870051</v>
      </c>
    </row>
    <row r="43">
      <c r="V43" s="3" t="s">
        <v>74</v>
      </c>
      <c r="W43" s="31">
        <f>I64</f>
        <v>9492620</v>
      </c>
      <c r="X43" s="31">
        <f>SUM(I73:I74)</f>
        <v>4982607</v>
      </c>
      <c r="Y43" s="31">
        <f>SUM(I81,I88,I95,I102,I109,I116,I123,I130,I137,I144,I151,I158)</f>
        <v>4510013</v>
      </c>
      <c r="Z43" s="35">
        <f t="shared" si="10"/>
        <v>0.5248927061</v>
      </c>
      <c r="AB43" s="30" t="str">
        <f t="shared" ref="AB43:AC43" si="17">D59</f>
        <v>🐻 부수입</v>
      </c>
      <c r="AC43" s="31">
        <f t="shared" si="17"/>
        <v>2610900</v>
      </c>
      <c r="AD43" s="30">
        <f t="shared" si="12"/>
        <v>4.0004</v>
      </c>
      <c r="AE43" s="30">
        <f t="shared" si="13"/>
        <v>4.0004</v>
      </c>
      <c r="AF43" s="30" t="str">
        <f t="shared" si="14"/>
        <v>🐻 부수입</v>
      </c>
      <c r="AG43" s="31">
        <f t="shared" si="15"/>
        <v>2610900</v>
      </c>
    </row>
    <row r="44">
      <c r="V44" s="3" t="s">
        <v>75</v>
      </c>
      <c r="W44" s="31">
        <f>J64</f>
        <v>8430830</v>
      </c>
      <c r="X44" s="31">
        <f>SUM(J73:J74)</f>
        <v>4159339</v>
      </c>
      <c r="Y44" s="31">
        <f>SUM(J81,J88,J95,J102,J109,J116,J123,J130,J137,J144,J151,J158)</f>
        <v>4271491</v>
      </c>
      <c r="Z44" s="35">
        <f t="shared" si="10"/>
        <v>0.4933486976</v>
      </c>
      <c r="AB44" s="30" t="str">
        <f t="shared" ref="AB44:AC44" si="18">D60</f>
        <v>기타</v>
      </c>
      <c r="AC44" s="31">
        <f t="shared" si="18"/>
        <v>25870051</v>
      </c>
      <c r="AD44" s="30">
        <f t="shared" si="12"/>
        <v>3.0005</v>
      </c>
      <c r="AE44" s="30">
        <f t="shared" si="13"/>
        <v>5.0002</v>
      </c>
      <c r="AF44" s="30" t="str">
        <f t="shared" si="14"/>
        <v>🍪 부수입</v>
      </c>
      <c r="AG44" s="31">
        <f t="shared" si="15"/>
        <v>1217670</v>
      </c>
    </row>
    <row r="45">
      <c r="V45" s="3" t="s">
        <v>76</v>
      </c>
      <c r="W45" s="31">
        <f>K64</f>
        <v>8399150</v>
      </c>
      <c r="X45" s="31">
        <f>SUM(K73:K74)</f>
        <v>4609454</v>
      </c>
      <c r="Y45" s="31">
        <f>SUM(K81,K88,K95,K102,K109,K116,K123,K130,K137,K144,K151,K158)</f>
        <v>3789696</v>
      </c>
      <c r="Z45" s="35">
        <f t="shared" si="10"/>
        <v>0.5488000571</v>
      </c>
      <c r="AB45" s="30" t="str">
        <f t="shared" ref="AB45:AC45" si="19">D61</f>
        <v/>
      </c>
      <c r="AC45" s="31">
        <f t="shared" si="19"/>
        <v>0</v>
      </c>
      <c r="AD45" s="30">
        <f t="shared" si="12"/>
        <v>6.0006</v>
      </c>
      <c r="AE45" s="30">
        <f t="shared" si="13"/>
        <v>6.0006</v>
      </c>
      <c r="AF45" s="30" t="str">
        <f t="shared" si="14"/>
        <v/>
      </c>
      <c r="AG45" s="31">
        <f t="shared" si="15"/>
        <v>0</v>
      </c>
    </row>
    <row r="46">
      <c r="V46" s="3" t="s">
        <v>77</v>
      </c>
      <c r="W46" s="31">
        <f>L64</f>
        <v>4699920</v>
      </c>
      <c r="X46" s="31">
        <f>SUM(L73:L74)</f>
        <v>1225600</v>
      </c>
      <c r="Y46" s="31">
        <f>SUM(L81,L88,L95,L102,L109,L116,L123,L130,L137,L144,L151,L158)</f>
        <v>3474320</v>
      </c>
      <c r="Z46" s="35">
        <f t="shared" si="10"/>
        <v>0.2607703961</v>
      </c>
      <c r="AB46" s="30" t="str">
        <f t="shared" ref="AB46:AC46" si="20">D62</f>
        <v/>
      </c>
      <c r="AC46" s="31">
        <f t="shared" si="20"/>
        <v>0</v>
      </c>
      <c r="AD46" s="30">
        <f t="shared" si="12"/>
        <v>6.0007</v>
      </c>
      <c r="AE46" s="30">
        <f t="shared" si="13"/>
        <v>6.0007</v>
      </c>
      <c r="AF46" s="30" t="str">
        <f t="shared" si="14"/>
        <v/>
      </c>
      <c r="AG46" s="31">
        <f t="shared" si="15"/>
        <v>0</v>
      </c>
    </row>
    <row r="47">
      <c r="V47" s="3" t="s">
        <v>78</v>
      </c>
      <c r="W47" s="31">
        <f>M64</f>
        <v>4619920</v>
      </c>
      <c r="X47" s="31">
        <f>SUM(M73:M74)</f>
        <v>1972731</v>
      </c>
      <c r="Y47" s="31">
        <f>SUM(M81,M88,M95,M102,M109,M116,M123,M130,M137,M144,M151,M158)</f>
        <v>2647189</v>
      </c>
      <c r="Z47" s="35">
        <f t="shared" si="10"/>
        <v>0.427005446</v>
      </c>
      <c r="AB47" s="30" t="str">
        <f t="shared" ref="AB47:AC47" si="21">D63</f>
        <v/>
      </c>
      <c r="AC47" s="31">
        <f t="shared" si="21"/>
        <v>0</v>
      </c>
      <c r="AD47" s="30">
        <f t="shared" si="12"/>
        <v>6.0008</v>
      </c>
      <c r="AE47" s="30">
        <f t="shared" si="13"/>
        <v>6.0008</v>
      </c>
      <c r="AF47" s="30" t="str">
        <f t="shared" si="14"/>
        <v/>
      </c>
      <c r="AG47" s="31">
        <f t="shared" si="15"/>
        <v>0</v>
      </c>
    </row>
    <row r="48">
      <c r="V48" s="3" t="s">
        <v>79</v>
      </c>
      <c r="W48" s="31">
        <f>N64</f>
        <v>5389550</v>
      </c>
      <c r="X48" s="31">
        <f>SUM(N73:N74)</f>
        <v>2374710</v>
      </c>
      <c r="Y48" s="31">
        <f>SUM(N81,N88,N95,N102,N109,N116,N123,N130,N137,N144,N151,N158)</f>
        <v>3014840</v>
      </c>
      <c r="Z48" s="35">
        <f t="shared" si="10"/>
        <v>0.4406137804</v>
      </c>
    </row>
    <row r="49">
      <c r="E49" s="36"/>
      <c r="V49" s="3" t="s">
        <v>80</v>
      </c>
      <c r="W49" s="31">
        <f>O64</f>
        <v>9914708</v>
      </c>
      <c r="X49" s="31">
        <f>SUM(O73:O74)</f>
        <v>5672610</v>
      </c>
      <c r="Y49" s="31">
        <f>SUM(O81,O88,O95,O102,O109,O116,O123,O130,O137,O144,O151,O158)</f>
        <v>4242098</v>
      </c>
      <c r="Z49" s="35">
        <f t="shared" si="10"/>
        <v>0.5721409042</v>
      </c>
    </row>
    <row r="50">
      <c r="V50" s="3" t="s">
        <v>81</v>
      </c>
      <c r="W50" s="31">
        <f>P64</f>
        <v>15418790</v>
      </c>
      <c r="X50" s="31">
        <f>SUM(P73:P74)</f>
        <v>9002953</v>
      </c>
      <c r="Y50" s="31">
        <f>SUM(P81,P88,P95,P102,P109,P116,P123,P130,P137,P144,P151,P158)</f>
        <v>6415837</v>
      </c>
      <c r="Z50" s="35">
        <f t="shared" si="10"/>
        <v>0.58389491</v>
      </c>
    </row>
    <row r="51">
      <c r="V51" s="3" t="s">
        <v>82</v>
      </c>
      <c r="W51" s="31">
        <f>Q64</f>
        <v>0</v>
      </c>
      <c r="X51" s="31">
        <f>SUM(Q73:Q74)</f>
        <v>0</v>
      </c>
      <c r="Y51" s="31">
        <f>SUM(Q81,Q88,Q95,Q102,Q109,Q116,Q123,Q130,Q137,Q144,Q151,Q158)</f>
        <v>0</v>
      </c>
      <c r="Z51" s="35" t="str">
        <f t="shared" si="10"/>
        <v>#DIV/0!</v>
      </c>
    </row>
    <row r="52">
      <c r="V52" s="30"/>
      <c r="W52" s="31">
        <f t="shared" ref="W52:Y52" si="22">SUM(W40:W51)</f>
        <v>96087011</v>
      </c>
      <c r="X52" s="31">
        <f t="shared" si="22"/>
        <v>1931734</v>
      </c>
      <c r="Y52" s="31">
        <f t="shared" si="22"/>
        <v>94155277</v>
      </c>
      <c r="Z52" s="30"/>
    </row>
    <row r="55">
      <c r="C55" s="37" t="s">
        <v>1</v>
      </c>
      <c r="D55" s="38" t="s">
        <v>2</v>
      </c>
      <c r="E55" s="38" t="s">
        <v>69</v>
      </c>
      <c r="F55" s="38" t="s">
        <v>71</v>
      </c>
      <c r="G55" s="38" t="s">
        <v>72</v>
      </c>
      <c r="H55" s="38" t="s">
        <v>73</v>
      </c>
      <c r="I55" s="38" t="s">
        <v>74</v>
      </c>
      <c r="J55" s="38" t="s">
        <v>75</v>
      </c>
      <c r="K55" s="38" t="s">
        <v>76</v>
      </c>
      <c r="L55" s="38" t="s">
        <v>77</v>
      </c>
      <c r="M55" s="38" t="s">
        <v>78</v>
      </c>
      <c r="N55" s="38" t="s">
        <v>79</v>
      </c>
      <c r="O55" s="38" t="s">
        <v>80</v>
      </c>
      <c r="P55" s="38" t="s">
        <v>81</v>
      </c>
      <c r="Q55" s="38" t="s">
        <v>82</v>
      </c>
      <c r="R55" s="39" t="s">
        <v>83</v>
      </c>
    </row>
    <row r="56" outlineLevel="1">
      <c r="C56" s="40" t="s">
        <v>3</v>
      </c>
      <c r="D56" s="41" t="s">
        <v>4</v>
      </c>
      <c r="E56" s="42">
        <f t="shared" ref="E56:E158" si="23">SUM(F56:Q56)</f>
        <v>26352200</v>
      </c>
      <c r="F56" s="43">
        <f t="array" ref="F56">INDIRECT("1월!$F$25")</f>
        <v>3257030</v>
      </c>
      <c r="G56" s="43">
        <f t="array" ref="G56">INDIRECT("2월!$F$25")</f>
        <v>3257030</v>
      </c>
      <c r="H56" s="43">
        <f t="array" ref="H56">INDIRECT("3월!$F$25")</f>
        <v>3297040</v>
      </c>
      <c r="I56" s="43">
        <f t="array" ref="I56">INDIRECT("4월!$F$25")</f>
        <v>3306190</v>
      </c>
      <c r="J56" s="43">
        <f t="array" ref="J56">INDIRECT("5월!$F$25")</f>
        <v>3305170</v>
      </c>
      <c r="K56" s="43">
        <f t="array" ref="K56">INDIRECT("6월!$F$25")</f>
        <v>3304700</v>
      </c>
      <c r="L56" s="43">
        <f t="array" ref="L56">INDIRECT("7월!$F$25")</f>
        <v>0</v>
      </c>
      <c r="M56" s="43">
        <f t="array" ref="M56">INDIRECT("8월!$F$25")</f>
        <v>0</v>
      </c>
      <c r="N56" s="43">
        <f t="array" ref="N56">INDIRECT("9월!$F$25")</f>
        <v>0</v>
      </c>
      <c r="O56" s="43">
        <f t="array" ref="O56">INDIRECT("10월!$F$25")</f>
        <v>3312520</v>
      </c>
      <c r="P56" s="43">
        <f t="array" ref="P56">INDIRECT("11월!$F$25")</f>
        <v>3312520</v>
      </c>
      <c r="Q56" s="43">
        <f t="array" ref="Q56">INDIRECT("12월!$F$25")</f>
        <v>0</v>
      </c>
      <c r="R56" s="44">
        <f t="shared" ref="R56:R158" si="24">IFERROR(SUM(F56:Q56)/W$69,"")</f>
        <v>2395654.545</v>
      </c>
      <c r="V56" s="30"/>
      <c r="W56" s="3" t="s">
        <v>84</v>
      </c>
    </row>
    <row r="57" outlineLevel="1">
      <c r="C57" s="45"/>
      <c r="D57" s="41" t="s">
        <v>5</v>
      </c>
      <c r="E57" s="42">
        <f t="shared" si="23"/>
        <v>1217670</v>
      </c>
      <c r="F57" s="43">
        <f t="array" ref="F57">INDIRECT("1월!$F$26")</f>
        <v>345000</v>
      </c>
      <c r="G57" s="43">
        <f t="array" ref="G57">INDIRECT("2월!$F$26")</f>
        <v>872670</v>
      </c>
      <c r="H57" s="43">
        <f t="array" ref="H57">INDIRECT("3월!$F$26")</f>
        <v>0</v>
      </c>
      <c r="I57" s="43">
        <f t="array" ref="I57">INDIRECT("4월!$F$26")</f>
        <v>0</v>
      </c>
      <c r="J57" s="43">
        <f t="array" ref="J57">INDIRECT("5월!$F$26")</f>
        <v>0</v>
      </c>
      <c r="K57" s="43">
        <f t="array" ref="K57">INDIRECT("6월!$F$26")</f>
        <v>0</v>
      </c>
      <c r="L57" s="43">
        <f t="array" ref="L57">INDIRECT("7월!$F$26")</f>
        <v>0</v>
      </c>
      <c r="M57" s="43">
        <f t="array" ref="M57">INDIRECT("8월!$F$26")</f>
        <v>0</v>
      </c>
      <c r="N57" s="43">
        <f t="array" ref="N57">INDIRECT("9월!$F$26")</f>
        <v>0</v>
      </c>
      <c r="O57" s="43">
        <f t="array" ref="O57">INDIRECT("10월!$F$26")</f>
        <v>0</v>
      </c>
      <c r="P57" s="43">
        <f t="array" ref="P57">INDIRECT("11월!$F$26")</f>
        <v>0</v>
      </c>
      <c r="Q57" s="43">
        <f t="array" ref="Q57">INDIRECT("12월!$F$26")</f>
        <v>0</v>
      </c>
      <c r="R57" s="44">
        <f t="shared" si="24"/>
        <v>110697.2727</v>
      </c>
      <c r="V57" s="3" t="s">
        <v>71</v>
      </c>
      <c r="W57" s="30">
        <f>IF(COUNTIF(F56:F158, "&lt;&gt;0") &gt; 0, 1, 0)</f>
        <v>1</v>
      </c>
    </row>
    <row r="58" outlineLevel="1">
      <c r="C58" s="45"/>
      <c r="D58" s="41" t="s">
        <v>6</v>
      </c>
      <c r="E58" s="42">
        <f t="shared" si="23"/>
        <v>40036190</v>
      </c>
      <c r="F58" s="43">
        <f t="array" ref="F58">INDIRECT("1월!$F$27")</f>
        <v>4310870</v>
      </c>
      <c r="G58" s="43">
        <f t="array" ref="G58">INDIRECT("2월!$F$27")</f>
        <v>0</v>
      </c>
      <c r="H58" s="43">
        <f t="array" ref="H58">INDIRECT("3월!$F$27")</f>
        <v>0</v>
      </c>
      <c r="I58" s="43">
        <f t="array" ref="I58">INDIRECT("4월!$F$27")</f>
        <v>4754880</v>
      </c>
      <c r="J58" s="43">
        <f t="array" ref="J58">INDIRECT("5월!$F$27")</f>
        <v>4570920</v>
      </c>
      <c r="K58" s="43">
        <f t="array" ref="K58">INDIRECT("6월!$F$27")</f>
        <v>4399920</v>
      </c>
      <c r="L58" s="43">
        <f t="array" ref="L58">INDIRECT("7월!$F$27")</f>
        <v>4399920</v>
      </c>
      <c r="M58" s="43">
        <f t="array" ref="M58">INDIRECT("8월!$F$27")</f>
        <v>4399920</v>
      </c>
      <c r="N58" s="43">
        <f t="array" ref="N58">INDIRECT("9월!$F$27")</f>
        <v>4399920</v>
      </c>
      <c r="O58" s="43">
        <f t="array" ref="O58">INDIRECT("10월!$F$27")</f>
        <v>4399920</v>
      </c>
      <c r="P58" s="43">
        <f t="array" ref="P58">INDIRECT("11월!$F$27")</f>
        <v>4399920</v>
      </c>
      <c r="Q58" s="43">
        <f t="array" ref="Q58">INDIRECT("12월!$F$27")</f>
        <v>0</v>
      </c>
      <c r="R58" s="44">
        <f t="shared" si="24"/>
        <v>3639653.636</v>
      </c>
      <c r="V58" s="3" t="s">
        <v>72</v>
      </c>
      <c r="W58" s="30">
        <f>IF(COUNTIF(G56:G158, "&lt;&gt;0") &gt; 0, 1, 0)</f>
        <v>1</v>
      </c>
    </row>
    <row r="59" outlineLevel="1">
      <c r="C59" s="45"/>
      <c r="D59" s="41" t="s">
        <v>7</v>
      </c>
      <c r="E59" s="42">
        <f t="shared" si="23"/>
        <v>2610900</v>
      </c>
      <c r="F59" s="43">
        <f t="array" ref="F59">INDIRECT("1월!$F$28")</f>
        <v>0</v>
      </c>
      <c r="G59" s="43">
        <f t="array" ref="G59">INDIRECT("2월!$F$28")</f>
        <v>0</v>
      </c>
      <c r="H59" s="43">
        <f t="array" ref="H59">INDIRECT("3월!$F$28")</f>
        <v>0</v>
      </c>
      <c r="I59" s="43">
        <f t="array" ref="I59">INDIRECT("4월!$F$28")</f>
        <v>0</v>
      </c>
      <c r="J59" s="43">
        <f t="array" ref="J59">INDIRECT("5월!$F$28")</f>
        <v>0</v>
      </c>
      <c r="K59" s="43">
        <f t="array" ref="K59">INDIRECT("6월!$F$28")</f>
        <v>0</v>
      </c>
      <c r="L59" s="43">
        <f t="array" ref="L59">INDIRECT("7월!$F$28")</f>
        <v>0</v>
      </c>
      <c r="M59" s="43">
        <f t="array" ref="M59">INDIRECT("8월!$F$28")</f>
        <v>0</v>
      </c>
      <c r="N59" s="43">
        <f t="array" ref="N59">INDIRECT("9월!$F$28")</f>
        <v>0</v>
      </c>
      <c r="O59" s="43">
        <f t="array" ref="O59">INDIRECT("10월!$F$28")</f>
        <v>1305450</v>
      </c>
      <c r="P59" s="43">
        <f t="array" ref="P59">INDIRECT("11월!$F$28")</f>
        <v>1305450</v>
      </c>
      <c r="Q59" s="43">
        <f t="array" ref="Q59">INDIRECT("12월!$F$28")</f>
        <v>0</v>
      </c>
      <c r="R59" s="44">
        <f t="shared" si="24"/>
        <v>237354.5455</v>
      </c>
      <c r="V59" s="3" t="s">
        <v>73</v>
      </c>
      <c r="W59" s="30">
        <f>IF(COUNTIF(H56:H158, "&lt;&gt;0") &gt; 0, 1, 0)</f>
        <v>1</v>
      </c>
    </row>
    <row r="60" outlineLevel="1">
      <c r="C60" s="45"/>
      <c r="D60" s="41" t="s">
        <v>8</v>
      </c>
      <c r="E60" s="42">
        <f t="shared" si="23"/>
        <v>25870051</v>
      </c>
      <c r="F60" s="43">
        <f t="array" ref="F60">INDIRECT("1월!$F$29")</f>
        <v>2280050</v>
      </c>
      <c r="G60" s="43">
        <f t="array" ref="G60">INDIRECT("2월!$F$29")</f>
        <v>1358695</v>
      </c>
      <c r="H60" s="43">
        <f t="array" ref="H60">INDIRECT("3월!$F$29")</f>
        <v>10743138</v>
      </c>
      <c r="I60" s="43">
        <f t="array" ref="I60">INDIRECT("4월!$F$29")</f>
        <v>1431550</v>
      </c>
      <c r="J60" s="43">
        <f t="array" ref="J60">INDIRECT("5월!$F$29")</f>
        <v>554740</v>
      </c>
      <c r="K60" s="43">
        <f t="array" ref="K60">INDIRECT("6월!$F$29")</f>
        <v>694530</v>
      </c>
      <c r="L60" s="43">
        <f t="array" ref="L60">INDIRECT("7월!$F$29")</f>
        <v>300000</v>
      </c>
      <c r="M60" s="43">
        <f t="array" ref="M60">INDIRECT("8월!$F$29")</f>
        <v>220000</v>
      </c>
      <c r="N60" s="43">
        <f t="array" ref="N60">INDIRECT("9월!$F$29")</f>
        <v>989630</v>
      </c>
      <c r="O60" s="43">
        <f t="array" ref="O60">INDIRECT("10월!$F$29")</f>
        <v>896818</v>
      </c>
      <c r="P60" s="43">
        <f t="array" ref="P60">INDIRECT("11월!$F$29")</f>
        <v>6400900</v>
      </c>
      <c r="Q60" s="43">
        <f t="array" ref="Q60">INDIRECT("12월!$F$29")</f>
        <v>0</v>
      </c>
      <c r="R60" s="44">
        <f t="shared" si="24"/>
        <v>2351822.818</v>
      </c>
      <c r="V60" s="3" t="s">
        <v>74</v>
      </c>
      <c r="W60" s="30">
        <f>IF(COUNTIF(I56:I158, "&lt;&gt;0") &gt; 0, 1, 0)</f>
        <v>1</v>
      </c>
    </row>
    <row r="61" outlineLevel="1">
      <c r="C61" s="45"/>
      <c r="D61" s="41"/>
      <c r="E61" s="42">
        <f t="shared" si="23"/>
        <v>0</v>
      </c>
      <c r="F61" s="43">
        <f t="array" ref="F61">INDIRECT("1월!$F$30")</f>
        <v>0</v>
      </c>
      <c r="G61" s="43">
        <f t="array" ref="G61">INDIRECT("2월!$F$30")</f>
        <v>0</v>
      </c>
      <c r="H61" s="43">
        <f t="array" ref="H61">INDIRECT("3월!$F$30")</f>
        <v>0</v>
      </c>
      <c r="I61" s="43">
        <f t="array" ref="I61">INDIRECT("4월!$F$30")</f>
        <v>0</v>
      </c>
      <c r="J61" s="43">
        <f t="array" ref="J61">INDIRECT("5월!$F$30")</f>
        <v>0</v>
      </c>
      <c r="K61" s="43">
        <f t="array" ref="K61">INDIRECT("6월!$F$30")</f>
        <v>0</v>
      </c>
      <c r="L61" s="43">
        <f t="array" ref="L61">INDIRECT("7월!$F$30")</f>
        <v>0</v>
      </c>
      <c r="M61" s="43">
        <f t="array" ref="M61">INDIRECT("8월!$F$30")</f>
        <v>0</v>
      </c>
      <c r="N61" s="43">
        <f t="array" ref="N61">INDIRECT("9월!$F$30")</f>
        <v>0</v>
      </c>
      <c r="O61" s="43">
        <f t="array" ref="O61">INDIRECT("10월!$F$30")</f>
        <v>0</v>
      </c>
      <c r="P61" s="43">
        <f t="array" ref="P61">INDIRECT("11월!$F$30")</f>
        <v>0</v>
      </c>
      <c r="Q61" s="43">
        <f t="array" ref="Q61">INDIRECT("12월!$F$30")</f>
        <v>0</v>
      </c>
      <c r="R61" s="44">
        <f t="shared" si="24"/>
        <v>0</v>
      </c>
      <c r="V61" s="3" t="s">
        <v>75</v>
      </c>
      <c r="W61" s="30">
        <f>IF(COUNTIF(J56:J158, "&lt;&gt;0") &gt; 0, 1, 0)</f>
        <v>1</v>
      </c>
    </row>
    <row r="62" outlineLevel="1">
      <c r="C62" s="45"/>
      <c r="D62" s="41"/>
      <c r="E62" s="42">
        <f t="shared" si="23"/>
        <v>0</v>
      </c>
      <c r="F62" s="43">
        <f t="array" ref="F62">INDIRECT("1월!$F$31")</f>
        <v>0</v>
      </c>
      <c r="G62" s="43">
        <f t="array" ref="G62">INDIRECT("2월!$F$31")</f>
        <v>0</v>
      </c>
      <c r="H62" s="43">
        <f t="array" ref="H62">INDIRECT("3월!$F$31")</f>
        <v>0</v>
      </c>
      <c r="I62" s="43">
        <f t="array" ref="I62">INDIRECT("4월!$F$31")</f>
        <v>0</v>
      </c>
      <c r="J62" s="43">
        <f t="array" ref="J62">INDIRECT("5월!$F$31")</f>
        <v>0</v>
      </c>
      <c r="K62" s="43">
        <f t="array" ref="K62">INDIRECT("6월!$F$31")</f>
        <v>0</v>
      </c>
      <c r="L62" s="43">
        <f t="array" ref="L62">INDIRECT("7월!$F$31")</f>
        <v>0</v>
      </c>
      <c r="M62" s="43">
        <f t="array" ref="M62">INDIRECT("8월!$F$31")</f>
        <v>0</v>
      </c>
      <c r="N62" s="43">
        <f t="array" ref="N62">INDIRECT("9월!$F$31")</f>
        <v>0</v>
      </c>
      <c r="O62" s="43">
        <f t="array" ref="O62">INDIRECT("10월!$F$31")</f>
        <v>0</v>
      </c>
      <c r="P62" s="43">
        <f t="array" ref="P62">INDIRECT("11월!$F$31")</f>
        <v>0</v>
      </c>
      <c r="Q62" s="43">
        <f t="array" ref="Q62">INDIRECT("12월!$F$31")</f>
        <v>0</v>
      </c>
      <c r="R62" s="44">
        <f t="shared" si="24"/>
        <v>0</v>
      </c>
      <c r="V62" s="3" t="s">
        <v>76</v>
      </c>
      <c r="W62" s="30">
        <f>IF(COUNTIF(K56:K158, "&lt;&gt;0") &gt; 0, 1, 0)</f>
        <v>1</v>
      </c>
    </row>
    <row r="63" outlineLevel="1">
      <c r="C63" s="46"/>
      <c r="D63" s="47"/>
      <c r="E63" s="42">
        <f t="shared" si="23"/>
        <v>0</v>
      </c>
      <c r="F63" s="43">
        <f t="array" ref="F63">INDIRECT("1월!$F$32")</f>
        <v>0</v>
      </c>
      <c r="G63" s="43">
        <f t="array" ref="G63">INDIRECT("2월!$F$32")</f>
        <v>0</v>
      </c>
      <c r="H63" s="43">
        <f t="array" ref="H63">INDIRECT("3월!$F$32")</f>
        <v>0</v>
      </c>
      <c r="I63" s="43">
        <f t="array" ref="I63">INDIRECT("4월!$F$32")</f>
        <v>0</v>
      </c>
      <c r="J63" s="43">
        <f t="array" ref="J63">INDIRECT("5월!$F$32")</f>
        <v>0</v>
      </c>
      <c r="K63" s="43">
        <f t="array" ref="K63">INDIRECT("6월!$F$32")</f>
        <v>0</v>
      </c>
      <c r="L63" s="43">
        <f t="array" ref="L63">INDIRECT("7월!$F$32")</f>
        <v>0</v>
      </c>
      <c r="M63" s="43">
        <f t="array" ref="M63">INDIRECT("8월!$F$32")</f>
        <v>0</v>
      </c>
      <c r="N63" s="43">
        <f t="array" ref="N63">INDIRECT("9월!$F$32")</f>
        <v>0</v>
      </c>
      <c r="O63" s="43">
        <f t="array" ref="O63">INDIRECT("10월!$F$32")</f>
        <v>0</v>
      </c>
      <c r="P63" s="43">
        <f t="array" ref="P63">INDIRECT("11월!$F$32")</f>
        <v>0</v>
      </c>
      <c r="Q63" s="43">
        <f t="array" ref="Q63">INDIRECT("12월!$F$32")</f>
        <v>0</v>
      </c>
      <c r="R63" s="44">
        <f t="shared" si="24"/>
        <v>0</v>
      </c>
      <c r="V63" s="3" t="s">
        <v>77</v>
      </c>
      <c r="W63" s="30">
        <f>IF(COUNTIF(L56:L158, "&lt;&gt;0") &gt; 0, 1, 0)</f>
        <v>1</v>
      </c>
    </row>
    <row r="64">
      <c r="C64" s="48" t="str">
        <f>IF($C$56=0,"","총"&amp;$C$56)</f>
        <v>총수입</v>
      </c>
      <c r="D64" s="8"/>
      <c r="E64" s="49">
        <f t="shared" si="23"/>
        <v>96087011</v>
      </c>
      <c r="F64" s="43">
        <f t="array" ref="F64">INDIRECT("1월!$F$33")</f>
        <v>10192950</v>
      </c>
      <c r="G64" s="43">
        <f t="array" ref="G64">INDIRECT("2월!$F$33")</f>
        <v>5488395</v>
      </c>
      <c r="H64" s="43">
        <f t="array" ref="H64">INDIRECT("3월!$F$33")</f>
        <v>14040178</v>
      </c>
      <c r="I64" s="43">
        <f t="array" ref="I64">INDIRECT("4월!$F$33")</f>
        <v>9492620</v>
      </c>
      <c r="J64" s="43">
        <f t="array" ref="J64">INDIRECT("5월!$F$33")</f>
        <v>8430830</v>
      </c>
      <c r="K64" s="43">
        <f t="array" ref="K64">INDIRECT("6월!$F$33")</f>
        <v>8399150</v>
      </c>
      <c r="L64" s="43">
        <f t="array" ref="L64">INDIRECT("7월!$F$33")</f>
        <v>4699920</v>
      </c>
      <c r="M64" s="43">
        <f t="array" ref="M64">INDIRECT("8월!$F$33")</f>
        <v>4619920</v>
      </c>
      <c r="N64" s="43">
        <f t="array" ref="N64">INDIRECT("9월!$F$33")</f>
        <v>5389550</v>
      </c>
      <c r="O64" s="43">
        <f t="array" ref="O64">INDIRECT("10월!$F$33")</f>
        <v>9914708</v>
      </c>
      <c r="P64" s="43">
        <f t="array" ref="P64">INDIRECT("11월!$F$33")</f>
        <v>15418790</v>
      </c>
      <c r="Q64" s="43">
        <f t="array" ref="Q64">INDIRECT("12월!$F$33")</f>
        <v>0</v>
      </c>
      <c r="R64" s="44">
        <f t="shared" si="24"/>
        <v>8735182.818</v>
      </c>
      <c r="V64" s="3" t="s">
        <v>78</v>
      </c>
      <c r="W64" s="30">
        <f>IF(COUNTIF(M56:M158, "&lt;&gt;0") &gt; 0, 1, 0)</f>
        <v>1</v>
      </c>
    </row>
    <row r="65" outlineLevel="1">
      <c r="C65" s="50" t="s">
        <v>9</v>
      </c>
      <c r="D65" s="51" t="s">
        <v>10</v>
      </c>
      <c r="E65" s="42">
        <f t="shared" si="23"/>
        <v>0</v>
      </c>
      <c r="F65" s="42">
        <f t="array" ref="F65">INDIRECT("1월!$F$35")</f>
        <v>0</v>
      </c>
      <c r="G65" s="42">
        <f t="array" ref="G65">INDIRECT("2월!$F$35")</f>
        <v>0</v>
      </c>
      <c r="H65" s="42">
        <f t="array" ref="H65">INDIRECT("3월!$F$35")</f>
        <v>0</v>
      </c>
      <c r="I65" s="42">
        <f t="array" ref="I65">INDIRECT("4월!$F$35")</f>
        <v>0</v>
      </c>
      <c r="J65" s="42">
        <f t="array" ref="J65">INDIRECT("5월!$F$35")</f>
        <v>0</v>
      </c>
      <c r="K65" s="42">
        <f t="array" ref="K65">INDIRECT("6월!$F$35")</f>
        <v>0</v>
      </c>
      <c r="L65" s="42">
        <f t="array" ref="L65">INDIRECT("7월!$F$35")</f>
        <v>0</v>
      </c>
      <c r="M65" s="42">
        <f t="array" ref="M65">INDIRECT("8월!$F$35")</f>
        <v>0</v>
      </c>
      <c r="N65" s="42">
        <f t="array" ref="N65">INDIRECT("9월!$F$35")</f>
        <v>0</v>
      </c>
      <c r="O65" s="42">
        <f t="array" ref="O65">INDIRECT("10월!$F$35")</f>
        <v>0</v>
      </c>
      <c r="P65" s="42">
        <f t="array" ref="P65">INDIRECT("11월!$F$35")</f>
        <v>0</v>
      </c>
      <c r="Q65" s="42">
        <f t="array" ref="Q65">INDIRECT("12월!$F$35")</f>
        <v>0</v>
      </c>
      <c r="R65" s="44">
        <f t="shared" si="24"/>
        <v>0</v>
      </c>
      <c r="V65" s="3" t="s">
        <v>79</v>
      </c>
      <c r="W65" s="30">
        <f>IF(COUNTIF(N56:N158, "&lt;&gt;0") &gt; 0, 1, 0)</f>
        <v>1</v>
      </c>
    </row>
    <row r="66" outlineLevel="1">
      <c r="C66" s="45"/>
      <c r="D66" s="41" t="s">
        <v>11</v>
      </c>
      <c r="E66" s="42">
        <f t="shared" si="23"/>
        <v>0</v>
      </c>
      <c r="F66" s="42">
        <f t="array" ref="F66">INDIRECT("1월!$F$36")</f>
        <v>0</v>
      </c>
      <c r="G66" s="42">
        <f t="array" ref="G66">INDIRECT("2월!$F$36")</f>
        <v>0</v>
      </c>
      <c r="H66" s="42">
        <f t="array" ref="H66">INDIRECT("3월!$F$36")</f>
        <v>0</v>
      </c>
      <c r="I66" s="42">
        <f t="array" ref="I66">INDIRECT("4월!$F$36")</f>
        <v>0</v>
      </c>
      <c r="J66" s="42">
        <f t="array" ref="J66">INDIRECT("5월!$F$36")</f>
        <v>0</v>
      </c>
      <c r="K66" s="42">
        <f t="array" ref="K66">INDIRECT("6월!$F$36")</f>
        <v>0</v>
      </c>
      <c r="L66" s="42">
        <f t="array" ref="L66">INDIRECT("7월!$F$36")</f>
        <v>0</v>
      </c>
      <c r="M66" s="42">
        <f t="array" ref="M66">INDIRECT("8월!$F$36")</f>
        <v>0</v>
      </c>
      <c r="N66" s="42">
        <f t="array" ref="N66">INDIRECT("9월!$F$36")</f>
        <v>0</v>
      </c>
      <c r="O66" s="42">
        <f t="array" ref="O66">INDIRECT("10월!$F$36")</f>
        <v>0</v>
      </c>
      <c r="P66" s="42">
        <f t="array" ref="P66">INDIRECT("11월!$F$36")</f>
        <v>0</v>
      </c>
      <c r="Q66" s="42">
        <f t="array" ref="Q66">INDIRECT("12월!$F$36")</f>
        <v>0</v>
      </c>
      <c r="R66" s="44">
        <f t="shared" si="24"/>
        <v>0</v>
      </c>
      <c r="V66" s="3" t="s">
        <v>80</v>
      </c>
      <c r="W66" s="30">
        <f>IF(COUNTIF(O56:O158, "&lt;&gt;0") &gt; 0, 1, 0)</f>
        <v>1</v>
      </c>
    </row>
    <row r="67" outlineLevel="1">
      <c r="C67" s="45"/>
      <c r="D67" s="41" t="s">
        <v>12</v>
      </c>
      <c r="E67" s="42">
        <f t="shared" si="23"/>
        <v>6000000</v>
      </c>
      <c r="F67" s="42">
        <f t="array" ref="F67">INDIRECT("1월!$F$37")</f>
        <v>3000000</v>
      </c>
      <c r="G67" s="42">
        <f t="array" ref="G67">INDIRECT("2월!$F$37")</f>
        <v>0</v>
      </c>
      <c r="H67" s="42">
        <f t="array" ref="H67">INDIRECT("3월!$F$37")</f>
        <v>0</v>
      </c>
      <c r="I67" s="42">
        <f t="array" ref="I67">INDIRECT("4월!$F$37")</f>
        <v>0</v>
      </c>
      <c r="J67" s="42">
        <f t="array" ref="J67">INDIRECT("5월!$F$37")</f>
        <v>3000000</v>
      </c>
      <c r="K67" s="42">
        <f t="array" ref="K67">INDIRECT("6월!$F$37")</f>
        <v>0</v>
      </c>
      <c r="L67" s="42">
        <f t="array" ref="L67">INDIRECT("7월!$F$37")</f>
        <v>0</v>
      </c>
      <c r="M67" s="42">
        <f t="array" ref="M67">INDIRECT("8월!$F$37")</f>
        <v>0</v>
      </c>
      <c r="N67" s="42">
        <f t="array" ref="N67">INDIRECT("9월!$F$37")</f>
        <v>0</v>
      </c>
      <c r="O67" s="42">
        <f t="array" ref="O67">INDIRECT("10월!$F$37")</f>
        <v>0</v>
      </c>
      <c r="P67" s="42">
        <f t="array" ref="P67">INDIRECT("11월!$F$37")</f>
        <v>0</v>
      </c>
      <c r="Q67" s="42">
        <f t="array" ref="Q67">INDIRECT("12월!$F$37")</f>
        <v>0</v>
      </c>
      <c r="R67" s="44">
        <f t="shared" si="24"/>
        <v>545454.5455</v>
      </c>
      <c r="V67" s="3" t="s">
        <v>81</v>
      </c>
      <c r="W67" s="30">
        <f>IF(COUNTIF(P56:P158, "&lt;&gt;0") &gt; 0, 1, 0)</f>
        <v>1</v>
      </c>
    </row>
    <row r="68" outlineLevel="1">
      <c r="C68" s="45"/>
      <c r="D68" s="41" t="s">
        <v>13</v>
      </c>
      <c r="E68" s="42">
        <f t="shared" si="23"/>
        <v>900000</v>
      </c>
      <c r="F68" s="42">
        <f t="array" ref="F68">INDIRECT("1월!$F$38")</f>
        <v>200000</v>
      </c>
      <c r="G68" s="42">
        <f t="array" ref="G68">INDIRECT("2월!$F$38")</f>
        <v>0</v>
      </c>
      <c r="H68" s="42">
        <f t="array" ref="H68">INDIRECT("3월!$F$38")</f>
        <v>0</v>
      </c>
      <c r="I68" s="42">
        <f t="array" ref="I68">INDIRECT("4월!$F$38")</f>
        <v>100000</v>
      </c>
      <c r="J68" s="42">
        <f t="array" ref="J68">INDIRECT("5월!$F$38")</f>
        <v>100000</v>
      </c>
      <c r="K68" s="42">
        <f t="array" ref="K68">INDIRECT("6월!$F$38")</f>
        <v>100000</v>
      </c>
      <c r="L68" s="42">
        <f t="array" ref="L68">INDIRECT("7월!$F$38")</f>
        <v>100000</v>
      </c>
      <c r="M68" s="42">
        <f t="array" ref="M68">INDIRECT("8월!$F$38")</f>
        <v>0</v>
      </c>
      <c r="N68" s="42">
        <f t="array" ref="N68">INDIRECT("9월!$F$38")</f>
        <v>100000</v>
      </c>
      <c r="O68" s="42">
        <f t="array" ref="O68">INDIRECT("10월!$F$38")</f>
        <v>100000</v>
      </c>
      <c r="P68" s="42">
        <f t="array" ref="P68">INDIRECT("11월!$F$38")</f>
        <v>100000</v>
      </c>
      <c r="Q68" s="42">
        <f t="array" ref="Q68">INDIRECT("12월!$F$38")</f>
        <v>0</v>
      </c>
      <c r="R68" s="44">
        <f t="shared" si="24"/>
        <v>81818.18182</v>
      </c>
      <c r="V68" s="3" t="s">
        <v>82</v>
      </c>
      <c r="W68" s="30">
        <f>IF(COUNTIF(Q56:Q158, "&lt;&gt;0") &gt; 0, 1, 0)</f>
        <v>0</v>
      </c>
    </row>
    <row r="69" outlineLevel="1">
      <c r="C69" s="45"/>
      <c r="D69" s="41"/>
      <c r="E69" s="42">
        <f t="shared" si="23"/>
        <v>0</v>
      </c>
      <c r="F69" s="42">
        <f t="array" ref="F69">INDIRECT("1월!$F$39")</f>
        <v>0</v>
      </c>
      <c r="G69" s="42">
        <f t="array" ref="G69">INDIRECT("2월!$F$39")</f>
        <v>0</v>
      </c>
      <c r="H69" s="42">
        <f t="array" ref="H69">INDIRECT("3월!$F$39")</f>
        <v>0</v>
      </c>
      <c r="I69" s="42">
        <f t="array" ref="I69">INDIRECT("4월!$F$39")</f>
        <v>0</v>
      </c>
      <c r="J69" s="42">
        <f t="array" ref="J69">INDIRECT("5월!$F$39")</f>
        <v>0</v>
      </c>
      <c r="K69" s="42">
        <f t="array" ref="K69">INDIRECT("6월!$F$39")</f>
        <v>0</v>
      </c>
      <c r="L69" s="42">
        <f t="array" ref="L69">INDIRECT("7월!$F$39")</f>
        <v>0</v>
      </c>
      <c r="M69" s="42">
        <f t="array" ref="M69">INDIRECT("8월!$F$39")</f>
        <v>0</v>
      </c>
      <c r="N69" s="42">
        <f t="array" ref="N69">INDIRECT("9월!$F$39")</f>
        <v>0</v>
      </c>
      <c r="O69" s="42">
        <f t="array" ref="O69">INDIRECT("10월!$F$39")</f>
        <v>0</v>
      </c>
      <c r="P69" s="42">
        <f t="array" ref="P69">INDIRECT("11월!$F$39")</f>
        <v>0</v>
      </c>
      <c r="Q69" s="42">
        <f t="array" ref="Q69">INDIRECT("12월!$F$39")</f>
        <v>0</v>
      </c>
      <c r="R69" s="44">
        <f t="shared" si="24"/>
        <v>0</v>
      </c>
      <c r="V69" s="3" t="s">
        <v>85</v>
      </c>
      <c r="W69" s="30">
        <f>SUM(W57:W68)</f>
        <v>11</v>
      </c>
    </row>
    <row r="70" outlineLevel="1">
      <c r="C70" s="45"/>
      <c r="D70" s="41"/>
      <c r="E70" s="42">
        <f t="shared" si="23"/>
        <v>0</v>
      </c>
      <c r="F70" s="42">
        <f t="array" ref="F70">INDIRECT("1월!$F$40")</f>
        <v>0</v>
      </c>
      <c r="G70" s="42">
        <f t="array" ref="G70">INDIRECT("2월!$F$40")</f>
        <v>0</v>
      </c>
      <c r="H70" s="42">
        <f t="array" ref="H70">INDIRECT("3월!$F$40")</f>
        <v>0</v>
      </c>
      <c r="I70" s="42">
        <f t="array" ref="I70">INDIRECT("4월!$F$40")</f>
        <v>0</v>
      </c>
      <c r="J70" s="42">
        <f t="array" ref="J70">INDIRECT("5월!$F$40")</f>
        <v>0</v>
      </c>
      <c r="K70" s="42">
        <f t="array" ref="K70">INDIRECT("6월!$F$40")</f>
        <v>0</v>
      </c>
      <c r="L70" s="42">
        <f t="array" ref="L70">INDIRECT("7월!$F$40")</f>
        <v>0</v>
      </c>
      <c r="M70" s="42">
        <f t="array" ref="M70">INDIRECT("8월!$F$40")</f>
        <v>0</v>
      </c>
      <c r="N70" s="42">
        <f t="array" ref="N70">INDIRECT("9월!$F$40")</f>
        <v>0</v>
      </c>
      <c r="O70" s="42">
        <f t="array" ref="O70">INDIRECT("10월!$F$40")</f>
        <v>0</v>
      </c>
      <c r="P70" s="42">
        <f t="array" ref="P70">INDIRECT("11월!$F$40")</f>
        <v>0</v>
      </c>
      <c r="Q70" s="42">
        <f t="array" ref="Q70">INDIRECT("12월!$F$40")</f>
        <v>0</v>
      </c>
      <c r="R70" s="44">
        <f t="shared" si="24"/>
        <v>0</v>
      </c>
    </row>
    <row r="71" outlineLevel="1">
      <c r="C71" s="45"/>
      <c r="D71" s="41"/>
      <c r="E71" s="42">
        <f t="shared" si="23"/>
        <v>0</v>
      </c>
      <c r="F71" s="42">
        <f t="array" ref="F71">INDIRECT("1월!$F$41")</f>
        <v>0</v>
      </c>
      <c r="G71" s="42">
        <f t="array" ref="G71">INDIRECT("2월!$F$41")</f>
        <v>0</v>
      </c>
      <c r="H71" s="42">
        <f t="array" ref="H71">INDIRECT("3월!$F$41")</f>
        <v>0</v>
      </c>
      <c r="I71" s="42">
        <f t="array" ref="I71">INDIRECT("4월!$F$41")</f>
        <v>0</v>
      </c>
      <c r="J71" s="42">
        <f t="array" ref="J71">INDIRECT("5월!$F$41")</f>
        <v>0</v>
      </c>
      <c r="K71" s="42">
        <f t="array" ref="K71">INDIRECT("6월!$F$41")</f>
        <v>0</v>
      </c>
      <c r="L71" s="42">
        <f t="array" ref="L71">INDIRECT("7월!$F$41")</f>
        <v>0</v>
      </c>
      <c r="M71" s="42">
        <f t="array" ref="M71">INDIRECT("8월!$F$41")</f>
        <v>0</v>
      </c>
      <c r="N71" s="42">
        <f t="array" ref="N71">INDIRECT("9월!$F$41")</f>
        <v>0</v>
      </c>
      <c r="O71" s="42">
        <f t="array" ref="O71">INDIRECT("10월!$F$41")</f>
        <v>0</v>
      </c>
      <c r="P71" s="42">
        <f t="array" ref="P71">INDIRECT("11월!$F$41")</f>
        <v>0</v>
      </c>
      <c r="Q71" s="42">
        <f t="array" ref="Q71">INDIRECT("12월!$F$41")</f>
        <v>0</v>
      </c>
      <c r="R71" s="44">
        <f t="shared" si="24"/>
        <v>0</v>
      </c>
    </row>
    <row r="72" outlineLevel="1">
      <c r="C72" s="46"/>
      <c r="D72" s="47"/>
      <c r="E72" s="42">
        <f t="shared" si="23"/>
        <v>0</v>
      </c>
      <c r="F72" s="42">
        <f t="array" ref="F72">INDIRECT("1월!$F$42")</f>
        <v>0</v>
      </c>
      <c r="G72" s="42">
        <f t="array" ref="G72">INDIRECT("2월!$F$42")</f>
        <v>0</v>
      </c>
      <c r="H72" s="42">
        <f t="array" ref="H72">INDIRECT("3월!$F$42")</f>
        <v>0</v>
      </c>
      <c r="I72" s="42">
        <f t="array" ref="I72">INDIRECT("4월!$F$42")</f>
        <v>0</v>
      </c>
      <c r="J72" s="42">
        <f t="array" ref="J72">INDIRECT("5월!$F$42")</f>
        <v>0</v>
      </c>
      <c r="K72" s="42">
        <f t="array" ref="K72">INDIRECT("6월!$F$42")</f>
        <v>0</v>
      </c>
      <c r="L72" s="42">
        <f t="array" ref="L72">INDIRECT("7월!$F$42")</f>
        <v>0</v>
      </c>
      <c r="M72" s="42">
        <f t="array" ref="M72">INDIRECT("8월!$F$42")</f>
        <v>0</v>
      </c>
      <c r="N72" s="42">
        <f t="array" ref="N72">INDIRECT("9월!$F$42")</f>
        <v>0</v>
      </c>
      <c r="O72" s="42">
        <f t="array" ref="O72">INDIRECT("10월!$F$42")</f>
        <v>0</v>
      </c>
      <c r="P72" s="42">
        <f t="array" ref="P72">INDIRECT("11월!$F$42")</f>
        <v>0</v>
      </c>
      <c r="Q72" s="42">
        <f t="array" ref="Q72">INDIRECT("12월!$F$42")</f>
        <v>0</v>
      </c>
      <c r="R72" s="44">
        <f t="shared" si="24"/>
        <v>0</v>
      </c>
    </row>
    <row r="73">
      <c r="C73" s="52" t="str">
        <f>IF($C$65=0,"","총"&amp;$C$65)</f>
        <v>총저축</v>
      </c>
      <c r="D73" s="53"/>
      <c r="E73" s="49">
        <f t="shared" si="23"/>
        <v>6900000</v>
      </c>
      <c r="F73" s="42">
        <f t="array" ref="F73">INDIRECT("1월!$F$43")</f>
        <v>3200000</v>
      </c>
      <c r="G73" s="42">
        <f t="array" ref="G73">INDIRECT("2월!$F$43")</f>
        <v>0</v>
      </c>
      <c r="H73" s="42">
        <f t="array" ref="H73">INDIRECT("3월!$F$43")</f>
        <v>0</v>
      </c>
      <c r="I73" s="42">
        <f t="array" ref="I73">INDIRECT("4월!$F$43")</f>
        <v>100000</v>
      </c>
      <c r="J73" s="42">
        <f t="array" ref="J73">INDIRECT("5월!$F$43")</f>
        <v>3100000</v>
      </c>
      <c r="K73" s="42">
        <f t="array" ref="K73">INDIRECT("6월!$F$43")</f>
        <v>100000</v>
      </c>
      <c r="L73" s="42">
        <f t="array" ref="L73">INDIRECT("7월!$F$43")</f>
        <v>100000</v>
      </c>
      <c r="M73" s="42">
        <f t="array" ref="M73">INDIRECT("8월!$F$43")</f>
        <v>0</v>
      </c>
      <c r="N73" s="42">
        <f t="array" ref="N73">INDIRECT("9월!$F$43")</f>
        <v>100000</v>
      </c>
      <c r="O73" s="42">
        <f t="array" ref="O73">INDIRECT("10월!$F$43")</f>
        <v>100000</v>
      </c>
      <c r="P73" s="42">
        <f t="array" ref="P73">INDIRECT("11월!$F$43")</f>
        <v>100000</v>
      </c>
      <c r="Q73" s="42">
        <f t="array" ref="Q73">INDIRECT("12월!$F$43")</f>
        <v>0</v>
      </c>
      <c r="R73" s="44">
        <f t="shared" si="24"/>
        <v>627272.7273</v>
      </c>
    </row>
    <row r="74">
      <c r="C74" s="54" t="s">
        <v>86</v>
      </c>
      <c r="D74" s="55"/>
      <c r="E74" s="49">
        <f t="shared" si="23"/>
        <v>-4968266</v>
      </c>
      <c r="F74" s="42">
        <f t="array" ref="F74">INDIRECT("1월!$D$18")</f>
        <v>-880026</v>
      </c>
      <c r="G74" s="42">
        <f t="array" ref="G74">INDIRECT("2월!$D$18")</f>
        <v>-43556626</v>
      </c>
      <c r="H74" s="42">
        <f t="array" ref="H74">INDIRECT("3월!$D$18")</f>
        <v>9168382</v>
      </c>
      <c r="I74" s="42">
        <f t="array" ref="I74">INDIRECT("4월!$D$18")</f>
        <v>4882607</v>
      </c>
      <c r="J74" s="42">
        <f t="array" ref="J74">INDIRECT("5월!$D$18")</f>
        <v>1059339</v>
      </c>
      <c r="K74" s="42">
        <f t="array" ref="K74">INDIRECT("6월!$D$18")</f>
        <v>4509454</v>
      </c>
      <c r="L74" s="42">
        <f t="array" ref="L74">INDIRECT("7월!$D$18")</f>
        <v>1125600</v>
      </c>
      <c r="M74" s="42">
        <f t="array" ref="M74">INDIRECT("8월!$D$18")</f>
        <v>1972731</v>
      </c>
      <c r="N74" s="42">
        <f t="array" ref="N74">INDIRECT("9월!$D$18")</f>
        <v>2274710</v>
      </c>
      <c r="O74" s="42">
        <f t="array" ref="O74">INDIRECT("10월!$D$18")</f>
        <v>5572610</v>
      </c>
      <c r="P74" s="42">
        <f t="array" ref="P74">INDIRECT("11월!$D$18")</f>
        <v>8902953</v>
      </c>
      <c r="Q74" s="42">
        <f t="array" ref="Q74">INDIRECT("12월!$D$18")</f>
        <v>0</v>
      </c>
      <c r="R74" s="44">
        <f t="shared" si="24"/>
        <v>-451660.5455</v>
      </c>
    </row>
    <row r="75" outlineLevel="1">
      <c r="C75" s="50" t="s">
        <v>14</v>
      </c>
      <c r="D75" s="51" t="s">
        <v>15</v>
      </c>
      <c r="E75" s="56">
        <f t="shared" si="23"/>
        <v>0</v>
      </c>
      <c r="F75" s="42">
        <f t="array" ref="F75">INDIRECT("1월!$K$25")</f>
        <v>0</v>
      </c>
      <c r="G75" s="42">
        <f t="array" ref="G75">INDIRECT("2월!$K$25")</f>
        <v>0</v>
      </c>
      <c r="H75" s="42">
        <f t="array" ref="H75">INDIRECT("3월!$K$25")</f>
        <v>0</v>
      </c>
      <c r="I75" s="42">
        <f t="array" ref="I75">INDIRECT("4월!$K$25")</f>
        <v>0</v>
      </c>
      <c r="J75" s="42">
        <f t="array" ref="J75">INDIRECT("5월!$K$25")</f>
        <v>0</v>
      </c>
      <c r="K75" s="42">
        <f t="array" ref="K75">INDIRECT("6월!$K$25")</f>
        <v>0</v>
      </c>
      <c r="L75" s="42">
        <f t="array" ref="L75">INDIRECT("7월!$K$25")</f>
        <v>0</v>
      </c>
      <c r="M75" s="42">
        <f t="array" ref="M75">INDIRECT("8월!$K$25")</f>
        <v>0</v>
      </c>
      <c r="N75" s="42">
        <f t="array" ref="N75">INDIRECT("9월!$K$25")</f>
        <v>0</v>
      </c>
      <c r="O75" s="42">
        <f t="array" ref="O75">INDIRECT("10월!$K$25")</f>
        <v>0</v>
      </c>
      <c r="P75" s="42">
        <f t="array" ref="P75">INDIRECT("11월!$K$25")</f>
        <v>0</v>
      </c>
      <c r="Q75" s="42">
        <f t="array" ref="Q75">INDIRECT("12월!$K$25")</f>
        <v>0</v>
      </c>
      <c r="R75" s="44">
        <f t="shared" si="24"/>
        <v>0</v>
      </c>
    </row>
    <row r="76" outlineLevel="1">
      <c r="C76" s="45"/>
      <c r="D76" s="41" t="s">
        <v>16</v>
      </c>
      <c r="E76" s="56">
        <f t="shared" si="23"/>
        <v>2400000</v>
      </c>
      <c r="F76" s="42">
        <f t="array" ref="F76">INDIRECT("1월!$K$26")</f>
        <v>0</v>
      </c>
      <c r="G76" s="42">
        <f t="array" ref="G76">INDIRECT("2월!$K$26")</f>
        <v>800000</v>
      </c>
      <c r="H76" s="42">
        <f t="array" ref="H76">INDIRECT("3월!$K$26")</f>
        <v>400000</v>
      </c>
      <c r="I76" s="42">
        <f t="array" ref="I76">INDIRECT("4월!$K$26")</f>
        <v>400000</v>
      </c>
      <c r="J76" s="42">
        <f t="array" ref="J76">INDIRECT("5월!$K$26")</f>
        <v>0</v>
      </c>
      <c r="K76" s="42">
        <f t="array" ref="K76">INDIRECT("6월!$K$26")</f>
        <v>0</v>
      </c>
      <c r="L76" s="42">
        <f t="array" ref="L76">INDIRECT("7월!$K$26")</f>
        <v>0</v>
      </c>
      <c r="M76" s="42">
        <f t="array" ref="M76">INDIRECT("8월!$K$26")</f>
        <v>0</v>
      </c>
      <c r="N76" s="42">
        <f t="array" ref="N76">INDIRECT("9월!$K$26")</f>
        <v>0</v>
      </c>
      <c r="O76" s="42">
        <f t="array" ref="O76">INDIRECT("10월!$K$26")</f>
        <v>400000</v>
      </c>
      <c r="P76" s="42">
        <f t="array" ref="P76">INDIRECT("11월!$K$26")</f>
        <v>400000</v>
      </c>
      <c r="Q76" s="42">
        <f t="array" ref="Q76">INDIRECT("12월!$K$26")</f>
        <v>0</v>
      </c>
      <c r="R76" s="44">
        <f t="shared" si="24"/>
        <v>218181.8182</v>
      </c>
    </row>
    <row r="77" outlineLevel="1">
      <c r="C77" s="45"/>
      <c r="D77" s="41" t="s">
        <v>17</v>
      </c>
      <c r="E77" s="56">
        <f t="shared" si="23"/>
        <v>806120</v>
      </c>
      <c r="F77" s="42">
        <f t="array" ref="F77">INDIRECT("1월!$K$27")</f>
        <v>177832</v>
      </c>
      <c r="G77" s="42">
        <f t="array" ref="G77">INDIRECT("2월!$K$27")</f>
        <v>192822</v>
      </c>
      <c r="H77" s="42">
        <f t="array" ref="H77">INDIRECT("3월!$K$27")</f>
        <v>145511</v>
      </c>
      <c r="I77" s="42">
        <f t="array" ref="I77">INDIRECT("4월!$K$27")</f>
        <v>159501</v>
      </c>
      <c r="J77" s="42">
        <f t="array" ref="J77">INDIRECT("5월!$K$27")</f>
        <v>0</v>
      </c>
      <c r="K77" s="42">
        <f t="array" ref="K77">INDIRECT("6월!$K$27")</f>
        <v>0</v>
      </c>
      <c r="L77" s="42">
        <f t="array" ref="L77">INDIRECT("7월!$K$27")</f>
        <v>0</v>
      </c>
      <c r="M77" s="42">
        <f t="array" ref="M77">INDIRECT("8월!$K$27")</f>
        <v>0</v>
      </c>
      <c r="N77" s="42">
        <f t="array" ref="N77">INDIRECT("9월!$K$27")</f>
        <v>0</v>
      </c>
      <c r="O77" s="42">
        <f t="array" ref="O77">INDIRECT("10월!$K$27")</f>
        <v>0</v>
      </c>
      <c r="P77" s="42">
        <f t="array" ref="P77">INDIRECT("11월!$K$27")</f>
        <v>130454</v>
      </c>
      <c r="Q77" s="42">
        <f t="array" ref="Q77">INDIRECT("12월!$K$27")</f>
        <v>0</v>
      </c>
      <c r="R77" s="44">
        <f t="shared" si="24"/>
        <v>73283.63636</v>
      </c>
    </row>
    <row r="78" outlineLevel="1">
      <c r="C78" s="45"/>
      <c r="D78" s="41" t="s">
        <v>18</v>
      </c>
      <c r="E78" s="56">
        <f t="shared" si="23"/>
        <v>582713</v>
      </c>
      <c r="F78" s="42">
        <f t="array" ref="F78">INDIRECT("1월!$K$28")</f>
        <v>119560</v>
      </c>
      <c r="G78" s="42">
        <f t="array" ref="G78">INDIRECT("2월!$K$28")</f>
        <v>111600</v>
      </c>
      <c r="H78" s="42">
        <f t="array" ref="H78">INDIRECT("3월!$K$28")</f>
        <v>61050</v>
      </c>
      <c r="I78" s="42">
        <f t="array" ref="I78">INDIRECT("4월!$K$28")</f>
        <v>46750</v>
      </c>
      <c r="J78" s="42">
        <f t="array" ref="J78">INDIRECT("5월!$K$28")</f>
        <v>60500</v>
      </c>
      <c r="K78" s="42">
        <f t="array" ref="K78">INDIRECT("6월!$K$28")</f>
        <v>70500</v>
      </c>
      <c r="L78" s="42">
        <f t="array" ref="L78">INDIRECT("7월!$K$28")</f>
        <v>0</v>
      </c>
      <c r="M78" s="42">
        <f t="array" ref="M78">INDIRECT("8월!$K$28")</f>
        <v>0</v>
      </c>
      <c r="N78" s="42">
        <f t="array" ref="N78">INDIRECT("9월!$K$28")</f>
        <v>0</v>
      </c>
      <c r="O78" s="42">
        <f t="array" ref="O78">INDIRECT("10월!$K$28")</f>
        <v>69003</v>
      </c>
      <c r="P78" s="42">
        <f t="array" ref="P78">INDIRECT("11월!$K$28")</f>
        <v>43750</v>
      </c>
      <c r="Q78" s="42">
        <f t="array" ref="Q78">INDIRECT("12월!$K$28")</f>
        <v>0</v>
      </c>
      <c r="R78" s="44">
        <f t="shared" si="24"/>
        <v>52973.90909</v>
      </c>
    </row>
    <row r="79" outlineLevel="1">
      <c r="C79" s="45"/>
      <c r="D79" s="41" t="s">
        <v>19</v>
      </c>
      <c r="E79" s="56">
        <f t="shared" si="23"/>
        <v>1531540</v>
      </c>
      <c r="F79" s="42">
        <f t="array" ref="F79">INDIRECT("1월!$K$29")</f>
        <v>0</v>
      </c>
      <c r="G79" s="42">
        <f t="array" ref="G79">INDIRECT("2월!$K$29")</f>
        <v>1050790</v>
      </c>
      <c r="H79" s="42">
        <f t="array" ref="H79">INDIRECT("3월!$K$29")</f>
        <v>0</v>
      </c>
      <c r="I79" s="42">
        <f t="array" ref="I79">INDIRECT("4월!$K$29")</f>
        <v>0</v>
      </c>
      <c r="J79" s="42">
        <f t="array" ref="J79">INDIRECT("5월!$K$29")</f>
        <v>0</v>
      </c>
      <c r="K79" s="42">
        <f t="array" ref="K79">INDIRECT("6월!$K$29")</f>
        <v>100000</v>
      </c>
      <c r="L79" s="42">
        <f t="array" ref="L79">INDIRECT("7월!$K$29")</f>
        <v>0</v>
      </c>
      <c r="M79" s="42">
        <f t="array" ref="M79">INDIRECT("8월!$K$29")</f>
        <v>0</v>
      </c>
      <c r="N79" s="42">
        <f t="array" ref="N79">INDIRECT("9월!$K$29")</f>
        <v>0</v>
      </c>
      <c r="O79" s="42">
        <f t="array" ref="O79">INDIRECT("10월!$K$29")</f>
        <v>190375</v>
      </c>
      <c r="P79" s="42">
        <f t="array" ref="P79">INDIRECT("11월!$K$29")</f>
        <v>190375</v>
      </c>
      <c r="Q79" s="42">
        <f t="array" ref="Q79">INDIRECT("12월!$K$29")</f>
        <v>0</v>
      </c>
      <c r="R79" s="44">
        <f t="shared" si="24"/>
        <v>139230.9091</v>
      </c>
    </row>
    <row r="80" outlineLevel="1">
      <c r="C80" s="46"/>
      <c r="D80" s="47"/>
      <c r="E80" s="56">
        <f t="shared" si="23"/>
        <v>0</v>
      </c>
      <c r="F80" s="42">
        <f t="array" ref="F80">INDIRECT("1월!$K$30")</f>
        <v>0</v>
      </c>
      <c r="G80" s="42">
        <f t="array" ref="G80">INDIRECT("2월!$K$30")</f>
        <v>0</v>
      </c>
      <c r="H80" s="42">
        <f t="array" ref="H80">INDIRECT("3월!$K$30")</f>
        <v>0</v>
      </c>
      <c r="I80" s="42">
        <f t="array" ref="I80">INDIRECT("4월!$K$30")</f>
        <v>0</v>
      </c>
      <c r="J80" s="42">
        <f t="array" ref="J80">INDIRECT("5월!$K$30")</f>
        <v>0</v>
      </c>
      <c r="K80" s="42">
        <f t="array" ref="K80">INDIRECT("6월!$K$30")</f>
        <v>0</v>
      </c>
      <c r="L80" s="42">
        <f t="array" ref="L80">INDIRECT("7월!$K$30")</f>
        <v>0</v>
      </c>
      <c r="M80" s="42">
        <f t="array" ref="M80">INDIRECT("8월!$K$30")</f>
        <v>0</v>
      </c>
      <c r="N80" s="42">
        <f t="array" ref="N80">INDIRECT("9월!$K$30")</f>
        <v>0</v>
      </c>
      <c r="O80" s="42">
        <f t="array" ref="O80">INDIRECT("10월!$K$30")</f>
        <v>0</v>
      </c>
      <c r="P80" s="42">
        <f t="array" ref="P80">INDIRECT("11월!$K$30")</f>
        <v>0</v>
      </c>
      <c r="Q80" s="42">
        <f t="array" ref="Q80">INDIRECT("12월!$K$30")</f>
        <v>0</v>
      </c>
      <c r="R80" s="44">
        <f t="shared" si="24"/>
        <v>0</v>
      </c>
    </row>
    <row r="81">
      <c r="C81" s="48" t="str">
        <f>IF(C$75=0,"","총"&amp;$C$75)</f>
        <v>총🍪고정비</v>
      </c>
      <c r="D81" s="8"/>
      <c r="E81" s="49">
        <f t="shared" si="23"/>
        <v>5320373</v>
      </c>
      <c r="F81" s="42">
        <f t="array" ref="F81">INDIRECT("1월!$K$31")</f>
        <v>297392</v>
      </c>
      <c r="G81" s="42">
        <f t="array" ref="G81">INDIRECT("2월!$K$31")</f>
        <v>2155212</v>
      </c>
      <c r="H81" s="42">
        <f t="array" ref="H81">INDIRECT("3월!$K$31")</f>
        <v>606561</v>
      </c>
      <c r="I81" s="42">
        <f t="array" ref="I81">INDIRECT("4월!$K$31")</f>
        <v>606251</v>
      </c>
      <c r="J81" s="42">
        <f t="array" ref="J81">INDIRECT("5월!$K$31")</f>
        <v>60500</v>
      </c>
      <c r="K81" s="42">
        <f t="array" ref="K81">INDIRECT("6월!$K$31")</f>
        <v>170500</v>
      </c>
      <c r="L81" s="42">
        <f t="array" ref="L81">INDIRECT("7월!$K$31")</f>
        <v>0</v>
      </c>
      <c r="M81" s="42">
        <f t="array" ref="M81">INDIRECT("8월!$K$31")</f>
        <v>0</v>
      </c>
      <c r="N81" s="42">
        <f t="array" ref="N81">INDIRECT("9월!$K$31")</f>
        <v>0</v>
      </c>
      <c r="O81" s="42">
        <f t="array" ref="O81">INDIRECT("10월!$K$31")</f>
        <v>659378</v>
      </c>
      <c r="P81" s="42">
        <f t="array" ref="P81">INDIRECT("11월!$K$31")</f>
        <v>764579</v>
      </c>
      <c r="Q81" s="42">
        <f t="array" ref="Q81">INDIRECT("12월!$K$31")</f>
        <v>0</v>
      </c>
      <c r="R81" s="44">
        <f t="shared" si="24"/>
        <v>483670.2727</v>
      </c>
    </row>
    <row r="82" outlineLevel="1">
      <c r="C82" s="50" t="s">
        <v>21</v>
      </c>
      <c r="D82" s="51" t="s">
        <v>15</v>
      </c>
      <c r="E82" s="56">
        <f t="shared" si="23"/>
        <v>3304850</v>
      </c>
      <c r="F82" s="42">
        <f t="array" ref="F82">INDIRECT("1월!$K$33")</f>
        <v>0</v>
      </c>
      <c r="G82" s="42">
        <f t="array" ref="G82">INDIRECT("2월!$K$33")</f>
        <v>457490</v>
      </c>
      <c r="H82" s="42">
        <f t="array" ref="H82">INDIRECT("3월!$K$33")</f>
        <v>319300</v>
      </c>
      <c r="I82" s="42">
        <f t="array" ref="I82">INDIRECT("4월!$K$33")</f>
        <v>477850</v>
      </c>
      <c r="J82" s="42">
        <f t="array" ref="J82">INDIRECT("5월!$K$33")</f>
        <v>407400</v>
      </c>
      <c r="K82" s="42">
        <f t="array" ref="K82">INDIRECT("6월!$K$33")</f>
        <v>253970</v>
      </c>
      <c r="L82" s="42">
        <f t="array" ref="L82">INDIRECT("7월!$K$33")</f>
        <v>266290</v>
      </c>
      <c r="M82" s="42">
        <f t="array" ref="M82">INDIRECT("8월!$K$33")</f>
        <v>311290</v>
      </c>
      <c r="N82" s="42">
        <f t="array" ref="N82">INDIRECT("9월!$K$33")</f>
        <v>307270</v>
      </c>
      <c r="O82" s="42">
        <f t="array" ref="O82">INDIRECT("10월!$K$33")</f>
        <v>272180</v>
      </c>
      <c r="P82" s="42">
        <f t="array" ref="P82">INDIRECT("11월!$K$33")</f>
        <v>231810</v>
      </c>
      <c r="Q82" s="42">
        <f t="array" ref="Q82">INDIRECT("12월!$K$33")</f>
        <v>0</v>
      </c>
      <c r="R82" s="44">
        <f t="shared" si="24"/>
        <v>300440.9091</v>
      </c>
    </row>
    <row r="83" outlineLevel="1">
      <c r="C83" s="45"/>
      <c r="D83" s="41" t="s">
        <v>17</v>
      </c>
      <c r="E83" s="56">
        <f t="shared" si="23"/>
        <v>0</v>
      </c>
      <c r="F83" s="42">
        <f t="array" ref="F83">INDIRECT("1월!$K$34")</f>
        <v>0</v>
      </c>
      <c r="G83" s="42">
        <f t="array" ref="G83">INDIRECT("2월!$K$34")</f>
        <v>0</v>
      </c>
      <c r="H83" s="42">
        <f t="array" ref="H83">INDIRECT("3월!$K$34")</f>
        <v>0</v>
      </c>
      <c r="I83" s="42">
        <f t="array" ref="I83">INDIRECT("4월!$K$34")</f>
        <v>0</v>
      </c>
      <c r="J83" s="42">
        <f t="array" ref="J83">INDIRECT("5월!$K$34")</f>
        <v>0</v>
      </c>
      <c r="K83" s="42">
        <f t="array" ref="K83">INDIRECT("6월!$K$34")</f>
        <v>0</v>
      </c>
      <c r="L83" s="42">
        <f t="array" ref="L83">INDIRECT("7월!$K$34")</f>
        <v>0</v>
      </c>
      <c r="M83" s="42">
        <f t="array" ref="M83">INDIRECT("8월!$K$34")</f>
        <v>0</v>
      </c>
      <c r="N83" s="42">
        <f t="array" ref="N83">INDIRECT("9월!$K$34")</f>
        <v>0</v>
      </c>
      <c r="O83" s="42">
        <f t="array" ref="O83">INDIRECT("10월!$K$34")</f>
        <v>0</v>
      </c>
      <c r="P83" s="42">
        <f t="array" ref="P83">INDIRECT("11월!$K$34")</f>
        <v>0</v>
      </c>
      <c r="Q83" s="42">
        <f t="array" ref="Q83">INDIRECT("12월!$K$34")</f>
        <v>0</v>
      </c>
      <c r="R83" s="44">
        <f t="shared" si="24"/>
        <v>0</v>
      </c>
    </row>
    <row r="84" outlineLevel="1">
      <c r="C84" s="45"/>
      <c r="D84" s="41" t="s">
        <v>18</v>
      </c>
      <c r="E84" s="56">
        <f t="shared" si="23"/>
        <v>544076</v>
      </c>
      <c r="F84" s="42">
        <f t="array" ref="F84">INDIRECT("1월!$K$35")</f>
        <v>44050</v>
      </c>
      <c r="G84" s="42">
        <f t="array" ref="G84">INDIRECT("2월!$K$35")</f>
        <v>69050</v>
      </c>
      <c r="H84" s="42">
        <f t="array" ref="H84">INDIRECT("3월!$K$35")</f>
        <v>69050</v>
      </c>
      <c r="I84" s="42">
        <f t="array" ref="I84">INDIRECT("4월!$K$35")</f>
        <v>49396</v>
      </c>
      <c r="J84" s="42">
        <f t="array" ref="J84">INDIRECT("5월!$K$35")</f>
        <v>44560</v>
      </c>
      <c r="K84" s="42">
        <f t="array" ref="K84">INDIRECT("6월!$K$35")</f>
        <v>70150</v>
      </c>
      <c r="L84" s="42">
        <f t="array" ref="L84">INDIRECT("7월!$K$35")</f>
        <v>0</v>
      </c>
      <c r="M84" s="42">
        <f t="array" ref="M84">INDIRECT("8월!$K$35")</f>
        <v>66850</v>
      </c>
      <c r="N84" s="42">
        <f t="array" ref="N84">INDIRECT("9월!$K$35")</f>
        <v>7890</v>
      </c>
      <c r="O84" s="42">
        <f t="array" ref="O84">INDIRECT("10월!$K$35")</f>
        <v>78040</v>
      </c>
      <c r="P84" s="42">
        <f t="array" ref="P84">INDIRECT("11월!$K$35")</f>
        <v>45040</v>
      </c>
      <c r="Q84" s="42">
        <f t="array" ref="Q84">INDIRECT("12월!$K$35")</f>
        <v>0</v>
      </c>
      <c r="R84" s="44">
        <f t="shared" si="24"/>
        <v>49461.45455</v>
      </c>
    </row>
    <row r="85" outlineLevel="1">
      <c r="C85" s="45"/>
      <c r="D85" s="41" t="s">
        <v>19</v>
      </c>
      <c r="E85" s="56">
        <f t="shared" si="23"/>
        <v>901690</v>
      </c>
      <c r="F85" s="42">
        <f t="array" ref="F85">INDIRECT("1월!$K$36")</f>
        <v>88010</v>
      </c>
      <c r="G85" s="42">
        <f t="array" ref="G85">INDIRECT("2월!$K$36")</f>
        <v>88010</v>
      </c>
      <c r="H85" s="42">
        <f t="array" ref="H85">INDIRECT("3월!$K$36")</f>
        <v>172680</v>
      </c>
      <c r="I85" s="42">
        <f t="array" ref="I85">INDIRECT("4월!$K$36")</f>
        <v>88010</v>
      </c>
      <c r="J85" s="42">
        <f t="array" ref="J85">INDIRECT("5월!$K$36")</f>
        <v>88010</v>
      </c>
      <c r="K85" s="42">
        <f t="array" ref="K85">INDIRECT("6월!$K$36")</f>
        <v>0</v>
      </c>
      <c r="L85" s="42">
        <f t="array" ref="L85">INDIRECT("7월!$K$36")</f>
        <v>88010</v>
      </c>
      <c r="M85" s="42">
        <f t="array" ref="M85">INDIRECT("8월!$K$36")</f>
        <v>0</v>
      </c>
      <c r="N85" s="42">
        <f t="array" ref="N85">INDIRECT("9월!$K$36")</f>
        <v>88010</v>
      </c>
      <c r="O85" s="42">
        <f t="array" ref="O85">INDIRECT("10월!$K$36")</f>
        <v>100475</v>
      </c>
      <c r="P85" s="42">
        <f t="array" ref="P85">INDIRECT("11월!$K$36")</f>
        <v>100475</v>
      </c>
      <c r="Q85" s="42">
        <f t="array" ref="Q85">INDIRECT("12월!$K$36")</f>
        <v>0</v>
      </c>
      <c r="R85" s="44">
        <f t="shared" si="24"/>
        <v>81971.81818</v>
      </c>
    </row>
    <row r="86" outlineLevel="1">
      <c r="C86" s="45"/>
      <c r="D86" s="41" t="s">
        <v>20</v>
      </c>
      <c r="E86" s="56">
        <f t="shared" si="23"/>
        <v>990000</v>
      </c>
      <c r="F86" s="42">
        <f t="array" ref="F86">INDIRECT("1월!$K$37")</f>
        <v>80000</v>
      </c>
      <c r="G86" s="42">
        <f t="array" ref="G86">INDIRECT("2월!$K$37")</f>
        <v>80000</v>
      </c>
      <c r="H86" s="42">
        <f t="array" ref="H86">INDIRECT("3월!$K$37")</f>
        <v>80000</v>
      </c>
      <c r="I86" s="42">
        <f t="array" ref="I86">INDIRECT("4월!$K$37")</f>
        <v>80000</v>
      </c>
      <c r="J86" s="42">
        <f t="array" ref="J86">INDIRECT("5월!$K$37")</f>
        <v>70000</v>
      </c>
      <c r="K86" s="42">
        <f t="array" ref="K86">INDIRECT("6월!$K$37")</f>
        <v>70000</v>
      </c>
      <c r="L86" s="42">
        <f t="array" ref="L86">INDIRECT("7월!$K$37")</f>
        <v>30000</v>
      </c>
      <c r="M86" s="42">
        <f t="array" ref="M86">INDIRECT("8월!$K$37")</f>
        <v>110000</v>
      </c>
      <c r="N86" s="42">
        <f t="array" ref="N86">INDIRECT("9월!$K$37")</f>
        <v>130000</v>
      </c>
      <c r="O86" s="42">
        <f t="array" ref="O86">INDIRECT("10월!$K$37")</f>
        <v>130000</v>
      </c>
      <c r="P86" s="42">
        <f t="array" ref="P86">INDIRECT("11월!$K$37")</f>
        <v>130000</v>
      </c>
      <c r="Q86" s="42">
        <f t="array" ref="Q86">INDIRECT("12월!$K$37")</f>
        <v>0</v>
      </c>
      <c r="R86" s="44">
        <f t="shared" si="24"/>
        <v>90000</v>
      </c>
    </row>
    <row r="87" outlineLevel="1">
      <c r="C87" s="46"/>
      <c r="D87" s="47"/>
      <c r="E87" s="56">
        <f t="shared" si="23"/>
        <v>0</v>
      </c>
      <c r="F87" s="42">
        <f t="array" ref="F87">INDIRECT("1월!$K$38")</f>
        <v>0</v>
      </c>
      <c r="G87" s="42">
        <f t="array" ref="G87">INDIRECT("2월!$K$38")</f>
        <v>0</v>
      </c>
      <c r="H87" s="42">
        <f t="array" ref="H87">INDIRECT("3월!$K$38")</f>
        <v>0</v>
      </c>
      <c r="I87" s="42">
        <f t="array" ref="I87">INDIRECT("4월!$K$38")</f>
        <v>0</v>
      </c>
      <c r="J87" s="42">
        <f t="array" ref="J87">INDIRECT("5월!$K$38")</f>
        <v>0</v>
      </c>
      <c r="K87" s="42">
        <f t="array" ref="K87">INDIRECT("6월!$K$38")</f>
        <v>0</v>
      </c>
      <c r="L87" s="42">
        <f t="array" ref="L87">INDIRECT("7월!$K$38")</f>
        <v>0</v>
      </c>
      <c r="M87" s="42">
        <f t="array" ref="M87">INDIRECT("8월!$K$38")</f>
        <v>0</v>
      </c>
      <c r="N87" s="42">
        <f t="array" ref="N87">INDIRECT("9월!$K$38")</f>
        <v>0</v>
      </c>
      <c r="O87" s="42">
        <f t="array" ref="O87">INDIRECT("10월!$K$38")</f>
        <v>0</v>
      </c>
      <c r="P87" s="42">
        <f t="array" ref="P87">INDIRECT("11월!$K$38")</f>
        <v>0</v>
      </c>
      <c r="Q87" s="42">
        <f t="array" ref="Q87">INDIRECT("12월!$K$38")</f>
        <v>0</v>
      </c>
      <c r="R87" s="44">
        <f t="shared" si="24"/>
        <v>0</v>
      </c>
    </row>
    <row r="88">
      <c r="C88" s="48" t="str">
        <f>IF($C$82=0,"","총"&amp;$C$82)</f>
        <v>총🐻고정비</v>
      </c>
      <c r="D88" s="8"/>
      <c r="E88" s="49">
        <f t="shared" si="23"/>
        <v>5740616</v>
      </c>
      <c r="F88" s="42">
        <f t="array" ref="F88">INDIRECT("1월!$K$39")</f>
        <v>212060</v>
      </c>
      <c r="G88" s="42">
        <f t="array" ref="G88">INDIRECT("2월!$K$39")</f>
        <v>694550</v>
      </c>
      <c r="H88" s="42">
        <f t="array" ref="H88">INDIRECT("3월!$K$39")</f>
        <v>641030</v>
      </c>
      <c r="I88" s="42">
        <f t="array" ref="I88">INDIRECT("4월!$K$39")</f>
        <v>695256</v>
      </c>
      <c r="J88" s="42">
        <f t="array" ref="J88">INDIRECT("5월!$K$39")</f>
        <v>609970</v>
      </c>
      <c r="K88" s="42">
        <f t="array" ref="K88">INDIRECT("6월!$K$39")</f>
        <v>394120</v>
      </c>
      <c r="L88" s="42">
        <f t="array" ref="L88">INDIRECT("7월!$K$39")</f>
        <v>384300</v>
      </c>
      <c r="M88" s="42">
        <f t="array" ref="M88">INDIRECT("8월!$K$39")</f>
        <v>488140</v>
      </c>
      <c r="N88" s="42">
        <f t="array" ref="N88">INDIRECT("9월!$K$39")</f>
        <v>533170</v>
      </c>
      <c r="O88" s="42">
        <f t="array" ref="O88">INDIRECT("10월!$K$39")</f>
        <v>580695</v>
      </c>
      <c r="P88" s="42">
        <f t="array" ref="P88">INDIRECT("11월!$K$39")</f>
        <v>507325</v>
      </c>
      <c r="Q88" s="42">
        <f t="array" ref="Q88">INDIRECT("12월!$K$39")</f>
        <v>0</v>
      </c>
      <c r="R88" s="44">
        <f t="shared" si="24"/>
        <v>521874.1818</v>
      </c>
    </row>
    <row r="89" outlineLevel="1">
      <c r="C89" s="50" t="s">
        <v>22</v>
      </c>
      <c r="D89" s="51" t="s">
        <v>23</v>
      </c>
      <c r="E89" s="56">
        <f t="shared" si="23"/>
        <v>1440107</v>
      </c>
      <c r="F89" s="42">
        <f t="array" ref="F89">INDIRECT("1월!$K$41")</f>
        <v>360370</v>
      </c>
      <c r="G89" s="42">
        <f t="array" ref="G89">INDIRECT("2월!$K$41")</f>
        <v>251480</v>
      </c>
      <c r="H89" s="42">
        <f t="array" ref="H89">INDIRECT("3월!$K$41")</f>
        <v>526633</v>
      </c>
      <c r="I89" s="42">
        <f t="array" ref="I89">INDIRECT("4월!$K$41")</f>
        <v>111374</v>
      </c>
      <c r="J89" s="42">
        <f t="array" ref="J89">INDIRECT("5월!$K$41")</f>
        <v>133141</v>
      </c>
      <c r="K89" s="42">
        <f t="array" ref="K89">INDIRECT("6월!$K$41")</f>
        <v>7829</v>
      </c>
      <c r="L89" s="42">
        <f t="array" ref="L89">INDIRECT("7월!$K$41")</f>
        <v>49280</v>
      </c>
      <c r="M89" s="42">
        <f t="array" ref="M89">INDIRECT("8월!$K$41")</f>
        <v>0</v>
      </c>
      <c r="N89" s="42">
        <f t="array" ref="N89">INDIRECT("9월!$K$41")</f>
        <v>0</v>
      </c>
      <c r="O89" s="42">
        <f t="array" ref="O89">INDIRECT("10월!$K$41")</f>
        <v>0</v>
      </c>
      <c r="P89" s="42">
        <f t="array" ref="P89">INDIRECT("11월!$K$41")</f>
        <v>0</v>
      </c>
      <c r="Q89" s="42">
        <f t="array" ref="Q89">INDIRECT("12월!$K$41")</f>
        <v>0</v>
      </c>
      <c r="R89" s="44">
        <f t="shared" si="24"/>
        <v>130918.8182</v>
      </c>
    </row>
    <row r="90" outlineLevel="1">
      <c r="C90" s="45"/>
      <c r="D90" s="41" t="s">
        <v>24</v>
      </c>
      <c r="E90" s="56">
        <f t="shared" si="23"/>
        <v>312988</v>
      </c>
      <c r="F90" s="42">
        <f t="array" ref="F90">INDIRECT("1월!$K$42")</f>
        <v>57560</v>
      </c>
      <c r="G90" s="42">
        <f t="array" ref="G90">INDIRECT("2월!$K$42")</f>
        <v>0</v>
      </c>
      <c r="H90" s="42">
        <f t="array" ref="H90">INDIRECT("3월!$K$42")</f>
        <v>140708</v>
      </c>
      <c r="I90" s="42">
        <f t="array" ref="I90">INDIRECT("4월!$K$42")</f>
        <v>0</v>
      </c>
      <c r="J90" s="42">
        <f t="array" ref="J90">INDIRECT("5월!$K$42")</f>
        <v>46920</v>
      </c>
      <c r="K90" s="42">
        <f t="array" ref="K90">INDIRECT("6월!$K$42")</f>
        <v>8900</v>
      </c>
      <c r="L90" s="42">
        <f t="array" ref="L90">INDIRECT("7월!$K$42")</f>
        <v>58900</v>
      </c>
      <c r="M90" s="42">
        <f t="array" ref="M90">INDIRECT("8월!$K$42")</f>
        <v>0</v>
      </c>
      <c r="N90" s="42">
        <f t="array" ref="N90">INDIRECT("9월!$K$42")</f>
        <v>0</v>
      </c>
      <c r="O90" s="42">
        <f t="array" ref="O90">INDIRECT("10월!$K$42")</f>
        <v>0</v>
      </c>
      <c r="P90" s="42">
        <f t="array" ref="P90">INDIRECT("11월!$K$42")</f>
        <v>0</v>
      </c>
      <c r="Q90" s="42">
        <f t="array" ref="Q90">INDIRECT("12월!$K$42")</f>
        <v>0</v>
      </c>
      <c r="R90" s="44">
        <f t="shared" si="24"/>
        <v>28453.45455</v>
      </c>
    </row>
    <row r="91" outlineLevel="1">
      <c r="C91" s="45"/>
      <c r="D91" s="41" t="s">
        <v>8</v>
      </c>
      <c r="E91" s="56">
        <f t="shared" si="23"/>
        <v>223680</v>
      </c>
      <c r="F91" s="42">
        <f t="array" ref="F91">INDIRECT("1월!$K$43")</f>
        <v>38080</v>
      </c>
      <c r="G91" s="42">
        <f t="array" ref="G91">INDIRECT("2월!$K$43")</f>
        <v>33000</v>
      </c>
      <c r="H91" s="42">
        <f t="array" ref="H91">INDIRECT("3월!$K$43")</f>
        <v>24270</v>
      </c>
      <c r="I91" s="42">
        <f t="array" ref="I91">INDIRECT("4월!$K$43")</f>
        <v>0</v>
      </c>
      <c r="J91" s="42">
        <f t="array" ref="J91">INDIRECT("5월!$K$43")</f>
        <v>35200</v>
      </c>
      <c r="K91" s="42">
        <f t="array" ref="K91">INDIRECT("6월!$K$43")</f>
        <v>22130</v>
      </c>
      <c r="L91" s="42">
        <f t="array" ref="L91">INDIRECT("7월!$K$43")</f>
        <v>0</v>
      </c>
      <c r="M91" s="42">
        <f t="array" ref="M91">INDIRECT("8월!$K$43")</f>
        <v>0</v>
      </c>
      <c r="N91" s="42">
        <f t="array" ref="N91">INDIRECT("9월!$K$43")</f>
        <v>71000</v>
      </c>
      <c r="O91" s="42">
        <f t="array" ref="O91">INDIRECT("10월!$K$43")</f>
        <v>0</v>
      </c>
      <c r="P91" s="42">
        <f t="array" ref="P91">INDIRECT("11월!$K$43")</f>
        <v>0</v>
      </c>
      <c r="Q91" s="42">
        <f t="array" ref="Q91">INDIRECT("12월!$K$43")</f>
        <v>0</v>
      </c>
      <c r="R91" s="44">
        <f t="shared" si="24"/>
        <v>20334.54545</v>
      </c>
    </row>
    <row r="92" outlineLevel="1">
      <c r="C92" s="45"/>
      <c r="D92" s="41"/>
      <c r="E92" s="56">
        <f t="shared" si="23"/>
        <v>0</v>
      </c>
      <c r="F92" s="42">
        <f t="array" ref="F92">INDIRECT("1월!$K$44")</f>
        <v>0</v>
      </c>
      <c r="G92" s="42">
        <f t="array" ref="G92">INDIRECT("2월!$K$44")</f>
        <v>0</v>
      </c>
      <c r="H92" s="42">
        <f t="array" ref="H92">INDIRECT("3월!$K$44")</f>
        <v>0</v>
      </c>
      <c r="I92" s="42">
        <f t="array" ref="I92">INDIRECT("4월!$K$44")</f>
        <v>0</v>
      </c>
      <c r="J92" s="42">
        <f t="array" ref="J92">INDIRECT("5월!$K$44")</f>
        <v>0</v>
      </c>
      <c r="K92" s="42">
        <f t="array" ref="K92">INDIRECT("6월!$K$44")</f>
        <v>0</v>
      </c>
      <c r="L92" s="42">
        <f t="array" ref="L92">INDIRECT("7월!$K$44")</f>
        <v>0</v>
      </c>
      <c r="M92" s="42">
        <f t="array" ref="M92">INDIRECT("8월!$K$44")</f>
        <v>0</v>
      </c>
      <c r="N92" s="42">
        <f t="array" ref="N92">INDIRECT("9월!$K$44")</f>
        <v>0</v>
      </c>
      <c r="O92" s="42">
        <f t="array" ref="O92">INDIRECT("10월!$K$44")</f>
        <v>0</v>
      </c>
      <c r="P92" s="42">
        <f t="array" ref="P92">INDIRECT("11월!$K$44")</f>
        <v>0</v>
      </c>
      <c r="Q92" s="42">
        <f t="array" ref="Q92">INDIRECT("12월!$K$44")</f>
        <v>0</v>
      </c>
      <c r="R92" s="44">
        <f t="shared" si="24"/>
        <v>0</v>
      </c>
    </row>
    <row r="93" outlineLevel="1">
      <c r="C93" s="45"/>
      <c r="D93" s="41"/>
      <c r="E93" s="56">
        <f t="shared" si="23"/>
        <v>0</v>
      </c>
      <c r="F93" s="42">
        <f t="array" ref="F93">INDIRECT("1월!$K$45")</f>
        <v>0</v>
      </c>
      <c r="G93" s="42">
        <f t="array" ref="G93">INDIRECT("2월!$K$45")</f>
        <v>0</v>
      </c>
      <c r="H93" s="42">
        <f t="array" ref="H93">INDIRECT("3월!$K$45")</f>
        <v>0</v>
      </c>
      <c r="I93" s="42">
        <f t="array" ref="I93">INDIRECT("4월!$K$45")</f>
        <v>0</v>
      </c>
      <c r="J93" s="42">
        <f t="array" ref="J93">INDIRECT("5월!$K$45")</f>
        <v>0</v>
      </c>
      <c r="K93" s="42">
        <f t="array" ref="K93">INDIRECT("6월!$K$45")</f>
        <v>0</v>
      </c>
      <c r="L93" s="42">
        <f t="array" ref="L93">INDIRECT("7월!$K$45")</f>
        <v>0</v>
      </c>
      <c r="M93" s="42">
        <f t="array" ref="M93">INDIRECT("8월!$K$45")</f>
        <v>0</v>
      </c>
      <c r="N93" s="42">
        <f t="array" ref="N93">INDIRECT("9월!$K$45")</f>
        <v>0</v>
      </c>
      <c r="O93" s="42">
        <f t="array" ref="O93">INDIRECT("10월!$K$45")</f>
        <v>0</v>
      </c>
      <c r="P93" s="42">
        <f t="array" ref="P93">INDIRECT("11월!$K$45")</f>
        <v>0</v>
      </c>
      <c r="Q93" s="42">
        <f t="array" ref="Q93">INDIRECT("12월!$K$45")</f>
        <v>0</v>
      </c>
      <c r="R93" s="44">
        <f t="shared" si="24"/>
        <v>0</v>
      </c>
    </row>
    <row r="94" outlineLevel="1">
      <c r="C94" s="46"/>
      <c r="D94" s="47"/>
      <c r="E94" s="56">
        <f t="shared" si="23"/>
        <v>0</v>
      </c>
      <c r="F94" s="42">
        <f t="array" ref="F94">INDIRECT("1월!$K$46")</f>
        <v>0</v>
      </c>
      <c r="G94" s="42">
        <f t="array" ref="G94">INDIRECT("2월!$K$46")</f>
        <v>0</v>
      </c>
      <c r="H94" s="42">
        <f t="array" ref="H94">INDIRECT("3월!$K$46")</f>
        <v>0</v>
      </c>
      <c r="I94" s="42">
        <f t="array" ref="I94">INDIRECT("4월!$K$46")</f>
        <v>0</v>
      </c>
      <c r="J94" s="42">
        <f t="array" ref="J94">INDIRECT("5월!$K$46")</f>
        <v>0</v>
      </c>
      <c r="K94" s="42">
        <f t="array" ref="K94">INDIRECT("6월!$K$46")</f>
        <v>0</v>
      </c>
      <c r="L94" s="42">
        <f t="array" ref="L94">INDIRECT("7월!$K$46")</f>
        <v>0</v>
      </c>
      <c r="M94" s="42">
        <f t="array" ref="M94">INDIRECT("8월!$K$46")</f>
        <v>0</v>
      </c>
      <c r="N94" s="42">
        <f t="array" ref="N94">INDIRECT("9월!$K$46")</f>
        <v>0</v>
      </c>
      <c r="O94" s="42">
        <f t="array" ref="O94">INDIRECT("10월!$K$46")</f>
        <v>0</v>
      </c>
      <c r="P94" s="42">
        <f t="array" ref="P94">INDIRECT("11월!$K$46")</f>
        <v>0</v>
      </c>
      <c r="Q94" s="42">
        <f t="array" ref="Q94">INDIRECT("12월!$K$46")</f>
        <v>0</v>
      </c>
      <c r="R94" s="44">
        <f t="shared" si="24"/>
        <v>0</v>
      </c>
    </row>
    <row r="95">
      <c r="C95" s="48" t="str">
        <f>IF($C$89=0,"","총"&amp;$C$89)</f>
        <v>총🍪생필품</v>
      </c>
      <c r="D95" s="8"/>
      <c r="E95" s="49">
        <f t="shared" si="23"/>
        <v>1976775</v>
      </c>
      <c r="F95" s="42">
        <f t="array" ref="F95">INDIRECT("1월!$K$47")</f>
        <v>456010</v>
      </c>
      <c r="G95" s="42">
        <f t="array" ref="G95">INDIRECT("2월!$K$47")</f>
        <v>284480</v>
      </c>
      <c r="H95" s="42">
        <f t="array" ref="H95">INDIRECT("3월!$K$47")</f>
        <v>691611</v>
      </c>
      <c r="I95" s="42">
        <f t="array" ref="I95">INDIRECT("4월!$K$47")</f>
        <v>111374</v>
      </c>
      <c r="J95" s="42">
        <f t="array" ref="J95">INDIRECT("5월!$K$47")</f>
        <v>215261</v>
      </c>
      <c r="K95" s="42">
        <f t="array" ref="K95">INDIRECT("6월!$K$47")</f>
        <v>38859</v>
      </c>
      <c r="L95" s="42">
        <f t="array" ref="L95">INDIRECT("7월!$K$47")</f>
        <v>108180</v>
      </c>
      <c r="M95" s="42">
        <f t="array" ref="M95">INDIRECT("8월!$K$47")</f>
        <v>0</v>
      </c>
      <c r="N95" s="42">
        <f t="array" ref="N95">INDIRECT("9월!$K$47")</f>
        <v>71000</v>
      </c>
      <c r="O95" s="42">
        <f t="array" ref="O95">INDIRECT("10월!$K$47")</f>
        <v>0</v>
      </c>
      <c r="P95" s="42">
        <f t="array" ref="P95">INDIRECT("11월!$K$47")</f>
        <v>0</v>
      </c>
      <c r="Q95" s="42">
        <f t="array" ref="Q95">INDIRECT("12월!$K$47")</f>
        <v>0</v>
      </c>
      <c r="R95" s="44">
        <f t="shared" si="24"/>
        <v>179706.8182</v>
      </c>
    </row>
    <row r="96" outlineLevel="1">
      <c r="C96" s="50" t="s">
        <v>25</v>
      </c>
      <c r="D96" s="51" t="s">
        <v>23</v>
      </c>
      <c r="E96" s="56">
        <f t="shared" si="23"/>
        <v>1570858</v>
      </c>
      <c r="F96" s="42">
        <f t="array" ref="F96">INDIRECT("1월!$K$49")</f>
        <v>40500</v>
      </c>
      <c r="G96" s="42">
        <f t="array" ref="G96">INDIRECT("2월!$K$49")</f>
        <v>74178</v>
      </c>
      <c r="H96" s="42">
        <f t="array" ref="H96">INDIRECT("3월!$K$49")</f>
        <v>0</v>
      </c>
      <c r="I96" s="42">
        <f t="array" ref="I96">INDIRECT("4월!$K$49")</f>
        <v>2200</v>
      </c>
      <c r="J96" s="42">
        <f t="array" ref="J96">INDIRECT("5월!$K$49")</f>
        <v>991690</v>
      </c>
      <c r="K96" s="42">
        <f t="array" ref="K96">INDIRECT("6월!$K$49")</f>
        <v>440000</v>
      </c>
      <c r="L96" s="42">
        <f t="array" ref="L96">INDIRECT("7월!$K$49")</f>
        <v>0</v>
      </c>
      <c r="M96" s="42">
        <f t="array" ref="M96">INDIRECT("8월!$K$49")</f>
        <v>22290</v>
      </c>
      <c r="N96" s="42">
        <f t="array" ref="N96">INDIRECT("9월!$K$49")</f>
        <v>0</v>
      </c>
      <c r="O96" s="42">
        <f t="array" ref="O96">INDIRECT("10월!$K$49")</f>
        <v>0</v>
      </c>
      <c r="P96" s="42">
        <f t="array" ref="P96">INDIRECT("11월!$K$49")</f>
        <v>0</v>
      </c>
      <c r="Q96" s="42">
        <f t="array" ref="Q96">INDIRECT("12월!$K$49")</f>
        <v>0</v>
      </c>
      <c r="R96" s="44">
        <f t="shared" si="24"/>
        <v>142805.2727</v>
      </c>
    </row>
    <row r="97" outlineLevel="1">
      <c r="C97" s="45"/>
      <c r="D97" s="41" t="s">
        <v>24</v>
      </c>
      <c r="E97" s="56">
        <f t="shared" si="23"/>
        <v>437470</v>
      </c>
      <c r="F97" s="42">
        <f t="array" ref="F97">INDIRECT("1월!$K$50")</f>
        <v>33880</v>
      </c>
      <c r="G97" s="42">
        <f t="array" ref="G97">INDIRECT("2월!$K$50")</f>
        <v>247570</v>
      </c>
      <c r="H97" s="42">
        <f t="array" ref="H97">INDIRECT("3월!$K$50")</f>
        <v>41400</v>
      </c>
      <c r="I97" s="42">
        <f t="array" ref="I97">INDIRECT("4월!$K$50")</f>
        <v>0</v>
      </c>
      <c r="J97" s="42">
        <f t="array" ref="J97">INDIRECT("5월!$K$50")</f>
        <v>18000</v>
      </c>
      <c r="K97" s="42">
        <f t="array" ref="K97">INDIRECT("6월!$K$50")</f>
        <v>0</v>
      </c>
      <c r="L97" s="42">
        <f t="array" ref="L97">INDIRECT("7월!$K$50")</f>
        <v>0</v>
      </c>
      <c r="M97" s="42">
        <f t="array" ref="M97">INDIRECT("8월!$K$50")</f>
        <v>0</v>
      </c>
      <c r="N97" s="42">
        <f t="array" ref="N97">INDIRECT("9월!$K$50")</f>
        <v>47800</v>
      </c>
      <c r="O97" s="42">
        <f t="array" ref="O97">INDIRECT("10월!$K$50")</f>
        <v>22930</v>
      </c>
      <c r="P97" s="42">
        <f t="array" ref="P97">INDIRECT("11월!$K$50")</f>
        <v>25890</v>
      </c>
      <c r="Q97" s="42">
        <f t="array" ref="Q97">INDIRECT("12월!$K$50")</f>
        <v>0</v>
      </c>
      <c r="R97" s="44">
        <f t="shared" si="24"/>
        <v>39770</v>
      </c>
    </row>
    <row r="98" outlineLevel="1">
      <c r="C98" s="45"/>
      <c r="D98" s="41" t="s">
        <v>8</v>
      </c>
      <c r="E98" s="56">
        <f t="shared" si="23"/>
        <v>916670</v>
      </c>
      <c r="F98" s="42">
        <f t="array" ref="F98">INDIRECT("1월!$K$51")</f>
        <v>271100</v>
      </c>
      <c r="G98" s="42">
        <f t="array" ref="G98">INDIRECT("2월!$K$51")</f>
        <v>12000</v>
      </c>
      <c r="H98" s="42">
        <f t="array" ref="H98">INDIRECT("3월!$K$51")</f>
        <v>0</v>
      </c>
      <c r="I98" s="42">
        <f t="array" ref="I98">INDIRECT("4월!$K$51")</f>
        <v>124450</v>
      </c>
      <c r="J98" s="42">
        <f t="array" ref="J98">INDIRECT("5월!$K$51")</f>
        <v>440000</v>
      </c>
      <c r="K98" s="42">
        <f t="array" ref="K98">INDIRECT("6월!$K$51")</f>
        <v>0</v>
      </c>
      <c r="L98" s="42">
        <f t="array" ref="L98">INDIRECT("7월!$K$51")</f>
        <v>15000</v>
      </c>
      <c r="M98" s="42">
        <f t="array" ref="M98">INDIRECT("8월!$K$51")</f>
        <v>5000</v>
      </c>
      <c r="N98" s="42">
        <f t="array" ref="N98">INDIRECT("9월!$K$51")</f>
        <v>38620</v>
      </c>
      <c r="O98" s="42">
        <f t="array" ref="O98">INDIRECT("10월!$K$51")</f>
        <v>10500</v>
      </c>
      <c r="P98" s="42">
        <f t="array" ref="P98">INDIRECT("11월!$K$51")</f>
        <v>0</v>
      </c>
      <c r="Q98" s="42">
        <f t="array" ref="Q98">INDIRECT("12월!$K$51")</f>
        <v>0</v>
      </c>
      <c r="R98" s="44">
        <f t="shared" si="24"/>
        <v>83333.63636</v>
      </c>
    </row>
    <row r="99" outlineLevel="1">
      <c r="C99" s="45"/>
      <c r="D99" s="41"/>
      <c r="E99" s="56">
        <f t="shared" si="23"/>
        <v>0</v>
      </c>
      <c r="F99" s="42">
        <f t="array" ref="F99">INDIRECT("1월!$K$52")</f>
        <v>0</v>
      </c>
      <c r="G99" s="42">
        <f t="array" ref="G99">INDIRECT("2월!$K$52")</f>
        <v>0</v>
      </c>
      <c r="H99" s="42">
        <f t="array" ref="H99">INDIRECT("3월!$K$52")</f>
        <v>0</v>
      </c>
      <c r="I99" s="42">
        <f t="array" ref="I99">INDIRECT("4월!$K$52")</f>
        <v>0</v>
      </c>
      <c r="J99" s="42">
        <f t="array" ref="J99">INDIRECT("5월!$K$52")</f>
        <v>0</v>
      </c>
      <c r="K99" s="42">
        <f t="array" ref="K99">INDIRECT("6월!$K$52")</f>
        <v>0</v>
      </c>
      <c r="L99" s="42">
        <f t="array" ref="L99">INDIRECT("7월!$K$52")</f>
        <v>0</v>
      </c>
      <c r="M99" s="42">
        <f t="array" ref="M99">INDIRECT("8월!$K$52")</f>
        <v>0</v>
      </c>
      <c r="N99" s="42">
        <f t="array" ref="N99">INDIRECT("9월!$K$52")</f>
        <v>0</v>
      </c>
      <c r="O99" s="42">
        <f t="array" ref="O99">INDIRECT("10월!$K$52")</f>
        <v>0</v>
      </c>
      <c r="P99" s="42">
        <f t="array" ref="P99">INDIRECT("11월!$K$52")</f>
        <v>0</v>
      </c>
      <c r="Q99" s="42">
        <f t="array" ref="Q99">INDIRECT("12월!$K$52")</f>
        <v>0</v>
      </c>
      <c r="R99" s="44">
        <f t="shared" si="24"/>
        <v>0</v>
      </c>
    </row>
    <row r="100" outlineLevel="1">
      <c r="C100" s="45"/>
      <c r="D100" s="41"/>
      <c r="E100" s="56">
        <f t="shared" si="23"/>
        <v>0</v>
      </c>
      <c r="F100" s="42">
        <f t="array" ref="F100">INDIRECT("1월!$K$53")</f>
        <v>0</v>
      </c>
      <c r="G100" s="42">
        <f t="array" ref="G100">INDIRECT("2월!$K$53")</f>
        <v>0</v>
      </c>
      <c r="H100" s="42">
        <f t="array" ref="H100">INDIRECT("3월!$K$53")</f>
        <v>0</v>
      </c>
      <c r="I100" s="42">
        <f t="array" ref="I100">INDIRECT("4월!$K$53")</f>
        <v>0</v>
      </c>
      <c r="J100" s="42">
        <f t="array" ref="J100">INDIRECT("5월!$K$53")</f>
        <v>0</v>
      </c>
      <c r="K100" s="42">
        <f t="array" ref="K100">INDIRECT("6월!$K$53")</f>
        <v>0</v>
      </c>
      <c r="L100" s="42">
        <f t="array" ref="L100">INDIRECT("7월!$K$53")</f>
        <v>0</v>
      </c>
      <c r="M100" s="42">
        <f t="array" ref="M100">INDIRECT("8월!$K$53")</f>
        <v>0</v>
      </c>
      <c r="N100" s="42">
        <f t="array" ref="N100">INDIRECT("9월!$K$53")</f>
        <v>0</v>
      </c>
      <c r="O100" s="42">
        <f t="array" ref="O100">INDIRECT("10월!$K$53")</f>
        <v>0</v>
      </c>
      <c r="P100" s="42">
        <f t="array" ref="P100">INDIRECT("11월!$K$53")</f>
        <v>0</v>
      </c>
      <c r="Q100" s="42">
        <f t="array" ref="Q100">INDIRECT("12월!$K$53")</f>
        <v>0</v>
      </c>
      <c r="R100" s="44">
        <f t="shared" si="24"/>
        <v>0</v>
      </c>
    </row>
    <row r="101" outlineLevel="1">
      <c r="C101" s="46"/>
      <c r="D101" s="47"/>
      <c r="E101" s="56">
        <f t="shared" si="23"/>
        <v>0</v>
      </c>
      <c r="F101" s="42">
        <f t="array" ref="F101">INDIRECT("1월!$K$54")</f>
        <v>0</v>
      </c>
      <c r="G101" s="42">
        <f t="array" ref="G101">INDIRECT("2월!$K$54")</f>
        <v>0</v>
      </c>
      <c r="H101" s="42">
        <f t="array" ref="H101">INDIRECT("3월!$K$54")</f>
        <v>0</v>
      </c>
      <c r="I101" s="42">
        <f t="array" ref="I101">INDIRECT("4월!$K$54")</f>
        <v>0</v>
      </c>
      <c r="J101" s="42">
        <f t="array" ref="J101">INDIRECT("5월!$K$54")</f>
        <v>0</v>
      </c>
      <c r="K101" s="42">
        <f t="array" ref="K101">INDIRECT("6월!$K$54")</f>
        <v>0</v>
      </c>
      <c r="L101" s="42">
        <f t="array" ref="L101">INDIRECT("7월!$K$54")</f>
        <v>0</v>
      </c>
      <c r="M101" s="42">
        <f t="array" ref="M101">INDIRECT("8월!$K$54")</f>
        <v>0</v>
      </c>
      <c r="N101" s="42">
        <f t="array" ref="N101">INDIRECT("9월!$K$54")</f>
        <v>0</v>
      </c>
      <c r="O101" s="42">
        <f t="array" ref="O101">INDIRECT("10월!$K$54")</f>
        <v>0</v>
      </c>
      <c r="P101" s="42">
        <f t="array" ref="P101">INDIRECT("11월!$K$54")</f>
        <v>0</v>
      </c>
      <c r="Q101" s="42">
        <f t="array" ref="Q101">INDIRECT("12월!$K$54")</f>
        <v>0</v>
      </c>
      <c r="R101" s="44">
        <f t="shared" si="24"/>
        <v>0</v>
      </c>
    </row>
    <row r="102">
      <c r="C102" s="48" t="str">
        <f>IF($C$96=0,"","총"&amp;$C$96)</f>
        <v>총🐻생필품</v>
      </c>
      <c r="D102" s="8"/>
      <c r="E102" s="49">
        <f t="shared" si="23"/>
        <v>2924998</v>
      </c>
      <c r="F102" s="42">
        <f t="array" ref="F102">INDIRECT("1월!$K$55")</f>
        <v>345480</v>
      </c>
      <c r="G102" s="42">
        <f t="array" ref="G102">INDIRECT("2월!$K$55")</f>
        <v>333748</v>
      </c>
      <c r="H102" s="42">
        <f t="array" ref="H102">INDIRECT("3월!$K$55")</f>
        <v>41400</v>
      </c>
      <c r="I102" s="42">
        <f t="array" ref="I102">INDIRECT("4월!$K$55")</f>
        <v>126650</v>
      </c>
      <c r="J102" s="42">
        <f t="array" ref="J102">INDIRECT("5월!$K$55")</f>
        <v>1449690</v>
      </c>
      <c r="K102" s="42">
        <f t="array" ref="K102">INDIRECT("6월!$K$55")</f>
        <v>440000</v>
      </c>
      <c r="L102" s="42">
        <f t="array" ref="L102">INDIRECT("7월!$K$55")</f>
        <v>15000</v>
      </c>
      <c r="M102" s="42">
        <f t="array" ref="M102">INDIRECT("8월!$K$55")</f>
        <v>27290</v>
      </c>
      <c r="N102" s="42">
        <f t="array" ref="N102">INDIRECT("9월!$K$55")</f>
        <v>86420</v>
      </c>
      <c r="O102" s="42">
        <f t="array" ref="O102">INDIRECT("10월!$K$55")</f>
        <v>33430</v>
      </c>
      <c r="P102" s="42">
        <f t="array" ref="P102">INDIRECT("11월!$K$55")</f>
        <v>25890</v>
      </c>
      <c r="Q102" s="42">
        <f t="array" ref="Q102">INDIRECT("12월!$K$55")</f>
        <v>0</v>
      </c>
      <c r="R102" s="44">
        <f t="shared" si="24"/>
        <v>265908.9091</v>
      </c>
    </row>
    <row r="103" outlineLevel="1">
      <c r="C103" s="50" t="s">
        <v>26</v>
      </c>
      <c r="D103" s="51" t="s">
        <v>27</v>
      </c>
      <c r="E103" s="56">
        <f t="shared" si="23"/>
        <v>2006020</v>
      </c>
      <c r="F103" s="42">
        <f t="array" ref="F103">INDIRECT("1월!$P$25")</f>
        <v>437790</v>
      </c>
      <c r="G103" s="42">
        <f t="array" ref="G103">INDIRECT("2월!$P$25")</f>
        <v>279251</v>
      </c>
      <c r="H103" s="42">
        <f t="array" ref="H103">INDIRECT("3월!$P$25")</f>
        <v>568550</v>
      </c>
      <c r="I103" s="42">
        <f t="array" ref="I103">INDIRECT("4월!$P$25")</f>
        <v>86090</v>
      </c>
      <c r="J103" s="42">
        <f t="array" ref="J103">INDIRECT("5월!$P$25")</f>
        <v>113780</v>
      </c>
      <c r="K103" s="42">
        <f t="array" ref="K103">INDIRECT("6월!$P$25")</f>
        <v>285056</v>
      </c>
      <c r="L103" s="42">
        <f t="array" ref="L103">INDIRECT("7월!$P$25")</f>
        <v>0</v>
      </c>
      <c r="M103" s="42">
        <f t="array" ref="M103">INDIRECT("8월!$P$25")</f>
        <v>8000</v>
      </c>
      <c r="N103" s="42">
        <f t="array" ref="N103">INDIRECT("9월!$P$25")</f>
        <v>50250</v>
      </c>
      <c r="O103" s="42">
        <f t="array" ref="O103">INDIRECT("10월!$P$25")</f>
        <v>177253</v>
      </c>
      <c r="P103" s="42">
        <f t="array" ref="P103">INDIRECT("11월!$P$25")</f>
        <v>0</v>
      </c>
      <c r="Q103" s="42">
        <f t="array" ref="Q103">INDIRECT("12월!$P$25")</f>
        <v>0</v>
      </c>
      <c r="R103" s="44">
        <f t="shared" si="24"/>
        <v>182365.4545</v>
      </c>
    </row>
    <row r="104" outlineLevel="1">
      <c r="C104" s="45"/>
      <c r="D104" s="41" t="s">
        <v>28</v>
      </c>
      <c r="E104" s="56">
        <f t="shared" si="23"/>
        <v>981912</v>
      </c>
      <c r="F104" s="42">
        <f t="array" ref="F104">INDIRECT("1월!$P$26")</f>
        <v>46600</v>
      </c>
      <c r="G104" s="42">
        <f t="array" ref="G104">INDIRECT("2월!$P$26")</f>
        <v>248000</v>
      </c>
      <c r="H104" s="42">
        <f t="array" ref="H104">INDIRECT("3월!$P$26")</f>
        <v>120100</v>
      </c>
      <c r="I104" s="42">
        <f t="array" ref="I104">INDIRECT("4월!$P$26")</f>
        <v>12000</v>
      </c>
      <c r="J104" s="42">
        <f t="array" ref="J104">INDIRECT("5월!$P$26")</f>
        <v>41000</v>
      </c>
      <c r="K104" s="42">
        <f t="array" ref="K104">INDIRECT("6월!$P$26")</f>
        <v>106300</v>
      </c>
      <c r="L104" s="42">
        <f t="array" ref="L104">INDIRECT("7월!$P$26")</f>
        <v>135400</v>
      </c>
      <c r="M104" s="42">
        <f t="array" ref="M104">INDIRECT("8월!$P$26")</f>
        <v>54800</v>
      </c>
      <c r="N104" s="42">
        <f t="array" ref="N104">INDIRECT("9월!$P$26")</f>
        <v>15900</v>
      </c>
      <c r="O104" s="42">
        <f t="array" ref="O104">INDIRECT("10월!$P$26")</f>
        <v>103812</v>
      </c>
      <c r="P104" s="42">
        <f t="array" ref="P104">INDIRECT("11월!$P$26")</f>
        <v>98000</v>
      </c>
      <c r="Q104" s="42">
        <f t="array" ref="Q104">INDIRECT("12월!$P$26")</f>
        <v>0</v>
      </c>
      <c r="R104" s="44">
        <f t="shared" si="24"/>
        <v>89264.72727</v>
      </c>
    </row>
    <row r="105" outlineLevel="1">
      <c r="C105" s="45"/>
      <c r="D105" s="41" t="s">
        <v>29</v>
      </c>
      <c r="E105" s="56">
        <f t="shared" si="23"/>
        <v>991915</v>
      </c>
      <c r="F105" s="42">
        <f t="array" ref="F105">INDIRECT("1월!$P$27")</f>
        <v>61400</v>
      </c>
      <c r="G105" s="42">
        <f t="array" ref="G105">INDIRECT("2월!$P$27")</f>
        <v>46000</v>
      </c>
      <c r="H105" s="42">
        <f t="array" ref="H105">INDIRECT("3월!$P$27")</f>
        <v>33200</v>
      </c>
      <c r="I105" s="42">
        <f t="array" ref="I105">INDIRECT("4월!$P$27")</f>
        <v>28000</v>
      </c>
      <c r="J105" s="42">
        <f t="array" ref="J105">INDIRECT("5월!$P$27")</f>
        <v>588300</v>
      </c>
      <c r="K105" s="42">
        <f t="array" ref="K105">INDIRECT("6월!$P$27")</f>
        <v>54980</v>
      </c>
      <c r="L105" s="42">
        <f t="array" ref="L105">INDIRECT("7월!$P$27")</f>
        <v>30680</v>
      </c>
      <c r="M105" s="42">
        <f t="array" ref="M105">INDIRECT("8월!$P$27")</f>
        <v>15100</v>
      </c>
      <c r="N105" s="42">
        <f t="array" ref="N105">INDIRECT("9월!$P$27")</f>
        <v>9300</v>
      </c>
      <c r="O105" s="42">
        <f t="array" ref="O105">INDIRECT("10월!$P$27")</f>
        <v>44900</v>
      </c>
      <c r="P105" s="42">
        <f t="array" ref="P105">INDIRECT("11월!$P$27")</f>
        <v>80055</v>
      </c>
      <c r="Q105" s="42">
        <f t="array" ref="Q105">INDIRECT("12월!$P$27")</f>
        <v>0</v>
      </c>
      <c r="R105" s="44">
        <f t="shared" si="24"/>
        <v>90174.09091</v>
      </c>
    </row>
    <row r="106" outlineLevel="1">
      <c r="C106" s="45"/>
      <c r="D106" s="41" t="s">
        <v>30</v>
      </c>
      <c r="E106" s="56">
        <f t="shared" si="23"/>
        <v>1878772</v>
      </c>
      <c r="F106" s="42">
        <f t="array" ref="F106">INDIRECT("1월!$P$28")</f>
        <v>327762</v>
      </c>
      <c r="G106" s="42">
        <f t="array" ref="G106">INDIRECT("2월!$P$28")</f>
        <v>411700</v>
      </c>
      <c r="H106" s="42">
        <f t="array" ref="H106">INDIRECT("3월!$P$28")</f>
        <v>437300</v>
      </c>
      <c r="I106" s="42">
        <f t="array" ref="I106">INDIRECT("4월!$P$28")</f>
        <v>0</v>
      </c>
      <c r="J106" s="42">
        <f t="array" ref="J106">INDIRECT("5월!$P$28")</f>
        <v>90279</v>
      </c>
      <c r="K106" s="42">
        <f t="array" ref="K106">INDIRECT("6월!$P$28")</f>
        <v>230031</v>
      </c>
      <c r="L106" s="42">
        <f t="array" ref="L106">INDIRECT("7월!$P$28")</f>
        <v>0</v>
      </c>
      <c r="M106" s="42">
        <f t="array" ref="M106">INDIRECT("8월!$P$28")</f>
        <v>29600</v>
      </c>
      <c r="N106" s="42">
        <f t="array" ref="N106">INDIRECT("9월!$P$28")</f>
        <v>94800</v>
      </c>
      <c r="O106" s="42">
        <f t="array" ref="O106">INDIRECT("10월!$P$28")</f>
        <v>139800</v>
      </c>
      <c r="P106" s="42">
        <f t="array" ref="P106">INDIRECT("11월!$P$28")</f>
        <v>117500</v>
      </c>
      <c r="Q106" s="42">
        <f t="array" ref="Q106">INDIRECT("12월!$P$28")</f>
        <v>0</v>
      </c>
      <c r="R106" s="44">
        <f t="shared" si="24"/>
        <v>170797.4545</v>
      </c>
    </row>
    <row r="107" outlineLevel="1">
      <c r="C107" s="45"/>
      <c r="D107" s="41" t="s">
        <v>8</v>
      </c>
      <c r="E107" s="56">
        <f t="shared" si="23"/>
        <v>0</v>
      </c>
      <c r="F107" s="42">
        <f t="array" ref="F107">INDIRECT("1월!$P$29")</f>
        <v>0</v>
      </c>
      <c r="G107" s="42">
        <f t="array" ref="G107">INDIRECT("2월!$P$29")</f>
        <v>0</v>
      </c>
      <c r="H107" s="42">
        <f t="array" ref="H107">INDIRECT("3월!$P$29")</f>
        <v>0</v>
      </c>
      <c r="I107" s="42">
        <f t="array" ref="I107">INDIRECT("4월!$P$29")</f>
        <v>0</v>
      </c>
      <c r="J107" s="42">
        <f t="array" ref="J107">INDIRECT("5월!$P$29")</f>
        <v>0</v>
      </c>
      <c r="K107" s="42">
        <f t="array" ref="K107">INDIRECT("6월!$P$29")</f>
        <v>0</v>
      </c>
      <c r="L107" s="42">
        <f t="array" ref="L107">INDIRECT("7월!$P$29")</f>
        <v>0</v>
      </c>
      <c r="M107" s="42">
        <f t="array" ref="M107">INDIRECT("8월!$P$29")</f>
        <v>0</v>
      </c>
      <c r="N107" s="42">
        <f t="array" ref="N107">INDIRECT("9월!$P$29")</f>
        <v>0</v>
      </c>
      <c r="O107" s="42">
        <f t="array" ref="O107">INDIRECT("10월!$P$29")</f>
        <v>0</v>
      </c>
      <c r="P107" s="42">
        <f t="array" ref="P107">INDIRECT("11월!$P$29")</f>
        <v>0</v>
      </c>
      <c r="Q107" s="42">
        <f t="array" ref="Q107">INDIRECT("12월!$P$29")</f>
        <v>0</v>
      </c>
      <c r="R107" s="44">
        <f t="shared" si="24"/>
        <v>0</v>
      </c>
    </row>
    <row r="108" outlineLevel="1">
      <c r="C108" s="46"/>
      <c r="D108" s="47"/>
      <c r="E108" s="56">
        <f t="shared" si="23"/>
        <v>0</v>
      </c>
      <c r="F108" s="42">
        <f t="array" ref="F108">INDIRECT("1월!$P$30")</f>
        <v>0</v>
      </c>
      <c r="G108" s="42">
        <f t="array" ref="G108">INDIRECT("2월!$P$30")</f>
        <v>0</v>
      </c>
      <c r="H108" s="42">
        <f t="array" ref="H108">INDIRECT("3월!$P$30")</f>
        <v>0</v>
      </c>
      <c r="I108" s="42">
        <f t="array" ref="I108">INDIRECT("4월!$P$30")</f>
        <v>0</v>
      </c>
      <c r="J108" s="42">
        <f t="array" ref="J108">INDIRECT("5월!$P$30")</f>
        <v>0</v>
      </c>
      <c r="K108" s="42">
        <f t="array" ref="K108">INDIRECT("6월!$P$30")</f>
        <v>0</v>
      </c>
      <c r="L108" s="42">
        <f t="array" ref="L108">INDIRECT("7월!$P$30")</f>
        <v>0</v>
      </c>
      <c r="M108" s="42">
        <f t="array" ref="M108">INDIRECT("8월!$P$30")</f>
        <v>0</v>
      </c>
      <c r="N108" s="42">
        <f t="array" ref="N108">INDIRECT("9월!$P$30")</f>
        <v>0</v>
      </c>
      <c r="O108" s="42">
        <f t="array" ref="O108">INDIRECT("10월!$P$30")</f>
        <v>0</v>
      </c>
      <c r="P108" s="42">
        <f t="array" ref="P108">INDIRECT("11월!$P$30")</f>
        <v>0</v>
      </c>
      <c r="Q108" s="42">
        <f t="array" ref="Q108">INDIRECT("12월!$P$30")</f>
        <v>0</v>
      </c>
      <c r="R108" s="44">
        <f t="shared" si="24"/>
        <v>0</v>
      </c>
    </row>
    <row r="109">
      <c r="C109" s="48" t="str">
        <f>IF($C$103=0,"","총"&amp;$C$103)</f>
        <v>총🍪식비</v>
      </c>
      <c r="D109" s="8"/>
      <c r="E109" s="49">
        <f t="shared" si="23"/>
        <v>5858619</v>
      </c>
      <c r="F109" s="42">
        <f t="array" ref="F109">INDIRECT("1월!$P$31")</f>
        <v>873552</v>
      </c>
      <c r="G109" s="42">
        <f t="array" ref="G109">INDIRECT("2월!$P$31")</f>
        <v>984951</v>
      </c>
      <c r="H109" s="42">
        <f t="array" ref="H109">INDIRECT("3월!$P$31")</f>
        <v>1159150</v>
      </c>
      <c r="I109" s="42">
        <f t="array" ref="I109">INDIRECT("4월!$P$31")</f>
        <v>126090</v>
      </c>
      <c r="J109" s="42">
        <f t="array" ref="J109">INDIRECT("5월!$P$31")</f>
        <v>833359</v>
      </c>
      <c r="K109" s="42">
        <f t="array" ref="K109">INDIRECT("6월!$P$31")</f>
        <v>676367</v>
      </c>
      <c r="L109" s="42">
        <f t="array" ref="L109">INDIRECT("7월!$P$31")</f>
        <v>166080</v>
      </c>
      <c r="M109" s="42">
        <f t="array" ref="M109">INDIRECT("8월!$P$31")</f>
        <v>107500</v>
      </c>
      <c r="N109" s="42">
        <f t="array" ref="N109">INDIRECT("9월!$P$31")</f>
        <v>170250</v>
      </c>
      <c r="O109" s="42">
        <f t="array" ref="O109">INDIRECT("10월!$P$31")</f>
        <v>465765</v>
      </c>
      <c r="P109" s="42">
        <f t="array" ref="P109">INDIRECT("11월!$P$31")</f>
        <v>295555</v>
      </c>
      <c r="Q109" s="42">
        <f t="array" ref="Q109">INDIRECT("12월!$P$31")</f>
        <v>0</v>
      </c>
      <c r="R109" s="44">
        <f t="shared" si="24"/>
        <v>532601.7273</v>
      </c>
    </row>
    <row r="110" outlineLevel="1">
      <c r="C110" s="50" t="s">
        <v>31</v>
      </c>
      <c r="D110" s="51" t="s">
        <v>27</v>
      </c>
      <c r="E110" s="56">
        <f t="shared" si="23"/>
        <v>1257666</v>
      </c>
      <c r="F110" s="42">
        <f t="array" ref="F110">INDIRECT("1월!$P$33")</f>
        <v>20000</v>
      </c>
      <c r="G110" s="42">
        <f t="array" ref="G110">INDIRECT("2월!$P$33")</f>
        <v>36500</v>
      </c>
      <c r="H110" s="42">
        <f t="array" ref="H110">INDIRECT("3월!$P$33")</f>
        <v>178452</v>
      </c>
      <c r="I110" s="42">
        <f t="array" ref="I110">INDIRECT("4월!$P$33")</f>
        <v>24900</v>
      </c>
      <c r="J110" s="42">
        <f t="array" ref="J110">INDIRECT("5월!$P$33")</f>
        <v>2980</v>
      </c>
      <c r="K110" s="42">
        <f t="array" ref="K110">INDIRECT("6월!$P$33")</f>
        <v>242220</v>
      </c>
      <c r="L110" s="42">
        <f t="array" ref="L110">INDIRECT("7월!$P$33")</f>
        <v>7210</v>
      </c>
      <c r="M110" s="42">
        <f t="array" ref="M110">INDIRECT("8월!$P$33")</f>
        <v>121134</v>
      </c>
      <c r="N110" s="42">
        <f t="array" ref="N110">INDIRECT("9월!$P$33")</f>
        <v>72090</v>
      </c>
      <c r="O110" s="42">
        <f t="array" ref="O110">INDIRECT("10월!$P$33")</f>
        <v>267100</v>
      </c>
      <c r="P110" s="42">
        <f t="array" ref="P110">INDIRECT("11월!$P$33")</f>
        <v>285080</v>
      </c>
      <c r="Q110" s="42">
        <f t="array" ref="Q110">INDIRECT("12월!$P$33")</f>
        <v>0</v>
      </c>
      <c r="R110" s="44">
        <f t="shared" si="24"/>
        <v>114333.2727</v>
      </c>
    </row>
    <row r="111" outlineLevel="1">
      <c r="C111" s="45"/>
      <c r="D111" s="41" t="s">
        <v>28</v>
      </c>
      <c r="E111" s="56">
        <f t="shared" si="23"/>
        <v>259400</v>
      </c>
      <c r="F111" s="42">
        <f t="array" ref="F111">INDIRECT("1월!$P$34")</f>
        <v>140900</v>
      </c>
      <c r="G111" s="42">
        <f t="array" ref="G111">INDIRECT("2월!$P$34")</f>
        <v>33500</v>
      </c>
      <c r="H111" s="42">
        <f t="array" ref="H111">INDIRECT("3월!$P$34")</f>
        <v>0</v>
      </c>
      <c r="I111" s="42">
        <f t="array" ref="I111">INDIRECT("4월!$P$34")</f>
        <v>0</v>
      </c>
      <c r="J111" s="42">
        <f t="array" ref="J111">INDIRECT("5월!$P$34")</f>
        <v>85000</v>
      </c>
      <c r="K111" s="42">
        <f t="array" ref="K111">INDIRECT("6월!$P$34")</f>
        <v>0</v>
      </c>
      <c r="L111" s="42">
        <f t="array" ref="L111">INDIRECT("7월!$P$34")</f>
        <v>0</v>
      </c>
      <c r="M111" s="42">
        <f t="array" ref="M111">INDIRECT("8월!$P$34")</f>
        <v>0</v>
      </c>
      <c r="N111" s="42">
        <f t="array" ref="N111">INDIRECT("9월!$P$34")</f>
        <v>0</v>
      </c>
      <c r="O111" s="42">
        <f t="array" ref="O111">INDIRECT("10월!$P$34")</f>
        <v>0</v>
      </c>
      <c r="P111" s="42">
        <f t="array" ref="P111">INDIRECT("11월!$P$34")</f>
        <v>0</v>
      </c>
      <c r="Q111" s="42">
        <f t="array" ref="Q111">INDIRECT("12월!$P$34")</f>
        <v>0</v>
      </c>
      <c r="R111" s="44">
        <f t="shared" si="24"/>
        <v>23581.81818</v>
      </c>
    </row>
    <row r="112" outlineLevel="1">
      <c r="C112" s="45"/>
      <c r="D112" s="41" t="s">
        <v>29</v>
      </c>
      <c r="E112" s="56">
        <f t="shared" si="23"/>
        <v>458000</v>
      </c>
      <c r="F112" s="42">
        <f t="array" ref="F112">INDIRECT("1월!$P$35")</f>
        <v>43800</v>
      </c>
      <c r="G112" s="42">
        <f t="array" ref="G112">INDIRECT("2월!$P$35")</f>
        <v>37400</v>
      </c>
      <c r="H112" s="42">
        <f t="array" ref="H112">INDIRECT("3월!$P$35")</f>
        <v>45600</v>
      </c>
      <c r="I112" s="42">
        <f t="array" ref="I112">INDIRECT("4월!$P$35")</f>
        <v>18550</v>
      </c>
      <c r="J112" s="42">
        <f t="array" ref="J112">INDIRECT("5월!$P$35")</f>
        <v>73900</v>
      </c>
      <c r="K112" s="42">
        <f t="array" ref="K112">INDIRECT("6월!$P$35")</f>
        <v>26300</v>
      </c>
      <c r="L112" s="42">
        <f t="array" ref="L112">INDIRECT("7월!$P$35")</f>
        <v>58750</v>
      </c>
      <c r="M112" s="42">
        <f t="array" ref="M112">INDIRECT("8월!$P$35")</f>
        <v>52400</v>
      </c>
      <c r="N112" s="42">
        <f t="array" ref="N112">INDIRECT("9월!$P$35")</f>
        <v>27800</v>
      </c>
      <c r="O112" s="42">
        <f t="array" ref="O112">INDIRECT("10월!$P$35")</f>
        <v>23500</v>
      </c>
      <c r="P112" s="42">
        <f t="array" ref="P112">INDIRECT("11월!$P$35")</f>
        <v>50000</v>
      </c>
      <c r="Q112" s="42">
        <f t="array" ref="Q112">INDIRECT("12월!$P$35")</f>
        <v>0</v>
      </c>
      <c r="R112" s="44">
        <f t="shared" si="24"/>
        <v>41636.36364</v>
      </c>
    </row>
    <row r="113" outlineLevel="1">
      <c r="C113" s="45"/>
      <c r="D113" s="41" t="s">
        <v>30</v>
      </c>
      <c r="E113" s="56">
        <f t="shared" si="23"/>
        <v>1612450</v>
      </c>
      <c r="F113" s="42">
        <f t="array" ref="F113">INDIRECT("1월!$P$36")</f>
        <v>20000</v>
      </c>
      <c r="G113" s="42">
        <f t="array" ref="G113">INDIRECT("2월!$P$36")</f>
        <v>28900</v>
      </c>
      <c r="H113" s="42">
        <f t="array" ref="H113">INDIRECT("3월!$P$36")</f>
        <v>129700</v>
      </c>
      <c r="I113" s="42">
        <f t="array" ref="I113">INDIRECT("4월!$P$36")</f>
        <v>115300</v>
      </c>
      <c r="J113" s="42">
        <f t="array" ref="J113">INDIRECT("5월!$P$36")</f>
        <v>121759</v>
      </c>
      <c r="K113" s="42">
        <f t="array" ref="K113">INDIRECT("6월!$P$36")</f>
        <v>111000</v>
      </c>
      <c r="L113" s="42">
        <f t="array" ref="L113">INDIRECT("7월!$P$36")</f>
        <v>192900</v>
      </c>
      <c r="M113" s="42">
        <f t="array" ref="M113">INDIRECT("8월!$P$36")</f>
        <v>422601</v>
      </c>
      <c r="N113" s="42">
        <f t="array" ref="N113">INDIRECT("9월!$P$36")</f>
        <v>146600</v>
      </c>
      <c r="O113" s="42">
        <f t="array" ref="O113">INDIRECT("10월!$P$36")</f>
        <v>172050</v>
      </c>
      <c r="P113" s="42">
        <f t="array" ref="P113">INDIRECT("11월!$P$36")</f>
        <v>151640</v>
      </c>
      <c r="Q113" s="42">
        <f t="array" ref="Q113">INDIRECT("12월!$P$36")</f>
        <v>0</v>
      </c>
      <c r="R113" s="44">
        <f t="shared" si="24"/>
        <v>146586.3636</v>
      </c>
    </row>
    <row r="114" outlineLevel="1">
      <c r="C114" s="45"/>
      <c r="D114" s="41" t="s">
        <v>8</v>
      </c>
      <c r="E114" s="56">
        <f t="shared" si="23"/>
        <v>33200</v>
      </c>
      <c r="F114" s="42">
        <f t="array" ref="F114">INDIRECT("1월!$P$37")</f>
        <v>0</v>
      </c>
      <c r="G114" s="42">
        <f t="array" ref="G114">INDIRECT("2월!$P$37")</f>
        <v>3900</v>
      </c>
      <c r="H114" s="42">
        <f t="array" ref="H114">INDIRECT("3월!$P$37")</f>
        <v>0</v>
      </c>
      <c r="I114" s="42">
        <f t="array" ref="I114">INDIRECT("4월!$P$37")</f>
        <v>1000</v>
      </c>
      <c r="J114" s="42">
        <f t="array" ref="J114">INDIRECT("5월!$P$37")</f>
        <v>0</v>
      </c>
      <c r="K114" s="42">
        <f t="array" ref="K114">INDIRECT("6월!$P$37")</f>
        <v>2000</v>
      </c>
      <c r="L114" s="42">
        <f t="array" ref="L114">INDIRECT("7월!$P$37")</f>
        <v>23800</v>
      </c>
      <c r="M114" s="42">
        <f t="array" ref="M114">INDIRECT("8월!$P$37")</f>
        <v>0</v>
      </c>
      <c r="N114" s="42">
        <f t="array" ref="N114">INDIRECT("9월!$P$37")</f>
        <v>0</v>
      </c>
      <c r="O114" s="42">
        <f t="array" ref="O114">INDIRECT("10월!$P$37")</f>
        <v>2500</v>
      </c>
      <c r="P114" s="42">
        <f t="array" ref="P114">INDIRECT("11월!$P$37")</f>
        <v>0</v>
      </c>
      <c r="Q114" s="42">
        <f t="array" ref="Q114">INDIRECT("12월!$P$37")</f>
        <v>0</v>
      </c>
      <c r="R114" s="44">
        <f t="shared" si="24"/>
        <v>3018.181818</v>
      </c>
    </row>
    <row r="115" outlineLevel="1">
      <c r="C115" s="46"/>
      <c r="D115" s="47"/>
      <c r="E115" s="56">
        <f t="shared" si="23"/>
        <v>0</v>
      </c>
      <c r="F115" s="42">
        <f t="array" ref="F115">INDIRECT("1월!$P$38")</f>
        <v>0</v>
      </c>
      <c r="G115" s="42">
        <f t="array" ref="G115">INDIRECT("2월!$P$38")</f>
        <v>0</v>
      </c>
      <c r="H115" s="42">
        <f t="array" ref="H115">INDIRECT("3월!$P$38")</f>
        <v>0</v>
      </c>
      <c r="I115" s="42">
        <f t="array" ref="I115">INDIRECT("4월!$P$38")</f>
        <v>0</v>
      </c>
      <c r="J115" s="42">
        <f t="array" ref="J115">INDIRECT("5월!$P$38")</f>
        <v>0</v>
      </c>
      <c r="K115" s="42">
        <f t="array" ref="K115">INDIRECT("6월!$P$38")</f>
        <v>0</v>
      </c>
      <c r="L115" s="42">
        <f t="array" ref="L115">INDIRECT("7월!$P$38")</f>
        <v>0</v>
      </c>
      <c r="M115" s="42">
        <f t="array" ref="M115">INDIRECT("8월!$P$38")</f>
        <v>0</v>
      </c>
      <c r="N115" s="42">
        <f t="array" ref="N115">INDIRECT("9월!$P$38")</f>
        <v>0</v>
      </c>
      <c r="O115" s="42">
        <f t="array" ref="O115">INDIRECT("10월!$P$38")</f>
        <v>0</v>
      </c>
      <c r="P115" s="42">
        <f t="array" ref="P115">INDIRECT("11월!$P$38")</f>
        <v>0</v>
      </c>
      <c r="Q115" s="42">
        <f t="array" ref="Q115">INDIRECT("12월!$P$38")</f>
        <v>0</v>
      </c>
      <c r="R115" s="44">
        <f t="shared" si="24"/>
        <v>0</v>
      </c>
    </row>
    <row r="116">
      <c r="C116" s="48" t="str">
        <f>IF($C$110=0,"","총"&amp;$C$110)</f>
        <v>총🐻식비</v>
      </c>
      <c r="D116" s="8"/>
      <c r="E116" s="49">
        <f t="shared" si="23"/>
        <v>3620716</v>
      </c>
      <c r="F116" s="42">
        <f t="array" ref="F116">INDIRECT("1월!$P$39")</f>
        <v>224700</v>
      </c>
      <c r="G116" s="42">
        <f t="array" ref="G116">INDIRECT("2월!$P$39")</f>
        <v>140200</v>
      </c>
      <c r="H116" s="42">
        <f t="array" ref="H116">INDIRECT("3월!$P$39")</f>
        <v>353752</v>
      </c>
      <c r="I116" s="42">
        <f t="array" ref="I116">INDIRECT("4월!$P$39")</f>
        <v>159750</v>
      </c>
      <c r="J116" s="42">
        <f t="array" ref="J116">INDIRECT("5월!$P$39")</f>
        <v>283639</v>
      </c>
      <c r="K116" s="42">
        <f t="array" ref="K116">INDIRECT("6월!$P$39")</f>
        <v>381520</v>
      </c>
      <c r="L116" s="42">
        <f t="array" ref="L116">INDIRECT("7월!$P$39")</f>
        <v>282660</v>
      </c>
      <c r="M116" s="42">
        <f t="array" ref="M116">INDIRECT("8월!$P$39")</f>
        <v>596135</v>
      </c>
      <c r="N116" s="42">
        <f t="array" ref="N116">INDIRECT("9월!$P$39")</f>
        <v>246490</v>
      </c>
      <c r="O116" s="42">
        <f t="array" ref="O116">INDIRECT("10월!$P$39")</f>
        <v>465150</v>
      </c>
      <c r="P116" s="42">
        <f t="array" ref="P116">INDIRECT("11월!$P$39")</f>
        <v>486720</v>
      </c>
      <c r="Q116" s="42">
        <f t="array" ref="Q116">INDIRECT("12월!$P$39")</f>
        <v>0</v>
      </c>
      <c r="R116" s="44">
        <f t="shared" si="24"/>
        <v>329156</v>
      </c>
    </row>
    <row r="117" outlineLevel="1">
      <c r="C117" s="50" t="s">
        <v>32</v>
      </c>
      <c r="D117" s="51" t="s">
        <v>33</v>
      </c>
      <c r="E117" s="56">
        <f t="shared" si="23"/>
        <v>2567738</v>
      </c>
      <c r="F117" s="42">
        <f t="array" ref="F117">INDIRECT("1월!$P$41")</f>
        <v>154900</v>
      </c>
      <c r="G117" s="42">
        <f t="array" ref="G117">INDIRECT("2월!$P$41")</f>
        <v>44030</v>
      </c>
      <c r="H117" s="42">
        <f t="array" ref="H117">INDIRECT("3월!$P$41")</f>
        <v>260000</v>
      </c>
      <c r="I117" s="42">
        <f t="array" ref="I117">INDIRECT("4월!$P$41")</f>
        <v>0</v>
      </c>
      <c r="J117" s="42">
        <f t="array" ref="J117">INDIRECT("5월!$P$41")</f>
        <v>0</v>
      </c>
      <c r="K117" s="42">
        <f t="array" ref="K117">INDIRECT("6월!$P$41")</f>
        <v>0</v>
      </c>
      <c r="L117" s="42">
        <f t="array" ref="L117">INDIRECT("7월!$P$41")</f>
        <v>0</v>
      </c>
      <c r="M117" s="42">
        <f t="array" ref="M117">INDIRECT("8월!$P$41")</f>
        <v>229000</v>
      </c>
      <c r="N117" s="42">
        <f t="array" ref="N117">INDIRECT("9월!$P$41")</f>
        <v>555100</v>
      </c>
      <c r="O117" s="42">
        <f t="array" ref="O117">INDIRECT("10월!$P$41")</f>
        <v>765380</v>
      </c>
      <c r="P117" s="42">
        <f t="array" ref="P117">INDIRECT("11월!$P$41")</f>
        <v>559328</v>
      </c>
      <c r="Q117" s="42">
        <f t="array" ref="Q117">INDIRECT("12월!$P$41")</f>
        <v>0</v>
      </c>
      <c r="R117" s="44">
        <f t="shared" si="24"/>
        <v>233430.7273</v>
      </c>
    </row>
    <row r="118" outlineLevel="1">
      <c r="C118" s="45"/>
      <c r="D118" s="41" t="s">
        <v>34</v>
      </c>
      <c r="E118" s="56">
        <f t="shared" si="23"/>
        <v>36770</v>
      </c>
      <c r="F118" s="42">
        <f t="array" ref="F118">INDIRECT("1월!$P$42")</f>
        <v>13390</v>
      </c>
      <c r="G118" s="42">
        <f t="array" ref="G118">INDIRECT("2월!$P$42")</f>
        <v>7890</v>
      </c>
      <c r="H118" s="42">
        <f t="array" ref="H118">INDIRECT("3월!$P$42")</f>
        <v>7890</v>
      </c>
      <c r="I118" s="42">
        <f t="array" ref="I118">INDIRECT("4월!$P$42")</f>
        <v>1900</v>
      </c>
      <c r="J118" s="42">
        <f t="array" ref="J118">INDIRECT("5월!$P$42")</f>
        <v>1900</v>
      </c>
      <c r="K118" s="42">
        <f t="array" ref="K118">INDIRECT("6월!$P$42")</f>
        <v>1900</v>
      </c>
      <c r="L118" s="42">
        <f t="array" ref="L118">INDIRECT("7월!$P$42")</f>
        <v>0</v>
      </c>
      <c r="M118" s="42">
        <f t="array" ref="M118">INDIRECT("8월!$P$42")</f>
        <v>0</v>
      </c>
      <c r="N118" s="42">
        <f t="array" ref="N118">INDIRECT("9월!$P$42")</f>
        <v>0</v>
      </c>
      <c r="O118" s="42">
        <f t="array" ref="O118">INDIRECT("10월!$P$42")</f>
        <v>0</v>
      </c>
      <c r="P118" s="42">
        <f t="array" ref="P118">INDIRECT("11월!$P$42")</f>
        <v>1900</v>
      </c>
      <c r="Q118" s="42">
        <f t="array" ref="Q118">INDIRECT("12월!$P$42")</f>
        <v>0</v>
      </c>
      <c r="R118" s="44">
        <f t="shared" si="24"/>
        <v>3342.727273</v>
      </c>
    </row>
    <row r="119" outlineLevel="1">
      <c r="C119" s="45"/>
      <c r="D119" s="41" t="s">
        <v>35</v>
      </c>
      <c r="E119" s="56">
        <f t="shared" si="23"/>
        <v>23000</v>
      </c>
      <c r="F119" s="42">
        <f t="array" ref="F119">INDIRECT("1월!$P$43")</f>
        <v>0</v>
      </c>
      <c r="G119" s="42">
        <f t="array" ref="G119">INDIRECT("2월!$P$43")</f>
        <v>23000</v>
      </c>
      <c r="H119" s="42">
        <f t="array" ref="H119">INDIRECT("3월!$P$43")</f>
        <v>0</v>
      </c>
      <c r="I119" s="42">
        <f t="array" ref="I119">INDIRECT("4월!$P$43")</f>
        <v>0</v>
      </c>
      <c r="J119" s="42">
        <f t="array" ref="J119">INDIRECT("5월!$P$43")</f>
        <v>0</v>
      </c>
      <c r="K119" s="42">
        <f t="array" ref="K119">INDIRECT("6월!$P$43")</f>
        <v>0</v>
      </c>
      <c r="L119" s="42">
        <f t="array" ref="L119">INDIRECT("7월!$P$43")</f>
        <v>0</v>
      </c>
      <c r="M119" s="42">
        <f t="array" ref="M119">INDIRECT("8월!$P$43")</f>
        <v>0</v>
      </c>
      <c r="N119" s="42">
        <f t="array" ref="N119">INDIRECT("9월!$P$43")</f>
        <v>0</v>
      </c>
      <c r="O119" s="42">
        <f t="array" ref="O119">INDIRECT("10월!$P$43")</f>
        <v>0</v>
      </c>
      <c r="P119" s="42">
        <f t="array" ref="P119">INDIRECT("11월!$P$43")</f>
        <v>0</v>
      </c>
      <c r="Q119" s="42">
        <f t="array" ref="Q119">INDIRECT("12월!$P$43")</f>
        <v>0</v>
      </c>
      <c r="R119" s="44">
        <f t="shared" si="24"/>
        <v>2090.909091</v>
      </c>
    </row>
    <row r="120" outlineLevel="1">
      <c r="C120" s="45"/>
      <c r="D120" s="41" t="s">
        <v>36</v>
      </c>
      <c r="E120" s="56">
        <f t="shared" si="23"/>
        <v>18600</v>
      </c>
      <c r="F120" s="42">
        <f t="array" ref="F120">INDIRECT("1월!$P$44")</f>
        <v>0</v>
      </c>
      <c r="G120" s="42">
        <f t="array" ref="G120">INDIRECT("2월!$P$44")</f>
        <v>0</v>
      </c>
      <c r="H120" s="42">
        <f t="array" ref="H120">INDIRECT("3월!$P$44")</f>
        <v>0</v>
      </c>
      <c r="I120" s="42">
        <f t="array" ref="I120">INDIRECT("4월!$P$44")</f>
        <v>0</v>
      </c>
      <c r="J120" s="42">
        <f t="array" ref="J120">INDIRECT("5월!$P$44")</f>
        <v>0</v>
      </c>
      <c r="K120" s="42">
        <f t="array" ref="K120">INDIRECT("6월!$P$44")</f>
        <v>0</v>
      </c>
      <c r="L120" s="42">
        <f t="array" ref="L120">INDIRECT("7월!$P$44")</f>
        <v>13600</v>
      </c>
      <c r="M120" s="42">
        <f t="array" ref="M120">INDIRECT("8월!$P$44")</f>
        <v>0</v>
      </c>
      <c r="N120" s="42">
        <f t="array" ref="N120">INDIRECT("9월!$P$44")</f>
        <v>0</v>
      </c>
      <c r="O120" s="42">
        <f t="array" ref="O120">INDIRECT("10월!$P$44")</f>
        <v>0</v>
      </c>
      <c r="P120" s="42">
        <f t="array" ref="P120">INDIRECT("11월!$P$44")</f>
        <v>5000</v>
      </c>
      <c r="Q120" s="42">
        <f t="array" ref="Q120">INDIRECT("12월!$P$44")</f>
        <v>0</v>
      </c>
      <c r="R120" s="44">
        <f t="shared" si="24"/>
        <v>1690.909091</v>
      </c>
    </row>
    <row r="121" outlineLevel="1">
      <c r="C121" s="45"/>
      <c r="D121" s="41" t="s">
        <v>37</v>
      </c>
      <c r="E121" s="56">
        <f t="shared" si="23"/>
        <v>768299</v>
      </c>
      <c r="F121" s="42">
        <f t="array" ref="F121">INDIRECT("1월!$P$45")</f>
        <v>123800</v>
      </c>
      <c r="G121" s="42">
        <f t="array" ref="G121">INDIRECT("2월!$P$45")</f>
        <v>10000</v>
      </c>
      <c r="H121" s="42">
        <f t="array" ref="H121">INDIRECT("3월!$P$45")</f>
        <v>273202</v>
      </c>
      <c r="I121" s="42">
        <f t="array" ref="I121">INDIRECT("4월!$P$45")</f>
        <v>0</v>
      </c>
      <c r="J121" s="42">
        <f t="array" ref="J121">INDIRECT("5월!$P$45")</f>
        <v>0</v>
      </c>
      <c r="K121" s="42">
        <f t="array" ref="K121">INDIRECT("6월!$P$45")</f>
        <v>139317</v>
      </c>
      <c r="L121" s="42">
        <f t="array" ref="L121">INDIRECT("7월!$P$45")</f>
        <v>0</v>
      </c>
      <c r="M121" s="42">
        <f t="array" ref="M121">INDIRECT("8월!$P$45")</f>
        <v>0</v>
      </c>
      <c r="N121" s="42">
        <f t="array" ref="N121">INDIRECT("9월!$P$45")</f>
        <v>0</v>
      </c>
      <c r="O121" s="42">
        <f t="array" ref="O121">INDIRECT("10월!$P$45")</f>
        <v>200000</v>
      </c>
      <c r="P121" s="42">
        <f t="array" ref="P121">INDIRECT("11월!$P$45")</f>
        <v>21980</v>
      </c>
      <c r="Q121" s="42">
        <f t="array" ref="Q121">INDIRECT("12월!$P$45")</f>
        <v>0</v>
      </c>
      <c r="R121" s="44">
        <f t="shared" si="24"/>
        <v>69845.36364</v>
      </c>
    </row>
    <row r="122" outlineLevel="1">
      <c r="C122" s="46"/>
      <c r="D122" s="47"/>
      <c r="E122" s="56">
        <f t="shared" si="23"/>
        <v>0</v>
      </c>
      <c r="F122" s="42">
        <f t="array" ref="F122">INDIRECT("1월!$P$46")</f>
        <v>0</v>
      </c>
      <c r="G122" s="42">
        <f t="array" ref="G122">INDIRECT("2월!$P$46")</f>
        <v>0</v>
      </c>
      <c r="H122" s="42">
        <f t="array" ref="H122">INDIRECT("3월!$P$46")</f>
        <v>0</v>
      </c>
      <c r="I122" s="42">
        <f t="array" ref="I122">INDIRECT("4월!$P$46")</f>
        <v>0</v>
      </c>
      <c r="J122" s="42">
        <f t="array" ref="J122">INDIRECT("5월!$P$46")</f>
        <v>0</v>
      </c>
      <c r="K122" s="42">
        <f t="array" ref="K122">INDIRECT("6월!$P$46")</f>
        <v>0</v>
      </c>
      <c r="L122" s="42">
        <f t="array" ref="L122">INDIRECT("7월!$P$46")</f>
        <v>0</v>
      </c>
      <c r="M122" s="42">
        <f t="array" ref="M122">INDIRECT("8월!$P$46")</f>
        <v>0</v>
      </c>
      <c r="N122" s="42">
        <f t="array" ref="N122">INDIRECT("9월!$P$46")</f>
        <v>0</v>
      </c>
      <c r="O122" s="42">
        <f t="array" ref="O122">INDIRECT("10월!$P$46")</f>
        <v>0</v>
      </c>
      <c r="P122" s="42">
        <f t="array" ref="P122">INDIRECT("11월!$P$46")</f>
        <v>0</v>
      </c>
      <c r="Q122" s="42">
        <f t="array" ref="Q122">INDIRECT("12월!$P$46")</f>
        <v>0</v>
      </c>
      <c r="R122" s="44">
        <f t="shared" si="24"/>
        <v>0</v>
      </c>
    </row>
    <row r="123">
      <c r="C123" s="48" t="str">
        <f>IF($C$117=0,"","총"&amp;$C$117)</f>
        <v>총🍪여가비</v>
      </c>
      <c r="D123" s="8"/>
      <c r="E123" s="49">
        <f t="shared" si="23"/>
        <v>3414407</v>
      </c>
      <c r="F123" s="42">
        <f t="array" ref="F123">INDIRECT("1월!$P$47")</f>
        <v>292090</v>
      </c>
      <c r="G123" s="42">
        <f t="array" ref="G123">INDIRECT("2월!$P$47")</f>
        <v>84920</v>
      </c>
      <c r="H123" s="42">
        <f t="array" ref="H123">INDIRECT("3월!$P$47")</f>
        <v>541092</v>
      </c>
      <c r="I123" s="42">
        <f t="array" ref="I123">INDIRECT("4월!$P$47")</f>
        <v>1900</v>
      </c>
      <c r="J123" s="42">
        <f t="array" ref="J123">INDIRECT("5월!$P$47")</f>
        <v>1900</v>
      </c>
      <c r="K123" s="42">
        <f t="array" ref="K123">INDIRECT("6월!$P$47")</f>
        <v>141217</v>
      </c>
      <c r="L123" s="42">
        <f t="array" ref="L123">INDIRECT("7월!$P$47")</f>
        <v>13600</v>
      </c>
      <c r="M123" s="42">
        <f t="array" ref="M123">INDIRECT("8월!$P$47")</f>
        <v>229000</v>
      </c>
      <c r="N123" s="42">
        <f t="array" ref="N123">INDIRECT("9월!$P$47")</f>
        <v>555100</v>
      </c>
      <c r="O123" s="42">
        <f t="array" ref="O123">INDIRECT("10월!$P$47")</f>
        <v>965380</v>
      </c>
      <c r="P123" s="42">
        <f t="array" ref="P123">INDIRECT("11월!$P$47")</f>
        <v>588208</v>
      </c>
      <c r="Q123" s="42">
        <f t="array" ref="Q123">INDIRECT("12월!$P$47")</f>
        <v>0</v>
      </c>
      <c r="R123" s="44">
        <f t="shared" si="24"/>
        <v>310400.6364</v>
      </c>
    </row>
    <row r="124" outlineLevel="1">
      <c r="C124" s="50" t="s">
        <v>38</v>
      </c>
      <c r="D124" s="51" t="s">
        <v>33</v>
      </c>
      <c r="E124" s="56">
        <f t="shared" si="23"/>
        <v>1901312</v>
      </c>
      <c r="F124" s="42">
        <f t="array" ref="F124">INDIRECT("1월!$P$49")</f>
        <v>49142</v>
      </c>
      <c r="G124" s="42">
        <f t="array" ref="G124">INDIRECT("2월!$P$49")</f>
        <v>1159780</v>
      </c>
      <c r="H124" s="42">
        <f t="array" ref="H124">INDIRECT("3월!$P$49")</f>
        <v>400000</v>
      </c>
      <c r="I124" s="42">
        <f t="array" ref="I124">INDIRECT("4월!$P$49")</f>
        <v>13000</v>
      </c>
      <c r="J124" s="42">
        <f t="array" ref="J124">INDIRECT("5월!$P$49")</f>
        <v>53800</v>
      </c>
      <c r="K124" s="42">
        <f t="array" ref="K124">INDIRECT("6월!$P$49")</f>
        <v>0</v>
      </c>
      <c r="L124" s="42">
        <f t="array" ref="L124">INDIRECT("7월!$P$49")</f>
        <v>5000</v>
      </c>
      <c r="M124" s="42">
        <f t="array" ref="M124">INDIRECT("8월!$P$49")</f>
        <v>146700</v>
      </c>
      <c r="N124" s="42">
        <f t="array" ref="N124">INDIRECT("9월!$P$49")</f>
        <v>73890</v>
      </c>
      <c r="O124" s="42">
        <f t="array" ref="O124">INDIRECT("10월!$P$49")</f>
        <v>0</v>
      </c>
      <c r="P124" s="42">
        <f t="array" ref="P124">INDIRECT("11월!$P$49")</f>
        <v>0</v>
      </c>
      <c r="Q124" s="42">
        <f t="array" ref="Q124">INDIRECT("12월!$P$49")</f>
        <v>0</v>
      </c>
      <c r="R124" s="44">
        <f t="shared" si="24"/>
        <v>172846.5455</v>
      </c>
    </row>
    <row r="125" outlineLevel="1">
      <c r="C125" s="45"/>
      <c r="D125" s="41" t="s">
        <v>34</v>
      </c>
      <c r="E125" s="56">
        <f t="shared" si="23"/>
        <v>26513</v>
      </c>
      <c r="F125" s="42">
        <f t="array" ref="F125">INDIRECT("1월!$P$50")</f>
        <v>5194</v>
      </c>
      <c r="G125" s="42">
        <f t="array" ref="G125">INDIRECT("2월!$P$50")</f>
        <v>5187</v>
      </c>
      <c r="H125" s="42">
        <f t="array" ref="H125">INDIRECT("3월!$P$50")</f>
        <v>0</v>
      </c>
      <c r="I125" s="42">
        <f t="array" ref="I125">INDIRECT("4월!$P$50")</f>
        <v>0</v>
      </c>
      <c r="J125" s="42">
        <f t="array" ref="J125">INDIRECT("5월!$P$50")</f>
        <v>4942</v>
      </c>
      <c r="K125" s="42">
        <f t="array" ref="K125">INDIRECT("6월!$P$50")</f>
        <v>0</v>
      </c>
      <c r="L125" s="42">
        <f t="array" ref="L125">INDIRECT("7월!$P$50")</f>
        <v>7890</v>
      </c>
      <c r="M125" s="42">
        <f t="array" ref="M125">INDIRECT("8월!$P$50")</f>
        <v>3300</v>
      </c>
      <c r="N125" s="42">
        <f t="array" ref="N125">INDIRECT("9월!$P$50")</f>
        <v>0</v>
      </c>
      <c r="O125" s="42">
        <f t="array" ref="O125">INDIRECT("10월!$P$50")</f>
        <v>0</v>
      </c>
      <c r="P125" s="42">
        <f t="array" ref="P125">INDIRECT("11월!$P$50")</f>
        <v>0</v>
      </c>
      <c r="Q125" s="42">
        <f t="array" ref="Q125">INDIRECT("12월!$P$50")</f>
        <v>0</v>
      </c>
      <c r="R125" s="44">
        <f t="shared" si="24"/>
        <v>2410.272727</v>
      </c>
    </row>
    <row r="126" outlineLevel="1">
      <c r="C126" s="45"/>
      <c r="D126" s="41" t="s">
        <v>35</v>
      </c>
      <c r="E126" s="56">
        <f t="shared" si="23"/>
        <v>209000</v>
      </c>
      <c r="F126" s="42">
        <f t="array" ref="F126">INDIRECT("1월!$P$51")</f>
        <v>0</v>
      </c>
      <c r="G126" s="42">
        <f t="array" ref="G126">INDIRECT("2월!$P$51")</f>
        <v>200000</v>
      </c>
      <c r="H126" s="42">
        <f t="array" ref="H126">INDIRECT("3월!$P$51")</f>
        <v>0</v>
      </c>
      <c r="I126" s="42">
        <f t="array" ref="I126">INDIRECT("4월!$P$51")</f>
        <v>9000</v>
      </c>
      <c r="J126" s="42">
        <f t="array" ref="J126">INDIRECT("5월!$P$51")</f>
        <v>0</v>
      </c>
      <c r="K126" s="42">
        <f t="array" ref="K126">INDIRECT("6월!$P$51")</f>
        <v>0</v>
      </c>
      <c r="L126" s="42">
        <f t="array" ref="L126">INDIRECT("7월!$P$51")</f>
        <v>0</v>
      </c>
      <c r="M126" s="42">
        <f t="array" ref="M126">INDIRECT("8월!$P$51")</f>
        <v>0</v>
      </c>
      <c r="N126" s="42">
        <f t="array" ref="N126">INDIRECT("9월!$P$51")</f>
        <v>0</v>
      </c>
      <c r="O126" s="42">
        <f t="array" ref="O126">INDIRECT("10월!$P$51")</f>
        <v>0</v>
      </c>
      <c r="P126" s="42">
        <f t="array" ref="P126">INDIRECT("11월!$P$51")</f>
        <v>0</v>
      </c>
      <c r="Q126" s="42">
        <f t="array" ref="Q126">INDIRECT("12월!$P$51")</f>
        <v>0</v>
      </c>
      <c r="R126" s="44">
        <f t="shared" si="24"/>
        <v>19000</v>
      </c>
    </row>
    <row r="127" outlineLevel="1">
      <c r="C127" s="45"/>
      <c r="D127" s="41" t="s">
        <v>36</v>
      </c>
      <c r="E127" s="56">
        <f t="shared" si="23"/>
        <v>263577</v>
      </c>
      <c r="F127" s="42">
        <f t="array" ref="F127">INDIRECT("1월!$P$52")</f>
        <v>0</v>
      </c>
      <c r="G127" s="42">
        <f t="array" ref="G127">INDIRECT("2월!$P$52")</f>
        <v>0</v>
      </c>
      <c r="H127" s="42">
        <f t="array" ref="H127">INDIRECT("3월!$P$52")</f>
        <v>0</v>
      </c>
      <c r="I127" s="42">
        <f t="array" ref="I127">INDIRECT("4월!$P$52")</f>
        <v>0</v>
      </c>
      <c r="J127" s="42">
        <f t="array" ref="J127">INDIRECT("5월!$P$52")</f>
        <v>0</v>
      </c>
      <c r="K127" s="42">
        <f t="array" ref="K127">INDIRECT("6월!$P$52")</f>
        <v>263577</v>
      </c>
      <c r="L127" s="42">
        <f t="array" ref="L127">INDIRECT("7월!$P$52")</f>
        <v>0</v>
      </c>
      <c r="M127" s="42">
        <f t="array" ref="M127">INDIRECT("8월!$P$52")</f>
        <v>0</v>
      </c>
      <c r="N127" s="42">
        <f t="array" ref="N127">INDIRECT("9월!$P$52")</f>
        <v>0</v>
      </c>
      <c r="O127" s="42">
        <f t="array" ref="O127">INDIRECT("10월!$P$52")</f>
        <v>0</v>
      </c>
      <c r="P127" s="42">
        <f t="array" ref="P127">INDIRECT("11월!$P$52")</f>
        <v>0</v>
      </c>
      <c r="Q127" s="42">
        <f t="array" ref="Q127">INDIRECT("12월!$P$52")</f>
        <v>0</v>
      </c>
      <c r="R127" s="44">
        <f t="shared" si="24"/>
        <v>23961.54545</v>
      </c>
    </row>
    <row r="128" outlineLevel="1">
      <c r="C128" s="45"/>
      <c r="D128" s="41" t="s">
        <v>37</v>
      </c>
      <c r="E128" s="56">
        <f t="shared" si="23"/>
        <v>358400</v>
      </c>
      <c r="F128" s="42">
        <f t="array" ref="F128">INDIRECT("1월!$P$53")</f>
        <v>0</v>
      </c>
      <c r="G128" s="42">
        <f t="array" ref="G128">INDIRECT("2월!$P$53")</f>
        <v>0</v>
      </c>
      <c r="H128" s="42">
        <f t="array" ref="H128">INDIRECT("3월!$P$53")</f>
        <v>20100</v>
      </c>
      <c r="I128" s="42">
        <f t="array" ref="I128">INDIRECT("4월!$P$53")</f>
        <v>30000</v>
      </c>
      <c r="J128" s="42">
        <f t="array" ref="J128">INDIRECT("5월!$P$53")</f>
        <v>65000</v>
      </c>
      <c r="K128" s="42">
        <f t="array" ref="K128">INDIRECT("6월!$P$53")</f>
        <v>30000</v>
      </c>
      <c r="L128" s="42">
        <f t="array" ref="L128">INDIRECT("7월!$P$53")</f>
        <v>117400</v>
      </c>
      <c r="M128" s="42">
        <f t="array" ref="M128">INDIRECT("8월!$P$53")</f>
        <v>16900</v>
      </c>
      <c r="N128" s="42">
        <f t="array" ref="N128">INDIRECT("9월!$P$53")</f>
        <v>49000</v>
      </c>
      <c r="O128" s="42">
        <f t="array" ref="O128">INDIRECT("10월!$P$53")</f>
        <v>30000</v>
      </c>
      <c r="P128" s="42">
        <f t="array" ref="P128">INDIRECT("11월!$P$53")</f>
        <v>0</v>
      </c>
      <c r="Q128" s="42">
        <f t="array" ref="Q128">INDIRECT("12월!$P$53")</f>
        <v>0</v>
      </c>
      <c r="R128" s="44">
        <f t="shared" si="24"/>
        <v>32581.81818</v>
      </c>
    </row>
    <row r="129" outlineLevel="1">
      <c r="C129" s="46"/>
      <c r="D129" s="47"/>
      <c r="E129" s="56">
        <f t="shared" si="23"/>
        <v>0</v>
      </c>
      <c r="F129" s="42">
        <f t="array" ref="F129">INDIRECT("1월!$P$54")</f>
        <v>0</v>
      </c>
      <c r="G129" s="42">
        <f t="array" ref="G129">INDIRECT("2월!$P$54")</f>
        <v>0</v>
      </c>
      <c r="H129" s="42">
        <f t="array" ref="H129">INDIRECT("3월!$P$54")</f>
        <v>0</v>
      </c>
      <c r="I129" s="42">
        <f t="array" ref="I129">INDIRECT("4월!$P$54")</f>
        <v>0</v>
      </c>
      <c r="J129" s="42">
        <f t="array" ref="J129">INDIRECT("5월!$P$54")</f>
        <v>0</v>
      </c>
      <c r="K129" s="42">
        <f t="array" ref="K129">INDIRECT("6월!$P$54")</f>
        <v>0</v>
      </c>
      <c r="L129" s="42">
        <f t="array" ref="L129">INDIRECT("7월!$P$54")</f>
        <v>0</v>
      </c>
      <c r="M129" s="42">
        <f t="array" ref="M129">INDIRECT("8월!$P$54")</f>
        <v>0</v>
      </c>
      <c r="N129" s="42">
        <f t="array" ref="N129">INDIRECT("9월!$P$54")</f>
        <v>0</v>
      </c>
      <c r="O129" s="42">
        <f t="array" ref="O129">INDIRECT("10월!$P$54")</f>
        <v>0</v>
      </c>
      <c r="P129" s="42">
        <f t="array" ref="P129">INDIRECT("11월!$P$54")</f>
        <v>0</v>
      </c>
      <c r="Q129" s="42">
        <f t="array" ref="Q129">INDIRECT("12월!$P$54")</f>
        <v>0</v>
      </c>
      <c r="R129" s="44">
        <f t="shared" si="24"/>
        <v>0</v>
      </c>
    </row>
    <row r="130">
      <c r="C130" s="48" t="str">
        <f>IF($C$124=0,"","총"&amp;$C$124)</f>
        <v>총🐻여가비</v>
      </c>
      <c r="D130" s="8"/>
      <c r="E130" s="49">
        <f t="shared" si="23"/>
        <v>2758802</v>
      </c>
      <c r="F130" s="42">
        <f t="array" ref="F130">INDIRECT("1월!$P$55")</f>
        <v>54336</v>
      </c>
      <c r="G130" s="42">
        <f t="array" ref="G130">INDIRECT("2월!$P$55")</f>
        <v>1364967</v>
      </c>
      <c r="H130" s="42">
        <f t="array" ref="H130">INDIRECT("3월!$P$55")</f>
        <v>420100</v>
      </c>
      <c r="I130" s="42">
        <f t="array" ref="I130">INDIRECT("4월!$P$55")</f>
        <v>52000</v>
      </c>
      <c r="J130" s="42">
        <f t="array" ref="J130">INDIRECT("5월!$P$55")</f>
        <v>123742</v>
      </c>
      <c r="K130" s="42">
        <f t="array" ref="K130">INDIRECT("6월!$P$55")</f>
        <v>293577</v>
      </c>
      <c r="L130" s="42">
        <f t="array" ref="L130">INDIRECT("7월!$P$55")</f>
        <v>130290</v>
      </c>
      <c r="M130" s="42">
        <f t="array" ref="M130">INDIRECT("8월!$P$55")</f>
        <v>166900</v>
      </c>
      <c r="N130" s="42">
        <f t="array" ref="N130">INDIRECT("9월!$P$55")</f>
        <v>122890</v>
      </c>
      <c r="O130" s="42">
        <f t="array" ref="O130">INDIRECT("10월!$P$55")</f>
        <v>30000</v>
      </c>
      <c r="P130" s="42">
        <f t="array" ref="P130">INDIRECT("11월!$P$55")</f>
        <v>0</v>
      </c>
      <c r="Q130" s="42">
        <f t="array" ref="Q130">INDIRECT("12월!$P$55")</f>
        <v>0</v>
      </c>
      <c r="R130" s="44">
        <f t="shared" si="24"/>
        <v>250800.1818</v>
      </c>
    </row>
    <row r="131" outlineLevel="1">
      <c r="C131" s="50" t="s">
        <v>39</v>
      </c>
      <c r="D131" s="51" t="s">
        <v>40</v>
      </c>
      <c r="E131" s="56">
        <f t="shared" si="23"/>
        <v>105280</v>
      </c>
      <c r="F131" s="42">
        <f t="array" ref="F131">INDIRECT("1월!$X$25")</f>
        <v>0</v>
      </c>
      <c r="G131" s="42">
        <f t="array" ref="G131">INDIRECT("2월!$X$25")</f>
        <v>3500</v>
      </c>
      <c r="H131" s="42">
        <f t="array" ref="H131">INDIRECT("3월!$X$25")</f>
        <v>20200</v>
      </c>
      <c r="I131" s="42">
        <f t="array" ref="I131">INDIRECT("4월!$X$25")</f>
        <v>18980</v>
      </c>
      <c r="J131" s="42">
        <f t="array" ref="J131">INDIRECT("5월!$X$25")</f>
        <v>20200</v>
      </c>
      <c r="K131" s="42">
        <f t="array" ref="K131">INDIRECT("6월!$X$25")</f>
        <v>9400</v>
      </c>
      <c r="L131" s="42">
        <f t="array" ref="L131">INDIRECT("7월!$X$25")</f>
        <v>24600</v>
      </c>
      <c r="M131" s="42">
        <f t="array" ref="M131">INDIRECT("8월!$X$25")</f>
        <v>0</v>
      </c>
      <c r="N131" s="42">
        <f t="array" ref="N131">INDIRECT("9월!$X$25")</f>
        <v>0</v>
      </c>
      <c r="O131" s="42">
        <f t="array" ref="O131">INDIRECT("10월!$X$25")</f>
        <v>8400</v>
      </c>
      <c r="P131" s="42">
        <f t="array" ref="P131">INDIRECT("11월!$X$25")</f>
        <v>0</v>
      </c>
      <c r="Q131" s="42">
        <f t="array" ref="Q131">INDIRECT("12월!$X$25")</f>
        <v>0</v>
      </c>
      <c r="R131" s="44">
        <f t="shared" si="24"/>
        <v>9570.909091</v>
      </c>
    </row>
    <row r="132" outlineLevel="1">
      <c r="C132" s="45"/>
      <c r="D132" s="41" t="s">
        <v>41</v>
      </c>
      <c r="E132" s="56">
        <f t="shared" si="23"/>
        <v>2315340</v>
      </c>
      <c r="F132" s="42">
        <f t="array" ref="F132">INDIRECT("1월!$X$26")</f>
        <v>120010</v>
      </c>
      <c r="G132" s="42">
        <f t="array" ref="G132">INDIRECT("2월!$X$26")</f>
        <v>9300</v>
      </c>
      <c r="H132" s="42">
        <f t="array" ref="H132">INDIRECT("3월!$X$26")</f>
        <v>152000</v>
      </c>
      <c r="I132" s="42">
        <f t="array" ref="I132">INDIRECT("4월!$X$26")</f>
        <v>306900</v>
      </c>
      <c r="J132" s="42">
        <f t="array" ref="J132">INDIRECT("5월!$X$26")</f>
        <v>59020</v>
      </c>
      <c r="K132" s="42">
        <f t="array" ref="K132">INDIRECT("6월!$X$26")</f>
        <v>538510</v>
      </c>
      <c r="L132" s="42">
        <f t="array" ref="L132">INDIRECT("7월!$X$26")</f>
        <v>965900</v>
      </c>
      <c r="M132" s="42">
        <f t="array" ref="M132">INDIRECT("8월!$X$26")</f>
        <v>0</v>
      </c>
      <c r="N132" s="42">
        <f t="array" ref="N132">INDIRECT("9월!$X$26")</f>
        <v>0</v>
      </c>
      <c r="O132" s="42">
        <f t="array" ref="O132">INDIRECT("10월!$X$26")</f>
        <v>163700</v>
      </c>
      <c r="P132" s="42">
        <f t="array" ref="P132">INDIRECT("11월!$X$26")</f>
        <v>0</v>
      </c>
      <c r="Q132" s="42">
        <f t="array" ref="Q132">INDIRECT("12월!$X$26")</f>
        <v>0</v>
      </c>
      <c r="R132" s="44">
        <f t="shared" si="24"/>
        <v>210485.4545</v>
      </c>
    </row>
    <row r="133" outlineLevel="1">
      <c r="C133" s="45"/>
      <c r="D133" s="41" t="s">
        <v>42</v>
      </c>
      <c r="E133" s="56">
        <f t="shared" si="23"/>
        <v>68121</v>
      </c>
      <c r="F133" s="42">
        <f t="array" ref="F133">INDIRECT("1월!$X$27")</f>
        <v>0</v>
      </c>
      <c r="G133" s="42">
        <f t="array" ref="G133">INDIRECT("2월!$X$27")</f>
        <v>15780</v>
      </c>
      <c r="H133" s="42">
        <f t="array" ref="H133">INDIRECT("3월!$X$27")</f>
        <v>27600</v>
      </c>
      <c r="I133" s="42">
        <f t="array" ref="I133">INDIRECT("4월!$X$27")</f>
        <v>0</v>
      </c>
      <c r="J133" s="42">
        <f t="array" ref="J133">INDIRECT("5월!$X$27")</f>
        <v>0</v>
      </c>
      <c r="K133" s="42">
        <f t="array" ref="K133">INDIRECT("6월!$X$27")</f>
        <v>24741</v>
      </c>
      <c r="L133" s="42">
        <f t="array" ref="L133">INDIRECT("7월!$X$27")</f>
        <v>0</v>
      </c>
      <c r="M133" s="42">
        <f t="array" ref="M133">INDIRECT("8월!$X$27")</f>
        <v>0</v>
      </c>
      <c r="N133" s="42">
        <f t="array" ref="N133">INDIRECT("9월!$X$27")</f>
        <v>0</v>
      </c>
      <c r="O133" s="42">
        <f t="array" ref="O133">INDIRECT("10월!$X$27")</f>
        <v>0</v>
      </c>
      <c r="P133" s="42">
        <f t="array" ref="P133">INDIRECT("11월!$X$27")</f>
        <v>0</v>
      </c>
      <c r="Q133" s="42">
        <f t="array" ref="Q133">INDIRECT("12월!$X$27")</f>
        <v>0</v>
      </c>
      <c r="R133" s="44">
        <f t="shared" si="24"/>
        <v>6192.818182</v>
      </c>
    </row>
    <row r="134" outlineLevel="1">
      <c r="C134" s="45"/>
      <c r="D134" s="41" t="s">
        <v>43</v>
      </c>
      <c r="E134" s="56">
        <f t="shared" si="23"/>
        <v>280010</v>
      </c>
      <c r="F134" s="42">
        <f t="array" ref="F134">INDIRECT("1월!$X$28")</f>
        <v>18250</v>
      </c>
      <c r="G134" s="42">
        <f t="array" ref="G134">INDIRECT("2월!$X$28")</f>
        <v>7500</v>
      </c>
      <c r="H134" s="42">
        <f t="array" ref="H134">INDIRECT("3월!$X$28")</f>
        <v>4500</v>
      </c>
      <c r="I134" s="42">
        <f t="array" ref="I134">INDIRECT("4월!$X$28")</f>
        <v>12400</v>
      </c>
      <c r="J134" s="42">
        <f t="array" ref="J134">INDIRECT("5월!$X$28")</f>
        <v>0</v>
      </c>
      <c r="K134" s="42">
        <f t="array" ref="K134">INDIRECT("6월!$X$28")</f>
        <v>137360</v>
      </c>
      <c r="L134" s="42">
        <f t="array" ref="L134">INDIRECT("7월!$X$28")</f>
        <v>100000</v>
      </c>
      <c r="M134" s="42">
        <f t="array" ref="M134">INDIRECT("8월!$X$28")</f>
        <v>0</v>
      </c>
      <c r="N134" s="42">
        <f t="array" ref="N134">INDIRECT("9월!$X$28")</f>
        <v>0</v>
      </c>
      <c r="O134" s="42">
        <f t="array" ref="O134">INDIRECT("10월!$X$28")</f>
        <v>0</v>
      </c>
      <c r="P134" s="42">
        <f t="array" ref="P134">INDIRECT("11월!$X$28")</f>
        <v>0</v>
      </c>
      <c r="Q134" s="42">
        <f t="array" ref="Q134">INDIRECT("12월!$X$28")</f>
        <v>0</v>
      </c>
      <c r="R134" s="44">
        <f t="shared" si="24"/>
        <v>25455.45455</v>
      </c>
    </row>
    <row r="135" outlineLevel="1">
      <c r="C135" s="45"/>
      <c r="D135" s="41" t="s">
        <v>44</v>
      </c>
      <c r="E135" s="56">
        <f t="shared" si="23"/>
        <v>202000</v>
      </c>
      <c r="F135" s="42">
        <f t="array" ref="F135">INDIRECT("1월!$X$29")</f>
        <v>50000</v>
      </c>
      <c r="G135" s="42">
        <f t="array" ref="G135">INDIRECT("2월!$X$29")</f>
        <v>0</v>
      </c>
      <c r="H135" s="42">
        <f t="array" ref="H135">INDIRECT("3월!$X$29")</f>
        <v>0</v>
      </c>
      <c r="I135" s="42">
        <f t="array" ref="I135">INDIRECT("4월!$X$29")</f>
        <v>0</v>
      </c>
      <c r="J135" s="42">
        <f t="array" ref="J135">INDIRECT("5월!$X$29")</f>
        <v>0</v>
      </c>
      <c r="K135" s="42">
        <f t="array" ref="K135">INDIRECT("6월!$X$29")</f>
        <v>0</v>
      </c>
      <c r="L135" s="42">
        <f t="array" ref="L135">INDIRECT("7월!$X$29")</f>
        <v>0</v>
      </c>
      <c r="M135" s="42">
        <f t="array" ref="M135">INDIRECT("8월!$X$29")</f>
        <v>0</v>
      </c>
      <c r="N135" s="42">
        <f t="array" ref="N135">INDIRECT("9월!$X$29")</f>
        <v>0</v>
      </c>
      <c r="O135" s="42">
        <f t="array" ref="O135">INDIRECT("10월!$X$29")</f>
        <v>102000</v>
      </c>
      <c r="P135" s="42">
        <f t="array" ref="P135">INDIRECT("11월!$X$29")</f>
        <v>50000</v>
      </c>
      <c r="Q135" s="42">
        <f t="array" ref="Q135">INDIRECT("12월!$X$29")</f>
        <v>0</v>
      </c>
      <c r="R135" s="44">
        <f t="shared" si="24"/>
        <v>18363.63636</v>
      </c>
    </row>
    <row r="136" outlineLevel="1">
      <c r="C136" s="46"/>
      <c r="D136" s="47"/>
      <c r="E136" s="56">
        <f t="shared" si="23"/>
        <v>0</v>
      </c>
      <c r="F136" s="42">
        <f t="array" ref="F136">INDIRECT("1월!$X$30")</f>
        <v>0</v>
      </c>
      <c r="G136" s="42">
        <f t="array" ref="G136">INDIRECT("2월!$X$30")</f>
        <v>0</v>
      </c>
      <c r="H136" s="42">
        <f t="array" ref="H136">INDIRECT("3월!$X$30")</f>
        <v>0</v>
      </c>
      <c r="I136" s="42">
        <f t="array" ref="I136">INDIRECT("4월!$X$30")</f>
        <v>0</v>
      </c>
      <c r="J136" s="42">
        <f t="array" ref="J136">INDIRECT("5월!$X$30")</f>
        <v>0</v>
      </c>
      <c r="K136" s="42">
        <f t="array" ref="K136">INDIRECT("6월!$X$30")</f>
        <v>0</v>
      </c>
      <c r="L136" s="42">
        <f t="array" ref="L136">INDIRECT("7월!$X$30")</f>
        <v>0</v>
      </c>
      <c r="M136" s="42">
        <f t="array" ref="M136">INDIRECT("8월!$X$30")</f>
        <v>0</v>
      </c>
      <c r="N136" s="42">
        <f t="array" ref="N136">INDIRECT("9월!$X$30")</f>
        <v>0</v>
      </c>
      <c r="O136" s="42">
        <f t="array" ref="O136">INDIRECT("10월!$X$30")</f>
        <v>0</v>
      </c>
      <c r="P136" s="42">
        <f t="array" ref="P136">INDIRECT("11월!$X$30")</f>
        <v>0</v>
      </c>
      <c r="Q136" s="42">
        <f t="array" ref="Q136">INDIRECT("12월!$X$30")</f>
        <v>0</v>
      </c>
      <c r="R136" s="44">
        <f t="shared" si="24"/>
        <v>0</v>
      </c>
    </row>
    <row r="137">
      <c r="C137" s="48" t="str">
        <f>IF($C$131=0,"","총"&amp;$C$131)</f>
        <v>총🍪기타</v>
      </c>
      <c r="D137" s="8"/>
      <c r="E137" s="49">
        <f t="shared" si="23"/>
        <v>2970751</v>
      </c>
      <c r="F137" s="42">
        <f t="array" ref="F137">INDIRECT("1월!$X$31")</f>
        <v>188260</v>
      </c>
      <c r="G137" s="42">
        <f t="array" ref="G137">INDIRECT("2월!$X$31")</f>
        <v>36080</v>
      </c>
      <c r="H137" s="42">
        <f t="array" ref="H137">INDIRECT("3월!$X$31")</f>
        <v>204300</v>
      </c>
      <c r="I137" s="42">
        <f t="array" ref="I137">INDIRECT("4월!$X$31")</f>
        <v>338280</v>
      </c>
      <c r="J137" s="42">
        <f t="array" ref="J137">INDIRECT("5월!$X$31")</f>
        <v>79220</v>
      </c>
      <c r="K137" s="42">
        <f t="array" ref="K137">INDIRECT("6월!$X$31")</f>
        <v>710011</v>
      </c>
      <c r="L137" s="42">
        <f t="array" ref="L137">INDIRECT("7월!$X$31")</f>
        <v>1090500</v>
      </c>
      <c r="M137" s="42">
        <f t="array" ref="M137">INDIRECT("8월!$X$31")</f>
        <v>0</v>
      </c>
      <c r="N137" s="42">
        <f t="array" ref="N137">INDIRECT("9월!$X$31")</f>
        <v>0</v>
      </c>
      <c r="O137" s="42">
        <f t="array" ref="O137">INDIRECT("10월!$X$31")</f>
        <v>274100</v>
      </c>
      <c r="P137" s="42">
        <f t="array" ref="P137">INDIRECT("11월!$X$31")</f>
        <v>50000</v>
      </c>
      <c r="Q137" s="42">
        <f t="array" ref="Q137">INDIRECT("12월!$X$31")</f>
        <v>0</v>
      </c>
      <c r="R137" s="44">
        <f t="shared" si="24"/>
        <v>270068.2727</v>
      </c>
    </row>
    <row r="138" outlineLevel="1">
      <c r="C138" s="50" t="s">
        <v>45</v>
      </c>
      <c r="D138" s="51" t="s">
        <v>40</v>
      </c>
      <c r="E138" s="56">
        <f t="shared" si="23"/>
        <v>101900</v>
      </c>
      <c r="F138" s="42">
        <f t="array" ref="F138">INDIRECT("1월!$X$33")</f>
        <v>0</v>
      </c>
      <c r="G138" s="42">
        <f t="array" ref="G138">INDIRECT("2월!$X$33")</f>
        <v>2700</v>
      </c>
      <c r="H138" s="42">
        <f t="array" ref="H138">INDIRECT("3월!$X$33")</f>
        <v>0</v>
      </c>
      <c r="I138" s="42">
        <f t="array" ref="I138">INDIRECT("4월!$X$33")</f>
        <v>0</v>
      </c>
      <c r="J138" s="42">
        <f t="array" ref="J138">INDIRECT("5월!$X$33")</f>
        <v>0</v>
      </c>
      <c r="K138" s="42">
        <f t="array" ref="K138">INDIRECT("6월!$X$33")</f>
        <v>0</v>
      </c>
      <c r="L138" s="42">
        <f t="array" ref="L138">INDIRECT("7월!$X$33")</f>
        <v>0</v>
      </c>
      <c r="M138" s="42">
        <f t="array" ref="M138">INDIRECT("8월!$X$33")</f>
        <v>45000</v>
      </c>
      <c r="N138" s="42">
        <f t="array" ref="N138">INDIRECT("9월!$X$33")</f>
        <v>0</v>
      </c>
      <c r="O138" s="42">
        <f t="array" ref="O138">INDIRECT("10월!$X$33")</f>
        <v>9200</v>
      </c>
      <c r="P138" s="42">
        <f t="array" ref="P138">INDIRECT("11월!$X$33")</f>
        <v>45000</v>
      </c>
      <c r="Q138" s="42">
        <f t="array" ref="Q138">INDIRECT("12월!$X$33")</f>
        <v>0</v>
      </c>
      <c r="R138" s="44">
        <f t="shared" si="24"/>
        <v>9263.636364</v>
      </c>
    </row>
    <row r="139" outlineLevel="1">
      <c r="C139" s="45"/>
      <c r="D139" s="41" t="s">
        <v>41</v>
      </c>
      <c r="E139" s="56">
        <f t="shared" si="23"/>
        <v>2410910</v>
      </c>
      <c r="F139" s="42">
        <f t="array" ref="F139">INDIRECT("1월!$X$34")</f>
        <v>62010</v>
      </c>
      <c r="G139" s="42">
        <f t="array" ref="G139">INDIRECT("2월!$X$34")</f>
        <v>5500</v>
      </c>
      <c r="H139" s="42">
        <f t="array" ref="H139">INDIRECT("3월!$X$34")</f>
        <v>0</v>
      </c>
      <c r="I139" s="42">
        <f t="array" ref="I139">INDIRECT("4월!$X$34")</f>
        <v>0</v>
      </c>
      <c r="J139" s="42">
        <f t="array" ref="J139">INDIRECT("5월!$X$34")</f>
        <v>0</v>
      </c>
      <c r="K139" s="42">
        <f t="array" ref="K139">INDIRECT("6월!$X$34")</f>
        <v>0</v>
      </c>
      <c r="L139" s="42">
        <f t="array" ref="L139">INDIRECT("7월!$X$34")</f>
        <v>431200</v>
      </c>
      <c r="M139" s="42">
        <f t="array" ref="M139">INDIRECT("8월!$X$34")</f>
        <v>176400</v>
      </c>
      <c r="N139" s="42">
        <f t="array" ref="N139">INDIRECT("9월!$X$34")</f>
        <v>695600</v>
      </c>
      <c r="O139" s="42">
        <f t="array" ref="O139">INDIRECT("10월!$X$34")</f>
        <v>602100</v>
      </c>
      <c r="P139" s="42">
        <f t="array" ref="P139">INDIRECT("11월!$X$34")</f>
        <v>438100</v>
      </c>
      <c r="Q139" s="42">
        <f t="array" ref="Q139">INDIRECT("12월!$X$34")</f>
        <v>0</v>
      </c>
      <c r="R139" s="44">
        <f t="shared" si="24"/>
        <v>219173.6364</v>
      </c>
    </row>
    <row r="140" outlineLevel="1">
      <c r="C140" s="45"/>
      <c r="D140" s="41" t="s">
        <v>42</v>
      </c>
      <c r="E140" s="56">
        <f t="shared" si="23"/>
        <v>0</v>
      </c>
      <c r="F140" s="42">
        <f t="array" ref="F140">INDIRECT("1월!$X$35")</f>
        <v>0</v>
      </c>
      <c r="G140" s="42">
        <f t="array" ref="G140">INDIRECT("2월!$X$35")</f>
        <v>0</v>
      </c>
      <c r="H140" s="42">
        <f t="array" ref="H140">INDIRECT("3월!$X$35")</f>
        <v>0</v>
      </c>
      <c r="I140" s="42">
        <f t="array" ref="I140">INDIRECT("4월!$X$35")</f>
        <v>0</v>
      </c>
      <c r="J140" s="42">
        <f t="array" ref="J140">INDIRECT("5월!$X$35")</f>
        <v>0</v>
      </c>
      <c r="K140" s="42">
        <f t="array" ref="K140">INDIRECT("6월!$X$35")</f>
        <v>0</v>
      </c>
      <c r="L140" s="42">
        <f t="array" ref="L140">INDIRECT("7월!$X$35")</f>
        <v>0</v>
      </c>
      <c r="M140" s="42">
        <f t="array" ref="M140">INDIRECT("8월!$X$35")</f>
        <v>0</v>
      </c>
      <c r="N140" s="42">
        <f t="array" ref="N140">INDIRECT("9월!$X$35")</f>
        <v>0</v>
      </c>
      <c r="O140" s="42">
        <f t="array" ref="O140">INDIRECT("10월!$X$35")</f>
        <v>0</v>
      </c>
      <c r="P140" s="42">
        <f t="array" ref="P140">INDIRECT("11월!$X$35")</f>
        <v>0</v>
      </c>
      <c r="Q140" s="42">
        <f t="array" ref="Q140">INDIRECT("12월!$X$35")</f>
        <v>0</v>
      </c>
      <c r="R140" s="44">
        <f t="shared" si="24"/>
        <v>0</v>
      </c>
    </row>
    <row r="141" outlineLevel="1">
      <c r="C141" s="45"/>
      <c r="D141" s="41" t="s">
        <v>43</v>
      </c>
      <c r="E141" s="56">
        <f t="shared" si="23"/>
        <v>134400</v>
      </c>
      <c r="F141" s="42">
        <f t="array" ref="F141">INDIRECT("1월!$X$36")</f>
        <v>0</v>
      </c>
      <c r="G141" s="42">
        <f t="array" ref="G141">INDIRECT("2월!$X$36")</f>
        <v>3000</v>
      </c>
      <c r="H141" s="42">
        <f t="array" ref="H141">INDIRECT("3월!$X$36")</f>
        <v>1500</v>
      </c>
      <c r="I141" s="42">
        <f t="array" ref="I141">INDIRECT("4월!$X$36")</f>
        <v>0</v>
      </c>
      <c r="J141" s="42">
        <f t="array" ref="J141">INDIRECT("5월!$X$36")</f>
        <v>71500</v>
      </c>
      <c r="K141" s="42">
        <f t="array" ref="K141">INDIRECT("6월!$X$36")</f>
        <v>0</v>
      </c>
      <c r="L141" s="42">
        <f t="array" ref="L141">INDIRECT("7월!$X$36")</f>
        <v>10000</v>
      </c>
      <c r="M141" s="42">
        <f t="array" ref="M141">INDIRECT("8월!$X$36")</f>
        <v>4700</v>
      </c>
      <c r="N141" s="42">
        <f t="array" ref="N141">INDIRECT("9월!$X$36")</f>
        <v>30000</v>
      </c>
      <c r="O141" s="42">
        <f t="array" ref="O141">INDIRECT("10월!$X$36")</f>
        <v>5800</v>
      </c>
      <c r="P141" s="42">
        <f t="array" ref="P141">INDIRECT("11월!$X$36")</f>
        <v>7900</v>
      </c>
      <c r="Q141" s="42">
        <f t="array" ref="Q141">INDIRECT("12월!$X$36")</f>
        <v>0</v>
      </c>
      <c r="R141" s="44">
        <f t="shared" si="24"/>
        <v>12218.18182</v>
      </c>
    </row>
    <row r="142" outlineLevel="1">
      <c r="C142" s="45"/>
      <c r="D142" s="41" t="s">
        <v>44</v>
      </c>
      <c r="E142" s="56">
        <f t="shared" si="23"/>
        <v>999180</v>
      </c>
      <c r="F142" s="42">
        <f t="array" ref="F142">INDIRECT("1월!$X$37")</f>
        <v>50000</v>
      </c>
      <c r="G142" s="42">
        <f t="array" ref="G142">INDIRECT("2월!$X$37")</f>
        <v>158000</v>
      </c>
      <c r="H142" s="42">
        <f t="array" ref="H142">INDIRECT("3월!$X$37")</f>
        <v>50000</v>
      </c>
      <c r="I142" s="42">
        <f t="array" ref="I142">INDIRECT("4월!$X$37")</f>
        <v>59180</v>
      </c>
      <c r="J142" s="42">
        <f t="array" ref="J142">INDIRECT("5월!$X$37")</f>
        <v>126000</v>
      </c>
      <c r="K142" s="42">
        <f t="array" ref="K142">INDIRECT("6월!$X$37")</f>
        <v>98000</v>
      </c>
      <c r="L142" s="42">
        <f t="array" ref="L142">INDIRECT("7월!$X$37")</f>
        <v>98000</v>
      </c>
      <c r="M142" s="42">
        <f t="array" ref="M142">INDIRECT("8월!$X$37")</f>
        <v>159000</v>
      </c>
      <c r="N142" s="42">
        <f t="array" ref="N142">INDIRECT("9월!$X$37")</f>
        <v>151000</v>
      </c>
      <c r="O142" s="42">
        <f t="array" ref="O142">INDIRECT("10월!$X$37")</f>
        <v>50000</v>
      </c>
      <c r="P142" s="42">
        <f t="array" ref="P142">INDIRECT("11월!$X$37")</f>
        <v>0</v>
      </c>
      <c r="Q142" s="42">
        <f t="array" ref="Q142">INDIRECT("12월!$X$37")</f>
        <v>0</v>
      </c>
      <c r="R142" s="44">
        <f t="shared" si="24"/>
        <v>90834.54545</v>
      </c>
    </row>
    <row r="143" outlineLevel="1">
      <c r="C143" s="46"/>
      <c r="D143" s="47"/>
      <c r="E143" s="56">
        <f t="shared" si="23"/>
        <v>0</v>
      </c>
      <c r="F143" s="42">
        <f t="array" ref="F143">INDIRECT("1월!$X$38")</f>
        <v>0</v>
      </c>
      <c r="G143" s="42">
        <f t="array" ref="G143">INDIRECT("2월!$X$38")</f>
        <v>0</v>
      </c>
      <c r="H143" s="42">
        <f t="array" ref="H143">INDIRECT("3월!$X$38")</f>
        <v>0</v>
      </c>
      <c r="I143" s="42">
        <f t="array" ref="I143">INDIRECT("4월!$X$38")</f>
        <v>0</v>
      </c>
      <c r="J143" s="42">
        <f t="array" ref="J143">INDIRECT("5월!$X$38")</f>
        <v>0</v>
      </c>
      <c r="K143" s="42">
        <f t="array" ref="K143">INDIRECT("6월!$X$38")</f>
        <v>0</v>
      </c>
      <c r="L143" s="42">
        <f t="array" ref="L143">INDIRECT("7월!$X$38")</f>
        <v>0</v>
      </c>
      <c r="M143" s="42">
        <f t="array" ref="M143">INDIRECT("8월!$X$38")</f>
        <v>0</v>
      </c>
      <c r="N143" s="42">
        <f t="array" ref="N143">INDIRECT("9월!$X$38")</f>
        <v>0</v>
      </c>
      <c r="O143" s="42">
        <f t="array" ref="O143">INDIRECT("10월!$X$38")</f>
        <v>0</v>
      </c>
      <c r="P143" s="42">
        <f t="array" ref="P143">INDIRECT("11월!$X$38")</f>
        <v>0</v>
      </c>
      <c r="Q143" s="42">
        <f t="array" ref="Q143">INDIRECT("12월!$X$38")</f>
        <v>0</v>
      </c>
      <c r="R143" s="44">
        <f t="shared" si="24"/>
        <v>0</v>
      </c>
    </row>
    <row r="144">
      <c r="C144" s="48" t="str">
        <f>IF($C$138=0,"","총"&amp;$C$138)</f>
        <v>총🐻기타</v>
      </c>
      <c r="D144" s="8"/>
      <c r="E144" s="49">
        <f t="shared" si="23"/>
        <v>3646390</v>
      </c>
      <c r="F144" s="42">
        <f t="array" ref="F144">INDIRECT("1월!$X$39")</f>
        <v>112010</v>
      </c>
      <c r="G144" s="42">
        <f t="array" ref="G144">INDIRECT("2월!$X$39")</f>
        <v>169200</v>
      </c>
      <c r="H144" s="42">
        <f t="array" ref="H144">INDIRECT("3월!$X$39")</f>
        <v>51500</v>
      </c>
      <c r="I144" s="42">
        <f t="array" ref="I144">INDIRECT("4월!$X$39")</f>
        <v>59180</v>
      </c>
      <c r="J144" s="42">
        <f t="array" ref="J144">INDIRECT("5월!$X$39")</f>
        <v>197500</v>
      </c>
      <c r="K144" s="42">
        <f t="array" ref="K144">INDIRECT("6월!$X$39")</f>
        <v>98000</v>
      </c>
      <c r="L144" s="42">
        <f t="array" ref="L144">INDIRECT("7월!$X$39")</f>
        <v>539200</v>
      </c>
      <c r="M144" s="42">
        <f t="array" ref="M144">INDIRECT("8월!$X$39")</f>
        <v>385100</v>
      </c>
      <c r="N144" s="42">
        <f t="array" ref="N144">INDIRECT("9월!$X$39")</f>
        <v>876600</v>
      </c>
      <c r="O144" s="42">
        <f t="array" ref="O144">INDIRECT("10월!$X$39")</f>
        <v>667100</v>
      </c>
      <c r="P144" s="42">
        <f t="array" ref="P144">INDIRECT("11월!$X$39")</f>
        <v>491000</v>
      </c>
      <c r="Q144" s="42">
        <f t="array" ref="Q144">INDIRECT("12월!$X$39")</f>
        <v>0</v>
      </c>
      <c r="R144" s="44">
        <f t="shared" si="24"/>
        <v>331490</v>
      </c>
    </row>
    <row r="145" outlineLevel="1">
      <c r="C145" s="50" t="s">
        <v>46</v>
      </c>
      <c r="D145" s="51" t="s">
        <v>47</v>
      </c>
      <c r="E145" s="56">
        <f t="shared" si="23"/>
        <v>100000</v>
      </c>
      <c r="F145" s="42">
        <f t="array" ref="F145">INDIRECT("1월!$X$41")</f>
        <v>50000</v>
      </c>
      <c r="G145" s="42">
        <f t="array" ref="G145">INDIRECT("2월!$X$41")</f>
        <v>0</v>
      </c>
      <c r="H145" s="42">
        <f t="array" ref="H145">INDIRECT("3월!$X$41")</f>
        <v>50000</v>
      </c>
      <c r="I145" s="42">
        <f t="array" ref="I145">INDIRECT("4월!$X$41")</f>
        <v>0</v>
      </c>
      <c r="J145" s="42">
        <f t="array" ref="J145">INDIRECT("5월!$X$41")</f>
        <v>0</v>
      </c>
      <c r="K145" s="42">
        <f t="array" ref="K145">INDIRECT("6월!$X$41")</f>
        <v>0</v>
      </c>
      <c r="L145" s="42">
        <f t="array" ref="L145">INDIRECT("7월!$X$41")</f>
        <v>0</v>
      </c>
      <c r="M145" s="42">
        <f t="array" ref="M145">INDIRECT("8월!$X$41")</f>
        <v>0</v>
      </c>
      <c r="N145" s="42">
        <f t="array" ref="N145">INDIRECT("9월!$X$41")</f>
        <v>0</v>
      </c>
      <c r="O145" s="42">
        <f t="array" ref="O145">INDIRECT("10월!$X$41")</f>
        <v>0</v>
      </c>
      <c r="P145" s="42">
        <f t="array" ref="P145">INDIRECT("11월!$X$41")</f>
        <v>0</v>
      </c>
      <c r="Q145" s="42">
        <f t="array" ref="Q145">INDIRECT("12월!$X$41")</f>
        <v>0</v>
      </c>
      <c r="R145" s="44">
        <f t="shared" si="24"/>
        <v>9090.909091</v>
      </c>
    </row>
    <row r="146" outlineLevel="1">
      <c r="C146" s="45"/>
      <c r="D146" s="41" t="s">
        <v>48</v>
      </c>
      <c r="E146" s="56">
        <f t="shared" si="23"/>
        <v>170066</v>
      </c>
      <c r="F146" s="42">
        <f t="array" ref="F146">INDIRECT("1월!$X$42")</f>
        <v>51666</v>
      </c>
      <c r="G146" s="42">
        <f t="array" ref="G146">INDIRECT("2월!$X$42")</f>
        <v>0</v>
      </c>
      <c r="H146" s="42">
        <f t="array" ref="H146">INDIRECT("3월!$X$42")</f>
        <v>0</v>
      </c>
      <c r="I146" s="42">
        <f t="array" ref="I146">INDIRECT("4월!$X$42")</f>
        <v>0</v>
      </c>
      <c r="J146" s="42">
        <f t="array" ref="J146">INDIRECT("5월!$X$42")</f>
        <v>0</v>
      </c>
      <c r="K146" s="42">
        <f t="array" ref="K146">INDIRECT("6월!$X$42")</f>
        <v>0</v>
      </c>
      <c r="L146" s="42">
        <f t="array" ref="L146">INDIRECT("7월!$X$42")</f>
        <v>0</v>
      </c>
      <c r="M146" s="42">
        <f t="array" ref="M146">INDIRECT("8월!$X$42")</f>
        <v>118400</v>
      </c>
      <c r="N146" s="42">
        <f t="array" ref="N146">INDIRECT("9월!$X$42")</f>
        <v>0</v>
      </c>
      <c r="O146" s="42">
        <f t="array" ref="O146">INDIRECT("10월!$X$42")</f>
        <v>0</v>
      </c>
      <c r="P146" s="42">
        <f t="array" ref="P146">INDIRECT("11월!$X$42")</f>
        <v>0</v>
      </c>
      <c r="Q146" s="42">
        <f t="array" ref="Q146">INDIRECT("12월!$X$42")</f>
        <v>0</v>
      </c>
      <c r="R146" s="44">
        <f t="shared" si="24"/>
        <v>15460.54545</v>
      </c>
    </row>
    <row r="147" outlineLevel="1">
      <c r="C147" s="45"/>
      <c r="D147" s="41" t="s">
        <v>49</v>
      </c>
      <c r="E147" s="56">
        <f t="shared" si="23"/>
        <v>0</v>
      </c>
      <c r="F147" s="42">
        <f t="array" ref="F147">INDIRECT("1월!$X$43")</f>
        <v>0</v>
      </c>
      <c r="G147" s="42">
        <f t="array" ref="G147">INDIRECT("2월!$X$43")</f>
        <v>0</v>
      </c>
      <c r="H147" s="42">
        <f t="array" ref="H147">INDIRECT("3월!$X$43")</f>
        <v>0</v>
      </c>
      <c r="I147" s="42">
        <f t="array" ref="I147">INDIRECT("4월!$X$43")</f>
        <v>0</v>
      </c>
      <c r="J147" s="42">
        <f t="array" ref="J147">INDIRECT("5월!$X$43")</f>
        <v>0</v>
      </c>
      <c r="K147" s="42">
        <f t="array" ref="K147">INDIRECT("6월!$X$43")</f>
        <v>0</v>
      </c>
      <c r="L147" s="42">
        <f t="array" ref="L147">INDIRECT("7월!$X$43")</f>
        <v>0</v>
      </c>
      <c r="M147" s="42">
        <f t="array" ref="M147">INDIRECT("8월!$X$43")</f>
        <v>0</v>
      </c>
      <c r="N147" s="42">
        <f t="array" ref="N147">INDIRECT("9월!$X$43")</f>
        <v>0</v>
      </c>
      <c r="O147" s="42">
        <f t="array" ref="O147">INDIRECT("10월!$X$43")</f>
        <v>0</v>
      </c>
      <c r="P147" s="42">
        <f t="array" ref="P147">INDIRECT("11월!$X$43")</f>
        <v>0</v>
      </c>
      <c r="Q147" s="42">
        <f t="array" ref="Q147">INDIRECT("12월!$X$43")</f>
        <v>0</v>
      </c>
      <c r="R147" s="44">
        <f t="shared" si="24"/>
        <v>0</v>
      </c>
    </row>
    <row r="148" outlineLevel="1">
      <c r="C148" s="45"/>
      <c r="D148" s="41" t="s">
        <v>50</v>
      </c>
      <c r="E148" s="56">
        <f t="shared" si="23"/>
        <v>303998</v>
      </c>
      <c r="F148" s="42">
        <f t="array" ref="F148">INDIRECT("1월!$X$44")</f>
        <v>0</v>
      </c>
      <c r="G148" s="42">
        <f t="array" ref="G148">INDIRECT("2월!$X$44")</f>
        <v>213480</v>
      </c>
      <c r="H148" s="42">
        <f t="array" ref="H148">INDIRECT("3월!$X$44")</f>
        <v>0</v>
      </c>
      <c r="I148" s="42">
        <f t="array" ref="I148">INDIRECT("4월!$X$44")</f>
        <v>0</v>
      </c>
      <c r="J148" s="42">
        <f t="array" ref="J148">INDIRECT("5월!$X$44")</f>
        <v>0</v>
      </c>
      <c r="K148" s="42">
        <f t="array" ref="K148">INDIRECT("6월!$X$44")</f>
        <v>31175</v>
      </c>
      <c r="L148" s="42">
        <f t="array" ref="L148">INDIRECT("7월!$X$44")</f>
        <v>0</v>
      </c>
      <c r="M148" s="42">
        <f t="array" ref="M148">INDIRECT("8월!$X$44")</f>
        <v>0</v>
      </c>
      <c r="N148" s="42">
        <f t="array" ref="N148">INDIRECT("9월!$X$44")</f>
        <v>0</v>
      </c>
      <c r="O148" s="42">
        <f t="array" ref="O148">INDIRECT("10월!$X$44")</f>
        <v>0</v>
      </c>
      <c r="P148" s="42">
        <f t="array" ref="P148">INDIRECT("11월!$X$44")</f>
        <v>59343</v>
      </c>
      <c r="Q148" s="42">
        <f t="array" ref="Q148">INDIRECT("12월!$X$44")</f>
        <v>0</v>
      </c>
      <c r="R148" s="44">
        <f t="shared" si="24"/>
        <v>27636.18182</v>
      </c>
    </row>
    <row r="149" outlineLevel="1">
      <c r="C149" s="45"/>
      <c r="D149" s="41" t="s">
        <v>8</v>
      </c>
      <c r="E149" s="56">
        <f t="shared" si="23"/>
        <v>44968563</v>
      </c>
      <c r="F149" s="42">
        <f t="array" ref="F149">INDIRECT("1월!$X$45")</f>
        <v>2276480</v>
      </c>
      <c r="G149" s="42">
        <f t="array" ref="G149">INDIRECT("2월!$X$45")</f>
        <v>42173533</v>
      </c>
      <c r="H149" s="42">
        <f t="array" ref="H149">INDIRECT("3월!$X$45")</f>
        <v>55800</v>
      </c>
      <c r="I149" s="42">
        <f t="array" ref="I149">INDIRECT("4월!$X$45")</f>
        <v>0</v>
      </c>
      <c r="J149" s="42">
        <f t="array" ref="J149">INDIRECT("5월!$X$45")</f>
        <v>0</v>
      </c>
      <c r="K149" s="42">
        <f t="array" ref="K149">INDIRECT("6월!$X$45")</f>
        <v>132950</v>
      </c>
      <c r="L149" s="42">
        <f t="array" ref="L149">INDIRECT("7월!$X$45")</f>
        <v>269000</v>
      </c>
      <c r="M149" s="42">
        <f t="array" ref="M149">INDIRECT("8월!$X$45")</f>
        <v>60800</v>
      </c>
      <c r="N149" s="42">
        <f t="array" ref="N149">INDIRECT("9월!$X$45")</f>
        <v>0</v>
      </c>
      <c r="O149" s="42">
        <f t="array" ref="O149">INDIRECT("10월!$X$45")</f>
        <v>0</v>
      </c>
      <c r="P149" s="42">
        <f t="array" ref="P149">INDIRECT("11월!$X$45")</f>
        <v>0</v>
      </c>
      <c r="Q149" s="42">
        <f t="array" ref="Q149">INDIRECT("12월!$X$45")</f>
        <v>0</v>
      </c>
      <c r="R149" s="44">
        <f t="shared" si="24"/>
        <v>4088051.182</v>
      </c>
    </row>
    <row r="150" outlineLevel="1">
      <c r="C150" s="46"/>
      <c r="D150" s="47" t="s">
        <v>51</v>
      </c>
      <c r="E150" s="56">
        <f t="shared" si="23"/>
        <v>347479</v>
      </c>
      <c r="F150" s="42">
        <f t="array" ref="F150">INDIRECT("1월!$X$46")</f>
        <v>0</v>
      </c>
      <c r="G150" s="42">
        <f t="array" ref="G150">INDIRECT("2월!$X$46")</f>
        <v>0</v>
      </c>
      <c r="H150" s="42">
        <f t="array" ref="H150">INDIRECT("3월!$X$46")</f>
        <v>0</v>
      </c>
      <c r="I150" s="42">
        <f t="array" ref="I150">INDIRECT("4월!$X$46")</f>
        <v>0</v>
      </c>
      <c r="J150" s="42">
        <f t="array" ref="J150">INDIRECT("5월!$X$46")</f>
        <v>0</v>
      </c>
      <c r="K150" s="42">
        <f t="array" ref="K150">INDIRECT("6월!$X$46")</f>
        <v>0</v>
      </c>
      <c r="L150" s="42">
        <f t="array" ref="L150">INDIRECT("7월!$X$46")</f>
        <v>0</v>
      </c>
      <c r="M150" s="42">
        <f t="array" ref="M150">INDIRECT("8월!$X$46")</f>
        <v>0</v>
      </c>
      <c r="N150" s="42">
        <f t="array" ref="N150">INDIRECT("9월!$X$46")</f>
        <v>0</v>
      </c>
      <c r="O150" s="42">
        <f t="array" ref="O150">INDIRECT("10월!$X$46")</f>
        <v>0</v>
      </c>
      <c r="P150" s="42">
        <f t="array" ref="P150">INDIRECT("11월!$X$46")</f>
        <v>347479</v>
      </c>
      <c r="Q150" s="42">
        <f t="array" ref="Q150">INDIRECT("12월!$X$46")</f>
        <v>0</v>
      </c>
      <c r="R150" s="44">
        <f t="shared" si="24"/>
        <v>31589</v>
      </c>
    </row>
    <row r="151">
      <c r="C151" s="48" t="str">
        <f>IF($C$145=0,"","총"&amp;$C$145)</f>
        <v>총🍪이벤트성</v>
      </c>
      <c r="D151" s="8"/>
      <c r="E151" s="49">
        <f t="shared" si="23"/>
        <v>45890106</v>
      </c>
      <c r="F151" s="42">
        <f t="array" ref="F151">INDIRECT("1월!$X$47")</f>
        <v>2378146</v>
      </c>
      <c r="G151" s="42">
        <f t="array" ref="G151">INDIRECT("2월!$X$47")</f>
        <v>42387013</v>
      </c>
      <c r="H151" s="42">
        <f t="array" ref="H151">INDIRECT("3월!$X$47")</f>
        <v>105800</v>
      </c>
      <c r="I151" s="42">
        <f t="array" ref="I151">INDIRECT("4월!$X$47")</f>
        <v>0</v>
      </c>
      <c r="J151" s="42">
        <f t="array" ref="J151">INDIRECT("5월!$X$47")</f>
        <v>0</v>
      </c>
      <c r="K151" s="42">
        <f t="array" ref="K151">INDIRECT("6월!$X$47")</f>
        <v>164125</v>
      </c>
      <c r="L151" s="42">
        <f t="array" ref="L151">INDIRECT("7월!$X$47")</f>
        <v>269000</v>
      </c>
      <c r="M151" s="42">
        <f t="array" ref="M151">INDIRECT("8월!$X$47")</f>
        <v>179200</v>
      </c>
      <c r="N151" s="42">
        <f t="array" ref="N151">INDIRECT("9월!$X$47")</f>
        <v>0</v>
      </c>
      <c r="O151" s="42">
        <f t="array" ref="O151">INDIRECT("10월!$X$47")</f>
        <v>0</v>
      </c>
      <c r="P151" s="42">
        <f t="array" ref="P151">INDIRECT("11월!$X$47")</f>
        <v>406822</v>
      </c>
      <c r="Q151" s="42">
        <f t="array" ref="Q151">INDIRECT("12월!$X$47")</f>
        <v>0</v>
      </c>
      <c r="R151" s="44">
        <f t="shared" si="24"/>
        <v>4171827.818</v>
      </c>
    </row>
    <row r="152" outlineLevel="1">
      <c r="C152" s="50" t="s">
        <v>52</v>
      </c>
      <c r="D152" s="51" t="s">
        <v>47</v>
      </c>
      <c r="E152" s="56">
        <f t="shared" si="23"/>
        <v>809000</v>
      </c>
      <c r="F152" s="42">
        <f t="array" ref="F152">INDIRECT("1월!$X$49")</f>
        <v>300000</v>
      </c>
      <c r="G152" s="42">
        <f t="array" ref="G152">INDIRECT("2월!$X$49")</f>
        <v>0</v>
      </c>
      <c r="H152" s="42">
        <f t="array" ref="H152">INDIRECT("3월!$X$49")</f>
        <v>50000</v>
      </c>
      <c r="I152" s="42">
        <f t="array" ref="I152">INDIRECT("4월!$X$49")</f>
        <v>109000</v>
      </c>
      <c r="J152" s="42">
        <f t="array" ref="J152">INDIRECT("5월!$X$49")</f>
        <v>100000</v>
      </c>
      <c r="K152" s="42">
        <f t="array" ref="K152">INDIRECT("6월!$X$49")</f>
        <v>0</v>
      </c>
      <c r="L152" s="42">
        <f t="array" ref="L152">INDIRECT("7월!$X$49")</f>
        <v>0</v>
      </c>
      <c r="M152" s="42">
        <f t="array" ref="M152">INDIRECT("8월!$X$49")</f>
        <v>50000</v>
      </c>
      <c r="N152" s="42">
        <f t="array" ref="N152">INDIRECT("9월!$X$49")</f>
        <v>100000</v>
      </c>
      <c r="O152" s="42">
        <f t="array" ref="O152">INDIRECT("10월!$X$49")</f>
        <v>50000</v>
      </c>
      <c r="P152" s="42">
        <f t="array" ref="P152">INDIRECT("11월!$X$49")</f>
        <v>50000</v>
      </c>
      <c r="Q152" s="42">
        <f t="array" ref="Q152">INDIRECT("12월!$X$49")</f>
        <v>0</v>
      </c>
      <c r="R152" s="44">
        <f t="shared" si="24"/>
        <v>73545.45455</v>
      </c>
    </row>
    <row r="153" outlineLevel="1">
      <c r="C153" s="45"/>
      <c r="D153" s="41" t="s">
        <v>48</v>
      </c>
      <c r="E153" s="56">
        <f t="shared" si="23"/>
        <v>854924</v>
      </c>
      <c r="F153" s="42">
        <f t="array" ref="F153">INDIRECT("1월!$X$50")</f>
        <v>0</v>
      </c>
      <c r="G153" s="42">
        <f t="array" ref="G153">INDIRECT("2월!$X$50")</f>
        <v>188800</v>
      </c>
      <c r="H153" s="42">
        <f t="array" ref="H153">INDIRECT("3월!$X$50")</f>
        <v>0</v>
      </c>
      <c r="I153" s="42">
        <f t="array" ref="I153">INDIRECT("4월!$X$50")</f>
        <v>432500</v>
      </c>
      <c r="J153" s="42">
        <f t="array" ref="J153">INDIRECT("5월!$X$50")</f>
        <v>100000</v>
      </c>
      <c r="K153" s="42">
        <f t="array" ref="K153">INDIRECT("6월!$X$50")</f>
        <v>29000</v>
      </c>
      <c r="L153" s="42">
        <f t="array" ref="L153">INDIRECT("7월!$X$50")</f>
        <v>29600</v>
      </c>
      <c r="M153" s="42">
        <f t="array" ref="M153">INDIRECT("8월!$X$50")</f>
        <v>42224</v>
      </c>
      <c r="N153" s="42">
        <f t="array" ref="N153">INDIRECT("9월!$X$50")</f>
        <v>32800</v>
      </c>
      <c r="O153" s="42">
        <f t="array" ref="O153">INDIRECT("10월!$X$50")</f>
        <v>0</v>
      </c>
      <c r="P153" s="42">
        <f t="array" ref="P153">INDIRECT("11월!$X$50")</f>
        <v>0</v>
      </c>
      <c r="Q153" s="42">
        <f t="array" ref="Q153">INDIRECT("12월!$X$50")</f>
        <v>0</v>
      </c>
      <c r="R153" s="44">
        <f t="shared" si="24"/>
        <v>77720.36364</v>
      </c>
    </row>
    <row r="154" outlineLevel="1">
      <c r="C154" s="45"/>
      <c r="D154" s="41" t="s">
        <v>49</v>
      </c>
      <c r="E154" s="56">
        <f t="shared" si="23"/>
        <v>1052700</v>
      </c>
      <c r="F154" s="42">
        <f t="array" ref="F154">INDIRECT("1월!$X$51")</f>
        <v>609800</v>
      </c>
      <c r="G154" s="42">
        <f t="array" ref="G154">INDIRECT("2월!$X$51")</f>
        <v>0</v>
      </c>
      <c r="H154" s="42">
        <f t="array" ref="H154">INDIRECT("3월!$X$51")</f>
        <v>0</v>
      </c>
      <c r="I154" s="42">
        <f t="array" ref="I154">INDIRECT("4월!$X$51")</f>
        <v>0</v>
      </c>
      <c r="J154" s="42">
        <f t="array" ref="J154">INDIRECT("5월!$X$51")</f>
        <v>203800</v>
      </c>
      <c r="K154" s="42">
        <f t="array" ref="K154">INDIRECT("6월!$X$51")</f>
        <v>0</v>
      </c>
      <c r="L154" s="42">
        <f t="array" ref="L154">INDIRECT("7월!$X$51")</f>
        <v>0</v>
      </c>
      <c r="M154" s="42">
        <f t="array" ref="M154">INDIRECT("8월!$X$51")</f>
        <v>0</v>
      </c>
      <c r="N154" s="42">
        <f t="array" ref="N154">INDIRECT("9월!$X$51")</f>
        <v>188000</v>
      </c>
      <c r="O154" s="42">
        <f t="array" ref="O154">INDIRECT("10월!$X$51")</f>
        <v>51100</v>
      </c>
      <c r="P154" s="42">
        <f t="array" ref="P154">INDIRECT("11월!$X$51")</f>
        <v>0</v>
      </c>
      <c r="Q154" s="42">
        <f t="array" ref="Q154">INDIRECT("12월!$X$51")</f>
        <v>0</v>
      </c>
      <c r="R154" s="44">
        <f t="shared" si="24"/>
        <v>95700</v>
      </c>
    </row>
    <row r="155" outlineLevel="1">
      <c r="C155" s="45"/>
      <c r="D155" s="41" t="s">
        <v>50</v>
      </c>
      <c r="E155" s="56">
        <f t="shared" si="23"/>
        <v>4824630</v>
      </c>
      <c r="F155" s="42">
        <f t="array" ref="F155">INDIRECT("1월!$X$52")</f>
        <v>0</v>
      </c>
      <c r="G155" s="42">
        <f t="array" ref="G155">INDIRECT("2월!$X$52")</f>
        <v>220900</v>
      </c>
      <c r="H155" s="42">
        <f t="array" ref="H155">INDIRECT("3월!$X$52")</f>
        <v>5500</v>
      </c>
      <c r="I155" s="42">
        <f t="array" ref="I155">INDIRECT("4월!$X$52")</f>
        <v>1691782</v>
      </c>
      <c r="J155" s="42">
        <f t="array" ref="J155">INDIRECT("5월!$X$52")</f>
        <v>12910</v>
      </c>
      <c r="K155" s="42">
        <f t="array" ref="K155">INDIRECT("6월!$X$52")</f>
        <v>242400</v>
      </c>
      <c r="L155" s="42">
        <f t="array" ref="L155">INDIRECT("7월!$X$52")</f>
        <v>0</v>
      </c>
      <c r="M155" s="42">
        <f t="array" ref="M155">INDIRECT("8월!$X$52")</f>
        <v>0</v>
      </c>
      <c r="N155" s="42">
        <f t="array" ref="N155">INDIRECT("9월!$X$52")</f>
        <v>0</v>
      </c>
      <c r="O155" s="42">
        <f t="array" ref="O155">INDIRECT("10월!$X$52")</f>
        <v>0</v>
      </c>
      <c r="P155" s="42">
        <f t="array" ref="P155">INDIRECT("11월!$X$52")</f>
        <v>2651138</v>
      </c>
      <c r="Q155" s="42">
        <f t="array" ref="Q155">INDIRECT("12월!$X$52")</f>
        <v>0</v>
      </c>
      <c r="R155" s="44">
        <f t="shared" si="24"/>
        <v>438602.7273</v>
      </c>
    </row>
    <row r="156" outlineLevel="1">
      <c r="C156" s="45"/>
      <c r="D156" s="41" t="s">
        <v>8</v>
      </c>
      <c r="E156" s="56">
        <f t="shared" si="23"/>
        <v>2491470</v>
      </c>
      <c r="F156" s="42">
        <f t="array" ref="F156">INDIRECT("1월!$X$53")</f>
        <v>1529140</v>
      </c>
      <c r="G156" s="42">
        <f t="array" ref="G156">INDIRECT("2월!$X$53")</f>
        <v>0</v>
      </c>
      <c r="H156" s="42">
        <f t="array" ref="H156">INDIRECT("3월!$X$53")</f>
        <v>0</v>
      </c>
      <c r="I156" s="42">
        <f t="array" ref="I156">INDIRECT("4월!$X$53")</f>
        <v>0</v>
      </c>
      <c r="J156" s="42">
        <f t="array" ref="J156">INDIRECT("5월!$X$53")</f>
        <v>0</v>
      </c>
      <c r="K156" s="42">
        <f t="array" ref="K156">INDIRECT("6월!$X$53")</f>
        <v>10000</v>
      </c>
      <c r="L156" s="42">
        <f t="array" ref="L156">INDIRECT("7월!$X$53")</f>
        <v>445910</v>
      </c>
      <c r="M156" s="42">
        <f t="array" ref="M156">INDIRECT("8월!$X$53")</f>
        <v>375700</v>
      </c>
      <c r="N156" s="42">
        <f t="array" ref="N156">INDIRECT("9월!$X$53")</f>
        <v>32120</v>
      </c>
      <c r="O156" s="42">
        <f t="array" ref="O156">INDIRECT("10월!$X$53")</f>
        <v>0</v>
      </c>
      <c r="P156" s="42">
        <f t="array" ref="P156">INDIRECT("11월!$X$53")</f>
        <v>98600</v>
      </c>
      <c r="Q156" s="42">
        <f t="array" ref="Q156">INDIRECT("12월!$X$53")</f>
        <v>0</v>
      </c>
      <c r="R156" s="44">
        <f t="shared" si="24"/>
        <v>226497.2727</v>
      </c>
    </row>
    <row r="157" outlineLevel="1">
      <c r="C157" s="46"/>
      <c r="D157" s="47" t="s">
        <v>51</v>
      </c>
      <c r="E157" s="56">
        <f t="shared" si="23"/>
        <v>0</v>
      </c>
      <c r="F157" s="42">
        <f t="array" ref="F157">INDIRECT("1월!$X$54")</f>
        <v>0</v>
      </c>
      <c r="G157" s="42">
        <f t="array" ref="G157">INDIRECT("2월!$X$54")</f>
        <v>0</v>
      </c>
      <c r="H157" s="42">
        <f t="array" ref="H157">INDIRECT("3월!$X$54")</f>
        <v>0</v>
      </c>
      <c r="I157" s="42">
        <f t="array" ref="I157">INDIRECT("4월!$X$54")</f>
        <v>0</v>
      </c>
      <c r="J157" s="42">
        <f t="array" ref="J157">INDIRECT("5월!$X$54")</f>
        <v>0</v>
      </c>
      <c r="K157" s="42">
        <f t="array" ref="K157">INDIRECT("6월!$X$54")</f>
        <v>0</v>
      </c>
      <c r="L157" s="42">
        <f t="array" ref="L157">INDIRECT("7월!$X$54")</f>
        <v>0</v>
      </c>
      <c r="M157" s="42">
        <f t="array" ref="M157">INDIRECT("8월!$X$54")</f>
        <v>0</v>
      </c>
      <c r="N157" s="42">
        <f t="array" ref="N157">INDIRECT("9월!$X$54")</f>
        <v>0</v>
      </c>
      <c r="O157" s="42">
        <f t="array" ref="O157">INDIRECT("10월!$X$54")</f>
        <v>0</v>
      </c>
      <c r="P157" s="42">
        <f t="array" ref="P157">INDIRECT("11월!$X$54")</f>
        <v>0</v>
      </c>
      <c r="Q157" s="42">
        <f t="array" ref="Q157">INDIRECT("12월!$X$54")</f>
        <v>0</v>
      </c>
      <c r="R157" s="44">
        <f t="shared" si="24"/>
        <v>0</v>
      </c>
    </row>
    <row r="158">
      <c r="C158" s="48" t="str">
        <f>IF($C$152=0,"","총"&amp;$C$152)</f>
        <v>총🐻 이벤트성</v>
      </c>
      <c r="D158" s="8"/>
      <c r="E158" s="57">
        <f t="shared" si="23"/>
        <v>10032724</v>
      </c>
      <c r="F158" s="58">
        <f t="array" ref="F158">INDIRECT("1월!$X$55")</f>
        <v>2438940</v>
      </c>
      <c r="G158" s="58">
        <f t="array" ref="G158">INDIRECT("2월!$X$55")</f>
        <v>409700</v>
      </c>
      <c r="H158" s="58">
        <f t="array" ref="H158">INDIRECT("3월!$X$55")</f>
        <v>55500</v>
      </c>
      <c r="I158" s="58">
        <f t="array" ref="I158">INDIRECT("4월!$X$55")</f>
        <v>2233282</v>
      </c>
      <c r="J158" s="58">
        <f t="array" ref="J158">INDIRECT("5월!$X$55")</f>
        <v>416710</v>
      </c>
      <c r="K158" s="58">
        <f t="array" ref="K158">INDIRECT("6월!$X$55")</f>
        <v>281400</v>
      </c>
      <c r="L158" s="58">
        <f t="array" ref="L158">INDIRECT("7월!$X$55")</f>
        <v>475510</v>
      </c>
      <c r="M158" s="58">
        <f t="array" ref="M158">INDIRECT("8월!$X$55")</f>
        <v>467924</v>
      </c>
      <c r="N158" s="58">
        <f t="array" ref="N158">INDIRECT("9월!$X$55")</f>
        <v>352920</v>
      </c>
      <c r="O158" s="58">
        <f t="array" ref="O158">INDIRECT("10월!$X$55")</f>
        <v>101100</v>
      </c>
      <c r="P158" s="58">
        <f t="array" ref="P158">INDIRECT("11월!$X$55")</f>
        <v>2799738</v>
      </c>
      <c r="Q158" s="58">
        <f t="array" ref="Q158">INDIRECT("12월!$X$55")</f>
        <v>0</v>
      </c>
      <c r="R158" s="59">
        <f t="shared" si="24"/>
        <v>912065.8182</v>
      </c>
    </row>
  </sheetData>
  <mergeCells count="36">
    <mergeCell ref="C6:D9"/>
    <mergeCell ref="F6:G7"/>
    <mergeCell ref="J6:K7"/>
    <mergeCell ref="N6:O7"/>
    <mergeCell ref="F8:G9"/>
    <mergeCell ref="J8:K9"/>
    <mergeCell ref="N8:O9"/>
    <mergeCell ref="C56:C63"/>
    <mergeCell ref="C64:D64"/>
    <mergeCell ref="C65:C72"/>
    <mergeCell ref="C73:D73"/>
    <mergeCell ref="C74:D74"/>
    <mergeCell ref="C75:C80"/>
    <mergeCell ref="C81:D81"/>
    <mergeCell ref="C103:C108"/>
    <mergeCell ref="C110:C115"/>
    <mergeCell ref="C117:C122"/>
    <mergeCell ref="C124:C129"/>
    <mergeCell ref="C131:C136"/>
    <mergeCell ref="C138:C143"/>
    <mergeCell ref="C145:C150"/>
    <mergeCell ref="C152:C157"/>
    <mergeCell ref="C116:D116"/>
    <mergeCell ref="C123:D123"/>
    <mergeCell ref="C130:D130"/>
    <mergeCell ref="C137:D137"/>
    <mergeCell ref="C144:D144"/>
    <mergeCell ref="C151:D151"/>
    <mergeCell ref="C158:D158"/>
    <mergeCell ref="C82:C87"/>
    <mergeCell ref="C88:D88"/>
    <mergeCell ref="C89:C94"/>
    <mergeCell ref="C95:D95"/>
    <mergeCell ref="C96:C101"/>
    <mergeCell ref="C102:D102"/>
    <mergeCell ref="C109:D10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E0B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5.63"/>
    <col customWidth="1" min="3" max="3" width="11.38"/>
    <col customWidth="1" min="4" max="4" width="13.88"/>
    <col customWidth="1" min="5" max="16" width="11.38"/>
  </cols>
  <sheetData>
    <row r="1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C22" s="60" t="s">
        <v>1</v>
      </c>
      <c r="D22" s="60" t="s">
        <v>2</v>
      </c>
      <c r="E22" s="61" t="s">
        <v>71</v>
      </c>
      <c r="F22" s="61" t="s">
        <v>72</v>
      </c>
      <c r="G22" s="61" t="s">
        <v>73</v>
      </c>
      <c r="H22" s="61" t="s">
        <v>74</v>
      </c>
      <c r="I22" s="61" t="s">
        <v>75</v>
      </c>
      <c r="J22" s="61" t="s">
        <v>76</v>
      </c>
      <c r="K22" s="61" t="s">
        <v>77</v>
      </c>
      <c r="L22" s="61" t="s">
        <v>78</v>
      </c>
      <c r="M22" s="61" t="s">
        <v>79</v>
      </c>
      <c r="N22" s="61" t="s">
        <v>80</v>
      </c>
      <c r="O22" s="61" t="s">
        <v>81</v>
      </c>
      <c r="P22" s="61" t="s">
        <v>82</v>
      </c>
    </row>
    <row r="23" outlineLevel="1">
      <c r="C23" s="62" t="s">
        <v>87</v>
      </c>
      <c r="D23" s="63" t="s">
        <v>88</v>
      </c>
      <c r="E23" s="64">
        <v>6.0E7</v>
      </c>
      <c r="F23" s="64">
        <v>6.0E7</v>
      </c>
      <c r="G23" s="64">
        <v>6.0E7</v>
      </c>
      <c r="H23" s="64">
        <v>6.0E7</v>
      </c>
      <c r="I23" s="64">
        <v>6.0E7</v>
      </c>
      <c r="J23" s="64">
        <v>6.0E7</v>
      </c>
      <c r="K23" s="64">
        <v>6.0E7</v>
      </c>
      <c r="L23" s="64">
        <v>6.0E7</v>
      </c>
      <c r="M23" s="64">
        <v>6.0E7</v>
      </c>
      <c r="N23" s="64">
        <v>6.0E7</v>
      </c>
      <c r="O23" s="64">
        <v>6.0E7</v>
      </c>
      <c r="P23" s="64">
        <v>6.0E7</v>
      </c>
    </row>
    <row r="24" outlineLevel="1">
      <c r="C24" s="65"/>
      <c r="D24" s="66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8"/>
    </row>
    <row r="25" outlineLevel="1">
      <c r="C25" s="65"/>
      <c r="D25" s="66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8"/>
    </row>
    <row r="26" outlineLevel="1">
      <c r="C26" s="65"/>
      <c r="D26" s="66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8"/>
    </row>
    <row r="27" outlineLevel="1">
      <c r="C27" s="65"/>
      <c r="D27" s="66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8"/>
    </row>
    <row r="28" outlineLevel="1">
      <c r="C28" s="69"/>
      <c r="D28" s="70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8"/>
    </row>
    <row r="29">
      <c r="C29" s="6" t="s">
        <v>89</v>
      </c>
      <c r="D29" s="8"/>
      <c r="E29" s="71">
        <f t="shared" ref="E29:P29" si="1">SUM(E23:E28)</f>
        <v>60000000</v>
      </c>
      <c r="F29" s="67">
        <f t="shared" si="1"/>
        <v>60000000</v>
      </c>
      <c r="G29" s="72">
        <f t="shared" si="1"/>
        <v>60000000</v>
      </c>
      <c r="H29" s="72">
        <f t="shared" si="1"/>
        <v>60000000</v>
      </c>
      <c r="I29" s="72">
        <f t="shared" si="1"/>
        <v>60000000</v>
      </c>
      <c r="J29" s="72">
        <f t="shared" si="1"/>
        <v>60000000</v>
      </c>
      <c r="K29" s="72">
        <f t="shared" si="1"/>
        <v>60000000</v>
      </c>
      <c r="L29" s="72">
        <f t="shared" si="1"/>
        <v>60000000</v>
      </c>
      <c r="M29" s="72">
        <f t="shared" si="1"/>
        <v>60000000</v>
      </c>
      <c r="N29" s="72">
        <f t="shared" si="1"/>
        <v>60000000</v>
      </c>
      <c r="O29" s="72">
        <f t="shared" si="1"/>
        <v>60000000</v>
      </c>
      <c r="P29" s="73">
        <f t="shared" si="1"/>
        <v>60000000</v>
      </c>
    </row>
    <row r="30" outlineLevel="1">
      <c r="C30" s="62" t="s">
        <v>90</v>
      </c>
      <c r="D30" s="74"/>
      <c r="E30" s="67" t="s">
        <v>91</v>
      </c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</row>
    <row r="31" outlineLevel="1">
      <c r="C31" s="65"/>
      <c r="D31" s="75" t="s">
        <v>92</v>
      </c>
      <c r="E31" s="67">
        <v>5.0E8</v>
      </c>
      <c r="F31" s="67">
        <v>5.0E8</v>
      </c>
      <c r="G31" s="67">
        <v>5.0E8</v>
      </c>
      <c r="H31" s="67">
        <v>5.0E8</v>
      </c>
      <c r="I31" s="67">
        <v>5.0E8</v>
      </c>
      <c r="J31" s="67">
        <v>5.0E8</v>
      </c>
      <c r="K31" s="67">
        <v>5.0E8</v>
      </c>
      <c r="L31" s="67">
        <v>5.0E8</v>
      </c>
      <c r="M31" s="67">
        <v>5.0E8</v>
      </c>
      <c r="N31" s="67">
        <v>5.0E8</v>
      </c>
      <c r="O31" s="67">
        <v>5.0E8</v>
      </c>
      <c r="P31" s="67">
        <v>5.0E8</v>
      </c>
    </row>
    <row r="32" outlineLevel="1">
      <c r="C32" s="65"/>
      <c r="D32" s="76" t="s">
        <v>93</v>
      </c>
      <c r="E32" s="67">
        <v>1.026001E7</v>
      </c>
      <c r="F32" s="67">
        <v>1.026001E7</v>
      </c>
      <c r="G32" s="67">
        <v>1.026001E7</v>
      </c>
      <c r="H32" s="67">
        <v>1.026001E7</v>
      </c>
      <c r="I32" s="67">
        <v>1.026001E7</v>
      </c>
      <c r="J32" s="67">
        <v>1.026001E7</v>
      </c>
      <c r="K32" s="67">
        <v>1.026001E7</v>
      </c>
      <c r="L32" s="67">
        <v>1.026001E7</v>
      </c>
      <c r="M32" s="67">
        <v>1.026001E7</v>
      </c>
      <c r="N32" s="67">
        <v>1.026001E7</v>
      </c>
      <c r="O32" s="67">
        <v>1.026001E7</v>
      </c>
      <c r="P32" s="67">
        <v>1.026001E7</v>
      </c>
    </row>
    <row r="33" outlineLevel="1">
      <c r="C33" s="65"/>
      <c r="D33" s="74" t="s">
        <v>94</v>
      </c>
      <c r="E33" s="67">
        <v>3020000.0</v>
      </c>
      <c r="F33" s="67">
        <v>3020000.0</v>
      </c>
      <c r="G33" s="67">
        <v>3020000.0</v>
      </c>
      <c r="H33" s="67">
        <v>3020000.0</v>
      </c>
      <c r="I33" s="67">
        <v>3020000.0</v>
      </c>
      <c r="J33" s="67">
        <v>3020000.0</v>
      </c>
      <c r="K33" s="67">
        <v>3020000.0</v>
      </c>
      <c r="L33" s="67">
        <v>3020000.0</v>
      </c>
      <c r="M33" s="67">
        <v>3020000.0</v>
      </c>
      <c r="N33" s="67">
        <v>3020000.0</v>
      </c>
      <c r="O33" s="67">
        <v>3020000.0</v>
      </c>
      <c r="P33" s="67">
        <v>3020000.0</v>
      </c>
    </row>
    <row r="34" outlineLevel="1">
      <c r="C34" s="65"/>
      <c r="D34" s="74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8"/>
    </row>
    <row r="35" outlineLevel="1">
      <c r="C35" s="65"/>
      <c r="D35" s="66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8"/>
    </row>
    <row r="36" outlineLevel="1">
      <c r="C36" s="69"/>
      <c r="D36" s="70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8"/>
    </row>
    <row r="37">
      <c r="C37" s="6" t="s">
        <v>95</v>
      </c>
      <c r="D37" s="8"/>
      <c r="E37" s="71">
        <f t="shared" ref="E37:P37" si="2">SUM(E30:E36)</f>
        <v>513280010</v>
      </c>
      <c r="F37" s="72">
        <f t="shared" si="2"/>
        <v>513280010</v>
      </c>
      <c r="G37" s="72">
        <f t="shared" si="2"/>
        <v>513280010</v>
      </c>
      <c r="H37" s="72">
        <f t="shared" si="2"/>
        <v>513280010</v>
      </c>
      <c r="I37" s="72">
        <f t="shared" si="2"/>
        <v>513280010</v>
      </c>
      <c r="J37" s="72">
        <f t="shared" si="2"/>
        <v>513280010</v>
      </c>
      <c r="K37" s="72">
        <f t="shared" si="2"/>
        <v>513280010</v>
      </c>
      <c r="L37" s="72">
        <f t="shared" si="2"/>
        <v>513280010</v>
      </c>
      <c r="M37" s="72">
        <f t="shared" si="2"/>
        <v>513280010</v>
      </c>
      <c r="N37" s="72">
        <f t="shared" si="2"/>
        <v>513280010</v>
      </c>
      <c r="O37" s="72">
        <f t="shared" si="2"/>
        <v>513280010</v>
      </c>
      <c r="P37" s="72">
        <f t="shared" si="2"/>
        <v>513280010</v>
      </c>
    </row>
    <row r="38" outlineLevel="1">
      <c r="C38" s="62" t="s">
        <v>96</v>
      </c>
      <c r="D38" s="77" t="s">
        <v>97</v>
      </c>
      <c r="E38" s="67"/>
      <c r="F38" s="67"/>
      <c r="G38" s="67"/>
      <c r="H38" s="67">
        <v>2921257.0</v>
      </c>
      <c r="I38" s="67">
        <v>2921257.0</v>
      </c>
      <c r="J38" s="67">
        <v>3768946.0</v>
      </c>
      <c r="K38" s="67">
        <v>3558877.0</v>
      </c>
      <c r="L38" s="67"/>
      <c r="M38" s="67"/>
      <c r="N38" s="67">
        <v>5096711.0</v>
      </c>
      <c r="O38" s="67"/>
      <c r="P38" s="68"/>
    </row>
    <row r="39" outlineLevel="1">
      <c r="C39" s="65"/>
      <c r="D39" s="78" t="s">
        <v>98</v>
      </c>
      <c r="E39" s="79"/>
      <c r="F39" s="67"/>
      <c r="G39" s="67"/>
      <c r="H39" s="67">
        <v>7821622.0</v>
      </c>
      <c r="I39" s="67">
        <v>7821622.0</v>
      </c>
      <c r="J39" s="67">
        <v>9116774.0</v>
      </c>
      <c r="K39" s="67">
        <v>1.0117282E7</v>
      </c>
      <c r="L39" s="67"/>
      <c r="M39" s="67"/>
      <c r="N39" s="67">
        <v>1.0940296E7</v>
      </c>
      <c r="O39" s="67"/>
      <c r="P39" s="68"/>
    </row>
    <row r="40" outlineLevel="1">
      <c r="C40" s="65"/>
      <c r="D40" s="80" t="s">
        <v>99</v>
      </c>
      <c r="E40" s="79"/>
      <c r="F40" s="67"/>
      <c r="G40" s="67"/>
      <c r="H40" s="67">
        <v>435275.0</v>
      </c>
      <c r="I40" s="67">
        <v>435275.0</v>
      </c>
      <c r="J40" s="67">
        <v>0.0</v>
      </c>
      <c r="K40" s="67"/>
      <c r="L40" s="67"/>
      <c r="M40" s="67"/>
      <c r="N40" s="67"/>
      <c r="O40" s="67"/>
      <c r="P40" s="67"/>
    </row>
    <row r="41" outlineLevel="1">
      <c r="C41" s="65"/>
      <c r="D41" s="80" t="s">
        <v>100</v>
      </c>
      <c r="E41" s="79"/>
      <c r="F41" s="67"/>
      <c r="G41" s="67"/>
      <c r="H41" s="67">
        <v>7422813.0</v>
      </c>
      <c r="I41" s="67">
        <v>7422813.0</v>
      </c>
      <c r="J41" s="67">
        <v>8167790.0</v>
      </c>
      <c r="K41" s="67">
        <v>8117996.0</v>
      </c>
      <c r="L41" s="67"/>
      <c r="M41" s="67"/>
      <c r="N41" s="67">
        <v>9192926.0</v>
      </c>
      <c r="P41" s="68"/>
    </row>
    <row r="42" outlineLevel="1">
      <c r="C42" s="65"/>
      <c r="D42" s="80" t="s">
        <v>101</v>
      </c>
      <c r="E42" s="79"/>
      <c r="F42" s="67"/>
      <c r="G42" s="67"/>
      <c r="H42" s="67">
        <v>213330.0</v>
      </c>
      <c r="I42" s="67">
        <v>213330.0</v>
      </c>
      <c r="J42" s="67">
        <v>277513.0</v>
      </c>
      <c r="K42" s="67">
        <v>310541.0</v>
      </c>
      <c r="L42" s="67"/>
      <c r="M42" s="67"/>
      <c r="N42" s="67">
        <v>319061.0</v>
      </c>
      <c r="O42" s="67"/>
      <c r="P42" s="68"/>
    </row>
    <row r="43" outlineLevel="1">
      <c r="C43" s="65"/>
      <c r="D43" s="81" t="s">
        <v>102</v>
      </c>
      <c r="E43" s="67" t="s">
        <v>91</v>
      </c>
      <c r="F43" s="67"/>
      <c r="G43" s="67" t="s">
        <v>91</v>
      </c>
      <c r="H43" s="67"/>
      <c r="I43" s="67"/>
      <c r="J43" s="67"/>
      <c r="K43" s="67"/>
      <c r="L43" s="67"/>
      <c r="M43" s="67"/>
      <c r="N43" s="67"/>
      <c r="O43" s="67"/>
      <c r="P43" s="68"/>
    </row>
    <row r="44" outlineLevel="1">
      <c r="C44" s="69"/>
      <c r="D44" s="74" t="s">
        <v>103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8"/>
    </row>
    <row r="45">
      <c r="C45" s="6" t="s">
        <v>104</v>
      </c>
      <c r="D45" s="8"/>
      <c r="E45" s="71">
        <f t="shared" ref="E45:P45" si="3">SUM(E38:E44)</f>
        <v>0</v>
      </c>
      <c r="F45" s="72">
        <f t="shared" si="3"/>
        <v>0</v>
      </c>
      <c r="G45" s="72">
        <f t="shared" si="3"/>
        <v>0</v>
      </c>
      <c r="H45" s="72">
        <f t="shared" si="3"/>
        <v>18814297</v>
      </c>
      <c r="I45" s="72">
        <f t="shared" si="3"/>
        <v>18814297</v>
      </c>
      <c r="J45" s="72">
        <f t="shared" si="3"/>
        <v>21331023</v>
      </c>
      <c r="K45" s="72">
        <f t="shared" si="3"/>
        <v>22104696</v>
      </c>
      <c r="L45" s="72">
        <f t="shared" si="3"/>
        <v>0</v>
      </c>
      <c r="M45" s="72">
        <f t="shared" si="3"/>
        <v>0</v>
      </c>
      <c r="N45" s="72">
        <f t="shared" si="3"/>
        <v>25548994</v>
      </c>
      <c r="O45" s="72">
        <f t="shared" si="3"/>
        <v>0</v>
      </c>
      <c r="P45" s="73">
        <f t="shared" si="3"/>
        <v>0</v>
      </c>
    </row>
    <row r="46" outlineLevel="1">
      <c r="C46" s="62"/>
      <c r="D46" s="74" t="s">
        <v>105</v>
      </c>
      <c r="E46" s="67" t="s">
        <v>91</v>
      </c>
      <c r="F46" s="67"/>
      <c r="G46" s="67">
        <v>0.0</v>
      </c>
      <c r="H46" s="67"/>
      <c r="I46" s="67"/>
      <c r="J46" s="67"/>
      <c r="K46" s="67"/>
      <c r="L46" s="67"/>
      <c r="M46" s="67"/>
      <c r="N46" s="67"/>
      <c r="O46" s="67"/>
      <c r="P46" s="67"/>
    </row>
    <row r="47" outlineLevel="1">
      <c r="C47" s="65"/>
      <c r="D47" s="76" t="s">
        <v>106</v>
      </c>
      <c r="E47" s="67" t="s">
        <v>107</v>
      </c>
      <c r="F47" s="67"/>
      <c r="G47" s="67">
        <v>0.0</v>
      </c>
      <c r="H47" s="67"/>
      <c r="I47" s="67"/>
      <c r="J47" s="67"/>
      <c r="K47" s="67"/>
      <c r="L47" s="67"/>
      <c r="M47" s="67"/>
      <c r="N47" s="67"/>
      <c r="O47" s="67"/>
      <c r="P47" s="67"/>
    </row>
    <row r="48" outlineLevel="1">
      <c r="C48" s="65"/>
      <c r="D48" s="75" t="s">
        <v>108</v>
      </c>
      <c r="E48" s="67">
        <v>3000000.0</v>
      </c>
      <c r="F48" s="67">
        <v>3000000.0</v>
      </c>
      <c r="G48" s="67">
        <v>2500000.0</v>
      </c>
      <c r="H48" s="67">
        <v>3000000.0</v>
      </c>
      <c r="I48" s="67">
        <v>3000000.0</v>
      </c>
      <c r="J48" s="67" t="s">
        <v>91</v>
      </c>
      <c r="K48" s="67"/>
      <c r="L48" s="67"/>
      <c r="M48" s="67"/>
      <c r="N48" s="67"/>
      <c r="O48" s="67"/>
      <c r="P48" s="67"/>
    </row>
    <row r="49" outlineLevel="1">
      <c r="C49" s="65"/>
      <c r="D49" s="75" t="s">
        <v>109</v>
      </c>
      <c r="E49" s="67">
        <v>1800000.0</v>
      </c>
      <c r="F49" s="67">
        <v>1300000.0</v>
      </c>
      <c r="G49" s="67">
        <v>0.0</v>
      </c>
      <c r="H49" s="67">
        <v>1500000.0</v>
      </c>
      <c r="I49" s="67">
        <v>3500000.0</v>
      </c>
      <c r="J49" s="67">
        <v>0.0</v>
      </c>
      <c r="K49" s="67"/>
      <c r="L49" s="67"/>
      <c r="M49" s="67"/>
      <c r="N49" s="67"/>
      <c r="O49" s="67"/>
      <c r="P49" s="67"/>
    </row>
    <row r="50" outlineLevel="1">
      <c r="C50" s="65"/>
      <c r="D50" s="63" t="s">
        <v>110</v>
      </c>
      <c r="E50" s="67">
        <v>6000000.0</v>
      </c>
      <c r="F50" s="67">
        <v>0.0</v>
      </c>
      <c r="G50" s="67" t="s">
        <v>91</v>
      </c>
      <c r="H50" s="67"/>
      <c r="I50" s="67"/>
      <c r="J50" s="67"/>
      <c r="K50" s="67"/>
      <c r="L50" s="67"/>
      <c r="M50" s="67"/>
      <c r="N50" s="67"/>
      <c r="O50" s="67"/>
      <c r="P50" s="67"/>
    </row>
    <row r="51" outlineLevel="1">
      <c r="C51" s="65"/>
      <c r="D51" s="74" t="s">
        <v>111</v>
      </c>
      <c r="E51" s="67">
        <v>0.0</v>
      </c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</row>
    <row r="52" outlineLevel="1">
      <c r="C52" s="65"/>
      <c r="D52" s="74" t="s">
        <v>112</v>
      </c>
      <c r="E52" s="67">
        <v>3000000.0</v>
      </c>
      <c r="F52" s="67">
        <v>3000000.0</v>
      </c>
      <c r="G52" s="67">
        <v>3000000.0</v>
      </c>
      <c r="H52" s="67">
        <v>3000000.0</v>
      </c>
      <c r="I52" s="67">
        <v>3000000.0</v>
      </c>
      <c r="J52" s="67">
        <v>3000000.0</v>
      </c>
      <c r="K52" s="67">
        <v>3000000.0</v>
      </c>
      <c r="L52" s="67">
        <v>3000000.0</v>
      </c>
      <c r="M52" s="67">
        <v>3000000.0</v>
      </c>
      <c r="N52" s="67">
        <v>3000000.0</v>
      </c>
      <c r="O52" s="67">
        <v>3000000.0</v>
      </c>
      <c r="P52" s="67"/>
    </row>
    <row r="53" outlineLevel="1">
      <c r="C53" s="69"/>
      <c r="D53" s="74" t="s">
        <v>113</v>
      </c>
      <c r="E53" s="67">
        <v>3.9E7</v>
      </c>
      <c r="F53" s="67">
        <v>0.0</v>
      </c>
      <c r="G53" s="67">
        <v>1.2E7</v>
      </c>
      <c r="H53" s="67">
        <v>1.2E7</v>
      </c>
      <c r="I53" s="67">
        <v>1.7E7</v>
      </c>
      <c r="J53" s="67">
        <v>1.7E7</v>
      </c>
      <c r="K53" s="67">
        <v>2.05E7</v>
      </c>
      <c r="L53" s="67">
        <v>2.05E7</v>
      </c>
      <c r="M53" s="67">
        <v>2.05E7</v>
      </c>
      <c r="N53" s="67">
        <v>2.1E7</v>
      </c>
      <c r="O53" s="67">
        <v>3.15E7</v>
      </c>
      <c r="P53" s="67"/>
    </row>
    <row r="54">
      <c r="C54" s="6" t="s">
        <v>114</v>
      </c>
      <c r="D54" s="8"/>
      <c r="E54" s="82">
        <f t="shared" ref="E54:P54" si="4">SUM(E46:E53)</f>
        <v>52800000</v>
      </c>
      <c r="F54" s="83">
        <f t="shared" si="4"/>
        <v>7300000</v>
      </c>
      <c r="G54" s="83">
        <f t="shared" si="4"/>
        <v>17500000</v>
      </c>
      <c r="H54" s="83">
        <f t="shared" si="4"/>
        <v>19500000</v>
      </c>
      <c r="I54" s="83">
        <f t="shared" si="4"/>
        <v>26500000</v>
      </c>
      <c r="J54" s="83">
        <f t="shared" si="4"/>
        <v>20000000</v>
      </c>
      <c r="K54" s="83">
        <f t="shared" si="4"/>
        <v>23500000</v>
      </c>
      <c r="L54" s="83">
        <f t="shared" si="4"/>
        <v>23500000</v>
      </c>
      <c r="M54" s="83">
        <f t="shared" si="4"/>
        <v>23500000</v>
      </c>
      <c r="N54" s="83">
        <f t="shared" si="4"/>
        <v>24000000</v>
      </c>
      <c r="O54" s="83">
        <f t="shared" si="4"/>
        <v>34500000</v>
      </c>
      <c r="P54" s="84">
        <f t="shared" si="4"/>
        <v>0</v>
      </c>
    </row>
    <row r="55">
      <c r="C55" s="85" t="s">
        <v>115</v>
      </c>
      <c r="D55" s="8"/>
      <c r="E55" s="86">
        <f t="shared" ref="E55:P55" si="5">E54+E37-E29</f>
        <v>506080010</v>
      </c>
      <c r="F55" s="86">
        <f t="shared" si="5"/>
        <v>460580010</v>
      </c>
      <c r="G55" s="86">
        <f t="shared" si="5"/>
        <v>470780010</v>
      </c>
      <c r="H55" s="86">
        <f t="shared" si="5"/>
        <v>472780010</v>
      </c>
      <c r="I55" s="86">
        <f t="shared" si="5"/>
        <v>479780010</v>
      </c>
      <c r="J55" s="86">
        <f t="shared" si="5"/>
        <v>473280010</v>
      </c>
      <c r="K55" s="86">
        <f t="shared" si="5"/>
        <v>476780010</v>
      </c>
      <c r="L55" s="86">
        <f t="shared" si="5"/>
        <v>476780010</v>
      </c>
      <c r="M55" s="86">
        <f t="shared" si="5"/>
        <v>476780010</v>
      </c>
      <c r="N55" s="86">
        <f t="shared" si="5"/>
        <v>477280010</v>
      </c>
      <c r="O55" s="86">
        <f t="shared" si="5"/>
        <v>487780010</v>
      </c>
      <c r="P55" s="86">
        <f t="shared" si="5"/>
        <v>453280010</v>
      </c>
    </row>
    <row r="56">
      <c r="C56" s="87" t="s">
        <v>116</v>
      </c>
      <c r="D56" s="8"/>
      <c r="E56" s="88"/>
      <c r="F56" s="89">
        <f t="shared" ref="F56:P56" si="6">IF(F55=0, "",F55-E55)</f>
        <v>-45500000</v>
      </c>
      <c r="G56" s="89">
        <f t="shared" si="6"/>
        <v>10200000</v>
      </c>
      <c r="H56" s="89">
        <f t="shared" si="6"/>
        <v>2000000</v>
      </c>
      <c r="I56" s="89">
        <f t="shared" si="6"/>
        <v>7000000</v>
      </c>
      <c r="J56" s="89">
        <f t="shared" si="6"/>
        <v>-6500000</v>
      </c>
      <c r="K56" s="89">
        <f t="shared" si="6"/>
        <v>3500000</v>
      </c>
      <c r="L56" s="89">
        <f t="shared" si="6"/>
        <v>0</v>
      </c>
      <c r="M56" s="89">
        <f t="shared" si="6"/>
        <v>0</v>
      </c>
      <c r="N56" s="89">
        <f t="shared" si="6"/>
        <v>500000</v>
      </c>
      <c r="O56" s="89">
        <f t="shared" si="6"/>
        <v>10500000</v>
      </c>
      <c r="P56" s="90">
        <f t="shared" si="6"/>
        <v>-34500000</v>
      </c>
    </row>
    <row r="57">
      <c r="C57" s="91" t="s">
        <v>117</v>
      </c>
      <c r="E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C58" s="4"/>
      <c r="D58" s="7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C59" s="4"/>
      <c r="D59" s="75"/>
      <c r="E59" s="4"/>
      <c r="F59" s="4"/>
      <c r="G59" s="75" t="s">
        <v>118</v>
      </c>
      <c r="H59" s="75" t="s">
        <v>119</v>
      </c>
      <c r="I59" s="75" t="s">
        <v>120</v>
      </c>
      <c r="J59" s="4"/>
      <c r="K59" s="4"/>
      <c r="L59" s="4"/>
      <c r="M59" s="4"/>
      <c r="N59" s="4"/>
      <c r="O59" s="4"/>
      <c r="P59" s="4"/>
    </row>
    <row r="60">
      <c r="C60" s="4"/>
      <c r="D60" s="4"/>
      <c r="F60" s="75" t="s">
        <v>121</v>
      </c>
      <c r="G60" s="92">
        <f>25105020+4850000*3</f>
        <v>39655020</v>
      </c>
      <c r="H60" s="93">
        <v>1.0E7</v>
      </c>
      <c r="I60" s="92">
        <f>G60-H60</f>
        <v>29655020</v>
      </c>
      <c r="J60" s="4"/>
      <c r="K60" s="4"/>
      <c r="L60" s="4"/>
      <c r="M60" s="4"/>
      <c r="N60" s="4"/>
      <c r="O60" s="4"/>
      <c r="P60" s="4"/>
    </row>
    <row r="61">
      <c r="C61" s="4"/>
      <c r="D61" s="4"/>
      <c r="E61" s="4"/>
      <c r="G61" s="75" t="s">
        <v>118</v>
      </c>
      <c r="H61" s="75" t="s">
        <v>122</v>
      </c>
      <c r="I61" s="75" t="s">
        <v>120</v>
      </c>
      <c r="J61" s="4"/>
      <c r="K61" s="4"/>
      <c r="L61" s="4"/>
      <c r="M61" s="4"/>
      <c r="N61" s="4"/>
      <c r="O61" s="4"/>
      <c r="P61" s="4"/>
    </row>
    <row r="62">
      <c r="C62" s="4"/>
      <c r="D62" s="4"/>
      <c r="E62" s="4"/>
      <c r="F62" s="75" t="s">
        <v>123</v>
      </c>
      <c r="G62" s="93">
        <v>7500000.0</v>
      </c>
      <c r="H62" s="92">
        <f>220000+120000+130000+200000+140000</f>
        <v>810000</v>
      </c>
      <c r="I62" s="92">
        <f>G62-H62</f>
        <v>6690000</v>
      </c>
      <c r="J62" s="4"/>
      <c r="K62" s="4"/>
      <c r="L62" s="4"/>
      <c r="M62" s="4"/>
      <c r="N62" s="4"/>
      <c r="O62" s="4"/>
      <c r="P62" s="4"/>
    </row>
    <row r="6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</sheetData>
  <mergeCells count="10">
    <mergeCell ref="C54:D54"/>
    <mergeCell ref="C55:D55"/>
    <mergeCell ref="C56:D56"/>
    <mergeCell ref="C23:C28"/>
    <mergeCell ref="C29:D29"/>
    <mergeCell ref="C30:C36"/>
    <mergeCell ref="C37:D37"/>
    <mergeCell ref="C38:C44"/>
    <mergeCell ref="C45:D45"/>
    <mergeCell ref="C46:C5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22.0"/>
    <col customWidth="1" min="4" max="4" width="21.38"/>
    <col customWidth="1" min="5" max="5" width="14.5"/>
    <col customWidth="1" min="7" max="7" width="11.0"/>
    <col customWidth="1" min="8" max="8" width="23.13"/>
    <col customWidth="1" min="9" max="9" width="21.88"/>
    <col customWidth="1" min="10" max="10" width="20.38"/>
    <col customWidth="1" min="13" max="13" width="6.38"/>
  </cols>
  <sheetData>
    <row r="1">
      <c r="D1" s="94"/>
      <c r="O1" s="15"/>
      <c r="P1" s="15"/>
      <c r="Q1" s="15"/>
    </row>
    <row r="2">
      <c r="O2" s="15"/>
      <c r="P2" s="15"/>
      <c r="Q2" s="95"/>
    </row>
    <row r="3">
      <c r="O3" s="15"/>
      <c r="P3" s="15"/>
      <c r="Q3" s="96"/>
    </row>
    <row r="4" ht="22.5" customHeight="1">
      <c r="B4" s="97" t="s">
        <v>124</v>
      </c>
      <c r="C4" s="98" t="s">
        <v>125</v>
      </c>
      <c r="D4" s="98" t="s">
        <v>126</v>
      </c>
      <c r="E4" s="98" t="s">
        <v>127</v>
      </c>
      <c r="G4" s="97" t="s">
        <v>124</v>
      </c>
      <c r="H4" s="98" t="s">
        <v>125</v>
      </c>
      <c r="I4" s="98" t="s">
        <v>126</v>
      </c>
      <c r="J4" s="98" t="s">
        <v>127</v>
      </c>
      <c r="O4" s="15"/>
      <c r="P4" s="15"/>
      <c r="Q4" s="95"/>
    </row>
    <row r="5" ht="22.5" customHeight="1">
      <c r="B5" s="98" t="s">
        <v>71</v>
      </c>
      <c r="C5" s="99">
        <f t="array" ref="C5">INDIRECT("1월!$F$9")</f>
        <v>1550000</v>
      </c>
      <c r="D5" s="99">
        <f t="array" ref="D5">INDIRECT("1월!$F$11")</f>
        <v>21394</v>
      </c>
      <c r="E5" s="100">
        <f t="array" ref="E5">SUM(INDIRECT("1월!F12:F14"))</f>
        <v>2101178</v>
      </c>
      <c r="G5" s="98" t="s">
        <v>71</v>
      </c>
      <c r="H5" s="99">
        <f t="array" ref="H5">INDIRECT("1월!$F$15")</f>
        <v>0</v>
      </c>
      <c r="I5" s="99">
        <f t="array" ref="I5">INDIRECT("1월!$F$17")</f>
        <v>2346620</v>
      </c>
      <c r="J5" s="100">
        <f t="array" ref="J5">SUM(INDIRECT("1월!F18:F19"))</f>
        <v>930716</v>
      </c>
      <c r="O5" s="15"/>
      <c r="P5" s="15"/>
      <c r="Q5" s="15"/>
    </row>
    <row r="6" ht="22.5" customHeight="1">
      <c r="B6" s="98" t="s">
        <v>72</v>
      </c>
      <c r="C6" s="100">
        <f t="array" ref="C6">INDIRECT("2월!$F$9")</f>
        <v>0</v>
      </c>
      <c r="D6" s="100">
        <f t="array" ref="D6">INDIRECT("2월!$F$11")</f>
        <v>0</v>
      </c>
      <c r="E6" s="100">
        <f t="array" ref="E6">SUM(INDIRECT("2월!F12:F14"))</f>
        <v>2648680</v>
      </c>
      <c r="G6" s="98" t="s">
        <v>72</v>
      </c>
      <c r="H6" s="100">
        <f t="array" ref="H6">INDIRECT("2월!$F$15")</f>
        <v>0</v>
      </c>
      <c r="I6" s="100">
        <f t="array" ref="I6">INDIRECT("2월!$F$17")</f>
        <v>627500</v>
      </c>
      <c r="J6" s="100">
        <f t="array" ref="J6">SUM(INDIRECT("2월!F18:F19"))</f>
        <v>1298385</v>
      </c>
      <c r="O6" s="15"/>
      <c r="P6" s="15"/>
      <c r="Q6" s="15"/>
    </row>
    <row r="7" ht="22.5" customHeight="1">
      <c r="B7" s="98" t="s">
        <v>73</v>
      </c>
      <c r="C7" s="99">
        <f t="array" ref="C7">INDIRECT("3월!$F$9")</f>
        <v>0</v>
      </c>
      <c r="D7" s="99">
        <f t="array" ref="D7">INDIRECT("3월!$F$11")</f>
        <v>0</v>
      </c>
      <c r="E7" s="100">
        <f t="array" ref="E7">SUM(INDIRECT("3월!F12:F14"))</f>
        <v>2978503</v>
      </c>
      <c r="G7" s="98" t="s">
        <v>73</v>
      </c>
      <c r="H7" s="99">
        <f t="array" ref="H7">INDIRECT("3월!$F$15")</f>
        <v>210000</v>
      </c>
      <c r="I7" s="99">
        <f t="array" ref="I7">INDIRECT("3월!$F$17")</f>
        <v>302680</v>
      </c>
      <c r="J7" s="100">
        <f t="array" ref="J7">SUM(INDIRECT("3월!F18:F19"))</f>
        <v>1213042</v>
      </c>
      <c r="O7" s="15"/>
      <c r="P7" s="15"/>
      <c r="Q7" s="96"/>
    </row>
    <row r="8" ht="22.5" customHeight="1">
      <c r="B8" s="98" t="s">
        <v>74</v>
      </c>
      <c r="C8" s="100">
        <f t="array" ref="C8">INDIRECT("4월!$F$9")</f>
        <v>0</v>
      </c>
      <c r="D8" s="100">
        <f t="array" ref="D8">INDIRECT("4월!$F$11")</f>
        <v>0</v>
      </c>
      <c r="E8" s="100">
        <f t="array" ref="E8">SUM(INDIRECT("4월!F12:F14"))</f>
        <v>624394</v>
      </c>
      <c r="G8" s="98" t="s">
        <v>74</v>
      </c>
      <c r="H8" s="100">
        <f t="array" ref="H8">INDIRECT("4월!$F$15")</f>
        <v>0</v>
      </c>
      <c r="I8" s="100">
        <f t="array" ref="I8">INDIRECT("4월!$F$17")</f>
        <v>189000</v>
      </c>
      <c r="J8" s="100">
        <f t="array" ref="J8">SUM(INDIRECT("4월!F18:F19"))</f>
        <v>1966526</v>
      </c>
      <c r="O8" s="15"/>
      <c r="P8" s="15"/>
      <c r="Q8" s="15"/>
    </row>
    <row r="9" ht="22.5" customHeight="1">
      <c r="B9" s="98" t="s">
        <v>75</v>
      </c>
      <c r="C9" s="99">
        <f t="array" ref="C9">INDIRECT("5월!$F$9")</f>
        <v>0</v>
      </c>
      <c r="D9" s="99">
        <f t="array" ref="D9">INDIRECT("5월!$F$11")</f>
        <v>0</v>
      </c>
      <c r="E9" s="100">
        <f t="array" ref="E9">SUM(INDIRECT("5월!F12:F14"))</f>
        <v>576689</v>
      </c>
      <c r="G9" s="98" t="s">
        <v>75</v>
      </c>
      <c r="H9" s="99">
        <f t="array" ref="H9">INDIRECT("5월!$F$15")</f>
        <v>0</v>
      </c>
      <c r="I9" s="99">
        <f t="array" ref="I9">INDIRECT("5월!$F$17")</f>
        <v>170000</v>
      </c>
      <c r="J9" s="100">
        <f t="array" ref="J9">SUM(INDIRECT("5월!F18:F19"))</f>
        <v>2682031</v>
      </c>
      <c r="O9" s="15"/>
      <c r="P9" s="15"/>
      <c r="Q9" s="15"/>
    </row>
    <row r="10" ht="22.5" customHeight="1">
      <c r="B10" s="98" t="s">
        <v>76</v>
      </c>
      <c r="C10" s="100">
        <f t="array" ref="C10">INDIRECT("6월!$F$9")</f>
        <v>0</v>
      </c>
      <c r="D10" s="100">
        <f t="array" ref="D10">INDIRECT("6월!$F$11")</f>
        <v>0</v>
      </c>
      <c r="E10" s="100">
        <f t="array" ref="E10">SUM(INDIRECT("6월!F12:F14"))</f>
        <v>1630779</v>
      </c>
      <c r="G10" s="98" t="s">
        <v>76</v>
      </c>
      <c r="H10" s="100">
        <f t="array" ref="H10">INDIRECT("6월!$F$15")</f>
        <v>0</v>
      </c>
      <c r="I10" s="100">
        <f t="array" ref="I10">INDIRECT("6월!$F$17")</f>
        <v>214000</v>
      </c>
      <c r="J10" s="100">
        <f t="array" ref="J10">SUM(INDIRECT("6월!F18:F19"))</f>
        <v>1727827</v>
      </c>
      <c r="O10" s="15"/>
      <c r="P10" s="15"/>
      <c r="Q10" s="15"/>
    </row>
    <row r="11" ht="22.5" customHeight="1">
      <c r="B11" s="98" t="s">
        <v>77</v>
      </c>
      <c r="C11" s="99">
        <f t="array" ref="C11">INDIRECT("7월!$F$9")</f>
        <v>0</v>
      </c>
      <c r="D11" s="99">
        <f t="array" ref="D11">INDIRECT("7월!$F$11")</f>
        <v>0</v>
      </c>
      <c r="E11" s="100">
        <f t="array" ref="E11">SUM(INDIRECT("7월!F12:F14"))</f>
        <v>968900</v>
      </c>
      <c r="G11" s="98" t="s">
        <v>77</v>
      </c>
      <c r="H11" s="99">
        <f t="array" ref="H11">INDIRECT("7월!$F$15")</f>
        <v>0</v>
      </c>
      <c r="I11" s="99">
        <f t="array" ref="I11">INDIRECT("7월!$F$17")</f>
        <v>133010</v>
      </c>
      <c r="J11" s="100">
        <f t="array" ref="J11">SUM(INDIRECT("7월!F18:F19"))</f>
        <v>1972310</v>
      </c>
      <c r="O11" s="15"/>
      <c r="P11" s="15"/>
      <c r="Q11" s="15"/>
    </row>
    <row r="12" ht="22.5" customHeight="1">
      <c r="B12" s="98" t="s">
        <v>78</v>
      </c>
      <c r="C12" s="100">
        <f t="array" ref="C12">INDIRECT("8월!$F$9")</f>
        <v>0</v>
      </c>
      <c r="D12" s="100">
        <f t="array" ref="D12">INDIRECT("8월!$F$11")</f>
        <v>0</v>
      </c>
      <c r="E12" s="100">
        <f t="array" ref="E12">SUM(INDIRECT("8월!F12:F14"))</f>
        <v>0</v>
      </c>
      <c r="G12" s="98" t="s">
        <v>78</v>
      </c>
      <c r="H12" s="100">
        <f t="array" ref="H12">INDIRECT("8월!$F$15")</f>
        <v>0</v>
      </c>
      <c r="I12" s="100">
        <f t="array" ref="I12">INDIRECT("8월!$F$17")</f>
        <v>183000</v>
      </c>
      <c r="J12" s="100">
        <f t="array" ref="J12">SUM(INDIRECT("8월!F18:F19"))</f>
        <v>2242557</v>
      </c>
      <c r="O12" s="15"/>
      <c r="P12" s="15"/>
      <c r="Q12" s="15"/>
    </row>
    <row r="13" ht="22.5" customHeight="1">
      <c r="B13" s="98" t="s">
        <v>79</v>
      </c>
      <c r="C13" s="99">
        <f t="array" ref="C13">INDIRECT("9월!$F$9")</f>
        <v>0</v>
      </c>
      <c r="D13" s="99">
        <f t="array" ref="D13">INDIRECT("9월!$F$11")</f>
        <v>0</v>
      </c>
      <c r="E13" s="100">
        <f t="array" ref="E13">SUM(INDIRECT("9월!F12:F14"))</f>
        <v>0</v>
      </c>
      <c r="G13" s="98" t="s">
        <v>79</v>
      </c>
      <c r="H13" s="99">
        <f t="array" ref="H13">INDIRECT("9월!$F$15")</f>
        <v>0</v>
      </c>
      <c r="I13" s="99">
        <f t="array" ref="I13">INDIRECT("9월!$F$17")</f>
        <v>246170</v>
      </c>
      <c r="J13" s="100">
        <f t="array" ref="J13">SUM(INDIRECT("9월!F18:F19"))</f>
        <v>2735390</v>
      </c>
      <c r="M13" s="4"/>
    </row>
    <row r="14" ht="22.5" customHeight="1">
      <c r="B14" s="98" t="s">
        <v>80</v>
      </c>
      <c r="C14" s="100">
        <f t="array" ref="C14">INDIRECT("10월!$F$9")</f>
        <v>0</v>
      </c>
      <c r="D14" s="100">
        <f t="array" ref="D14">INDIRECT("10월!$F$11")</f>
        <v>0</v>
      </c>
      <c r="E14" s="100">
        <f t="array" ref="E14">SUM(INDIRECT("10월!F12:F14"))</f>
        <v>248890</v>
      </c>
      <c r="G14" s="98" t="s">
        <v>80</v>
      </c>
      <c r="H14" s="100">
        <f t="array" ref="H14">INDIRECT("10월!$F$15")</f>
        <v>962778</v>
      </c>
      <c r="I14" s="100">
        <f t="array" ref="I14">INDIRECT("10월!$F$17")</f>
        <v>226800</v>
      </c>
      <c r="J14" s="100">
        <f t="array" ref="J14">SUM(INDIRECT("10월!F18:F19"))</f>
        <v>2252750</v>
      </c>
      <c r="M14" s="4"/>
    </row>
    <row r="15" ht="22.5" customHeight="1">
      <c r="B15" s="98" t="s">
        <v>81</v>
      </c>
      <c r="C15" s="99">
        <f t="array" ref="C15">INDIRECT("11월!$F$9")</f>
        <v>0</v>
      </c>
      <c r="D15" s="99">
        <f t="array" ref="D15">INDIRECT("11월!$F$11")</f>
        <v>0</v>
      </c>
      <c r="E15" s="100">
        <f t="array" ref="E15">SUM(INDIRECT("11월!F12:F14"))</f>
        <v>100490</v>
      </c>
      <c r="G15" s="98" t="s">
        <v>81</v>
      </c>
      <c r="H15" s="99">
        <f t="array" ref="H15">INDIRECT("11월!$F$15")</f>
        <v>1250845</v>
      </c>
      <c r="I15" s="99">
        <f t="array" ref="I15">INDIRECT("11월!$F$17")</f>
        <v>180000</v>
      </c>
      <c r="J15" s="100">
        <f t="array" ref="J15">SUM(INDIRECT("11월!F18:F19"))</f>
        <v>3923398</v>
      </c>
      <c r="M15" s="4"/>
    </row>
    <row r="16" ht="22.5" customHeight="1">
      <c r="B16" s="98" t="s">
        <v>82</v>
      </c>
      <c r="C16" s="100">
        <f t="array" ref="C16">INDIRECT("12월!$F$9")</f>
        <v>0</v>
      </c>
      <c r="D16" s="100">
        <f t="array" ref="D16">INDIRECT("12월!$F$11")</f>
        <v>0</v>
      </c>
      <c r="E16" s="100">
        <f t="array" ref="E16">SUM(INDIRECT("12월!F12:F14"))</f>
        <v>0</v>
      </c>
      <c r="G16" s="98" t="s">
        <v>82</v>
      </c>
      <c r="H16" s="100">
        <f t="array" ref="H16">INDIRECT("12월!$F$15")</f>
        <v>0</v>
      </c>
      <c r="I16" s="100">
        <f t="array" ref="I16">INDIRECT("12월!$F$17")</f>
        <v>0</v>
      </c>
      <c r="J16" s="100">
        <f t="array" ref="J16">SUM(INDIRECT("12월!F18:F19"))</f>
        <v>0</v>
      </c>
      <c r="M16" s="4"/>
    </row>
    <row r="17" ht="22.5" customHeight="1">
      <c r="B17" s="101" t="s">
        <v>69</v>
      </c>
      <c r="C17" s="102">
        <f t="shared" ref="C17:E17" si="1">SUM(C5:C16)</f>
        <v>1550000</v>
      </c>
      <c r="D17" s="102">
        <f t="shared" si="1"/>
        <v>21394</v>
      </c>
      <c r="E17" s="102">
        <f t="shared" si="1"/>
        <v>11878503</v>
      </c>
      <c r="G17" s="101" t="s">
        <v>69</v>
      </c>
      <c r="H17" s="102">
        <f t="shared" ref="H17:J17" si="2">SUM(H5:H16)</f>
        <v>2423623</v>
      </c>
      <c r="I17" s="102">
        <f t="shared" si="2"/>
        <v>4818780</v>
      </c>
      <c r="J17" s="102">
        <f t="shared" si="2"/>
        <v>22944932</v>
      </c>
      <c r="M17" s="4"/>
    </row>
    <row r="18">
      <c r="M18" s="4"/>
    </row>
    <row r="19">
      <c r="M19" s="4"/>
    </row>
    <row r="20">
      <c r="M20" s="4"/>
    </row>
    <row r="21">
      <c r="M21" s="4"/>
    </row>
    <row r="22">
      <c r="M22" s="4"/>
    </row>
    <row r="23">
      <c r="M23" s="4"/>
    </row>
    <row r="24">
      <c r="M24" s="4"/>
    </row>
    <row r="25">
      <c r="M25" s="4"/>
    </row>
    <row r="26">
      <c r="M26" s="4"/>
    </row>
    <row r="27">
      <c r="M27" s="4"/>
    </row>
    <row r="28">
      <c r="M28" s="4"/>
    </row>
    <row r="29">
      <c r="M29" s="4"/>
    </row>
    <row r="30">
      <c r="M30" s="4"/>
    </row>
    <row r="31">
      <c r="M31" s="4"/>
    </row>
    <row r="32">
      <c r="M32" s="4"/>
    </row>
    <row r="33">
      <c r="M33" s="4"/>
    </row>
    <row r="34">
      <c r="M34" s="4"/>
    </row>
    <row r="35">
      <c r="M35" s="4"/>
    </row>
    <row r="36">
      <c r="M36" s="4"/>
    </row>
    <row r="37">
      <c r="M37" s="4"/>
    </row>
    <row r="38">
      <c r="M38" s="4"/>
    </row>
    <row r="39">
      <c r="M39" s="4"/>
    </row>
    <row r="40">
      <c r="M40" s="4"/>
    </row>
    <row r="41">
      <c r="M41" s="4"/>
    </row>
    <row r="42">
      <c r="M42" s="4"/>
    </row>
    <row r="43">
      <c r="M43" s="4"/>
    </row>
    <row r="44">
      <c r="M44" s="4"/>
    </row>
    <row r="45">
      <c r="M45" s="4"/>
    </row>
    <row r="46">
      <c r="M46" s="4"/>
    </row>
    <row r="47">
      <c r="M47" s="4"/>
    </row>
    <row r="48">
      <c r="M48" s="4"/>
    </row>
    <row r="49">
      <c r="M49" s="4"/>
    </row>
    <row r="50">
      <c r="M50" s="4"/>
    </row>
    <row r="51">
      <c r="M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  <row r="105">
      <c r="M105" s="4"/>
    </row>
    <row r="106">
      <c r="M106" s="4"/>
    </row>
    <row r="107">
      <c r="M107" s="4"/>
    </row>
    <row r="108">
      <c r="M108" s="4"/>
    </row>
    <row r="109">
      <c r="M109" s="4"/>
    </row>
    <row r="110">
      <c r="M110" s="4"/>
    </row>
    <row r="111">
      <c r="M111" s="4"/>
    </row>
    <row r="112">
      <c r="M112" s="4"/>
    </row>
    <row r="113">
      <c r="M113" s="4"/>
    </row>
    <row r="114">
      <c r="M114" s="4"/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  <row r="193">
      <c r="M193" s="4"/>
    </row>
    <row r="194">
      <c r="M194" s="4"/>
    </row>
    <row r="195">
      <c r="M195" s="4"/>
    </row>
    <row r="196">
      <c r="M196" s="4"/>
    </row>
    <row r="197">
      <c r="M197" s="4"/>
    </row>
    <row r="198">
      <c r="M198" s="4"/>
    </row>
    <row r="199">
      <c r="M199" s="4"/>
    </row>
    <row r="200">
      <c r="M200" s="4"/>
    </row>
    <row r="201">
      <c r="M201" s="4"/>
    </row>
    <row r="202">
      <c r="M202" s="4"/>
    </row>
    <row r="203">
      <c r="M203" s="4"/>
    </row>
    <row r="204">
      <c r="M204" s="4"/>
    </row>
    <row r="205">
      <c r="M205" s="4"/>
    </row>
    <row r="206">
      <c r="M206" s="4"/>
    </row>
    <row r="207">
      <c r="M207" s="4"/>
    </row>
    <row r="208">
      <c r="M208" s="4"/>
    </row>
    <row r="209">
      <c r="M209" s="4"/>
    </row>
    <row r="210">
      <c r="M210" s="4"/>
    </row>
    <row r="211">
      <c r="M211" s="4"/>
    </row>
    <row r="212">
      <c r="M212" s="4"/>
    </row>
    <row r="213">
      <c r="M213" s="4"/>
    </row>
    <row r="214">
      <c r="M214" s="4"/>
    </row>
    <row r="215">
      <c r="M215" s="4"/>
    </row>
    <row r="216">
      <c r="M216" s="4"/>
    </row>
    <row r="217">
      <c r="M217" s="4"/>
    </row>
    <row r="218">
      <c r="M218" s="4"/>
    </row>
    <row r="219">
      <c r="M219" s="4"/>
    </row>
    <row r="220">
      <c r="M220" s="4"/>
    </row>
    <row r="221">
      <c r="M221" s="4"/>
    </row>
    <row r="222">
      <c r="M222" s="4"/>
    </row>
    <row r="223">
      <c r="M223" s="4"/>
    </row>
    <row r="224">
      <c r="M224" s="4"/>
    </row>
    <row r="225">
      <c r="M225" s="4"/>
    </row>
    <row r="226">
      <c r="M226" s="4"/>
    </row>
    <row r="227">
      <c r="M227" s="4"/>
    </row>
    <row r="228">
      <c r="M228" s="4"/>
    </row>
    <row r="229">
      <c r="M229" s="4"/>
    </row>
    <row r="230">
      <c r="M230" s="4"/>
    </row>
    <row r="231">
      <c r="M231" s="4"/>
    </row>
    <row r="232">
      <c r="M232" s="4"/>
    </row>
    <row r="233">
      <c r="M233" s="4"/>
    </row>
    <row r="234">
      <c r="M234" s="4"/>
    </row>
    <row r="235">
      <c r="M235" s="4"/>
    </row>
    <row r="236">
      <c r="M236" s="4"/>
    </row>
    <row r="237">
      <c r="M237" s="4"/>
    </row>
    <row r="238">
      <c r="M238" s="4"/>
    </row>
    <row r="239">
      <c r="M239" s="4"/>
    </row>
    <row r="240">
      <c r="M240" s="4"/>
    </row>
    <row r="241">
      <c r="M241" s="4"/>
    </row>
    <row r="242">
      <c r="M242" s="4"/>
    </row>
    <row r="243">
      <c r="M243" s="4"/>
    </row>
    <row r="244">
      <c r="M244" s="4"/>
    </row>
    <row r="245">
      <c r="M245" s="4"/>
    </row>
    <row r="246">
      <c r="M246" s="4"/>
    </row>
    <row r="247">
      <c r="M247" s="4"/>
    </row>
    <row r="248">
      <c r="M248" s="4"/>
    </row>
    <row r="249">
      <c r="M249" s="4"/>
    </row>
    <row r="250">
      <c r="M250" s="4"/>
    </row>
    <row r="251">
      <c r="M251" s="4"/>
    </row>
    <row r="252">
      <c r="M252" s="4"/>
    </row>
    <row r="253">
      <c r="M253" s="4"/>
    </row>
    <row r="254">
      <c r="M254" s="4"/>
    </row>
    <row r="255">
      <c r="M255" s="4"/>
    </row>
    <row r="256">
      <c r="M256" s="4"/>
    </row>
    <row r="257">
      <c r="M257" s="4"/>
    </row>
    <row r="258">
      <c r="M258" s="4"/>
    </row>
    <row r="259">
      <c r="M259" s="4"/>
    </row>
    <row r="260">
      <c r="M260" s="4"/>
    </row>
    <row r="261">
      <c r="M261" s="4"/>
    </row>
    <row r="262">
      <c r="M262" s="4"/>
    </row>
    <row r="263">
      <c r="M263" s="4"/>
    </row>
    <row r="264">
      <c r="M264" s="4"/>
    </row>
    <row r="265">
      <c r="M265" s="4"/>
    </row>
    <row r="266">
      <c r="M266" s="4"/>
    </row>
    <row r="267">
      <c r="M267" s="4"/>
    </row>
    <row r="268">
      <c r="M268" s="4"/>
    </row>
    <row r="269">
      <c r="M269" s="4"/>
    </row>
    <row r="270">
      <c r="M270" s="4"/>
    </row>
    <row r="271">
      <c r="M271" s="4"/>
    </row>
    <row r="272">
      <c r="M272" s="4"/>
    </row>
    <row r="273">
      <c r="M273" s="4"/>
    </row>
    <row r="274">
      <c r="M274" s="4"/>
    </row>
    <row r="275">
      <c r="M275" s="4"/>
    </row>
    <row r="276">
      <c r="M276" s="4"/>
    </row>
    <row r="277">
      <c r="M277" s="4"/>
    </row>
    <row r="278">
      <c r="M278" s="4"/>
    </row>
    <row r="279">
      <c r="M279" s="4"/>
    </row>
    <row r="280">
      <c r="M280" s="4"/>
    </row>
    <row r="281">
      <c r="M281" s="4"/>
    </row>
    <row r="282">
      <c r="M282" s="4"/>
    </row>
    <row r="283">
      <c r="M283" s="4"/>
    </row>
    <row r="284">
      <c r="M284" s="4"/>
    </row>
    <row r="285">
      <c r="M285" s="4"/>
    </row>
    <row r="286">
      <c r="M286" s="4"/>
    </row>
    <row r="287">
      <c r="M287" s="4"/>
    </row>
    <row r="288">
      <c r="M288" s="4"/>
    </row>
    <row r="289">
      <c r="M289" s="4"/>
    </row>
    <row r="290">
      <c r="M290" s="4"/>
    </row>
    <row r="291">
      <c r="M291" s="4"/>
    </row>
    <row r="292">
      <c r="M292" s="4"/>
    </row>
    <row r="293">
      <c r="M293" s="4"/>
    </row>
    <row r="294">
      <c r="M294" s="4"/>
    </row>
    <row r="295">
      <c r="M295" s="4"/>
    </row>
    <row r="296">
      <c r="M296" s="4"/>
    </row>
    <row r="297">
      <c r="M297" s="4"/>
    </row>
    <row r="298">
      <c r="M298" s="4"/>
    </row>
    <row r="299">
      <c r="M299" s="4"/>
    </row>
    <row r="300">
      <c r="M300" s="4"/>
    </row>
    <row r="301">
      <c r="M301" s="4"/>
    </row>
    <row r="302">
      <c r="M302" s="4"/>
    </row>
    <row r="303">
      <c r="M303" s="4"/>
    </row>
    <row r="304">
      <c r="M304" s="4"/>
    </row>
    <row r="305">
      <c r="M305" s="4"/>
    </row>
    <row r="306">
      <c r="M306" s="4"/>
    </row>
    <row r="307">
      <c r="M307" s="4"/>
    </row>
    <row r="308">
      <c r="M308" s="4"/>
    </row>
    <row r="309">
      <c r="M309" s="4"/>
    </row>
    <row r="310">
      <c r="M310" s="4"/>
    </row>
    <row r="311">
      <c r="M311" s="4"/>
    </row>
    <row r="312">
      <c r="M312" s="4"/>
    </row>
    <row r="313">
      <c r="M313" s="4"/>
    </row>
    <row r="314">
      <c r="M314" s="4"/>
    </row>
    <row r="315">
      <c r="M315" s="4"/>
    </row>
    <row r="316">
      <c r="M316" s="4"/>
    </row>
    <row r="317">
      <c r="M317" s="4"/>
    </row>
    <row r="318">
      <c r="M318" s="4"/>
    </row>
    <row r="319">
      <c r="M319" s="4"/>
    </row>
    <row r="320">
      <c r="M320" s="4"/>
    </row>
    <row r="321">
      <c r="M321" s="4"/>
    </row>
    <row r="322">
      <c r="M322" s="4"/>
    </row>
    <row r="323">
      <c r="M323" s="4"/>
    </row>
    <row r="324">
      <c r="M324" s="4"/>
    </row>
    <row r="325">
      <c r="M325" s="4"/>
    </row>
    <row r="326">
      <c r="M326" s="4"/>
    </row>
    <row r="327">
      <c r="M327" s="4"/>
    </row>
    <row r="328">
      <c r="M328" s="4"/>
    </row>
    <row r="329">
      <c r="M329" s="4"/>
    </row>
    <row r="330">
      <c r="M330" s="4"/>
    </row>
    <row r="331">
      <c r="M331" s="4"/>
    </row>
    <row r="332">
      <c r="M332" s="4"/>
    </row>
    <row r="333">
      <c r="M333" s="4"/>
    </row>
    <row r="334">
      <c r="M334" s="4"/>
    </row>
    <row r="335">
      <c r="M335" s="4"/>
    </row>
    <row r="336">
      <c r="M336" s="4"/>
    </row>
    <row r="337">
      <c r="M337" s="4"/>
    </row>
    <row r="338">
      <c r="M338" s="4"/>
    </row>
    <row r="339">
      <c r="M339" s="4"/>
    </row>
    <row r="340">
      <c r="M340" s="4"/>
    </row>
    <row r="341">
      <c r="M341" s="4"/>
    </row>
    <row r="342">
      <c r="M342" s="4"/>
    </row>
    <row r="343">
      <c r="M343" s="4"/>
    </row>
    <row r="344">
      <c r="M344" s="4"/>
    </row>
    <row r="345">
      <c r="M345" s="4"/>
    </row>
    <row r="346">
      <c r="M346" s="4"/>
    </row>
    <row r="347">
      <c r="M347" s="4"/>
    </row>
    <row r="348">
      <c r="M348" s="4"/>
    </row>
    <row r="349">
      <c r="M349" s="4"/>
    </row>
    <row r="350">
      <c r="M350" s="4"/>
    </row>
    <row r="351">
      <c r="M351" s="4"/>
    </row>
    <row r="352">
      <c r="M352" s="4"/>
    </row>
    <row r="353">
      <c r="M353" s="4"/>
    </row>
    <row r="354">
      <c r="M354" s="4"/>
    </row>
    <row r="355">
      <c r="M355" s="4"/>
    </row>
    <row r="356">
      <c r="M356" s="4"/>
    </row>
    <row r="357">
      <c r="M357" s="4"/>
    </row>
    <row r="358">
      <c r="M358" s="4"/>
    </row>
    <row r="359">
      <c r="M359" s="4"/>
    </row>
    <row r="360">
      <c r="M360" s="4"/>
    </row>
    <row r="361">
      <c r="M361" s="4"/>
    </row>
    <row r="362">
      <c r="M362" s="4"/>
    </row>
    <row r="363">
      <c r="M363" s="4"/>
    </row>
    <row r="364">
      <c r="M364" s="4"/>
    </row>
    <row r="365">
      <c r="M365" s="4"/>
    </row>
    <row r="366">
      <c r="M366" s="4"/>
    </row>
    <row r="367">
      <c r="M367" s="4"/>
    </row>
    <row r="368">
      <c r="M368" s="4"/>
    </row>
    <row r="369">
      <c r="M369" s="4"/>
    </row>
    <row r="370">
      <c r="M370" s="4"/>
    </row>
    <row r="371">
      <c r="M371" s="4"/>
    </row>
    <row r="372">
      <c r="M372" s="4"/>
    </row>
    <row r="373">
      <c r="M373" s="4"/>
    </row>
    <row r="374">
      <c r="M374" s="4"/>
    </row>
    <row r="375">
      <c r="M375" s="4"/>
    </row>
    <row r="376">
      <c r="M376" s="4"/>
    </row>
    <row r="377">
      <c r="M377" s="4"/>
    </row>
    <row r="378">
      <c r="M378" s="4"/>
    </row>
    <row r="379">
      <c r="M379" s="4"/>
    </row>
    <row r="380">
      <c r="M380" s="4"/>
    </row>
    <row r="381">
      <c r="M381" s="4"/>
    </row>
    <row r="382">
      <c r="M382" s="4"/>
    </row>
    <row r="383">
      <c r="M383" s="4"/>
    </row>
    <row r="384">
      <c r="M384" s="4"/>
    </row>
    <row r="385">
      <c r="M385" s="4"/>
    </row>
    <row r="386">
      <c r="M386" s="4"/>
    </row>
    <row r="387">
      <c r="M387" s="4"/>
    </row>
    <row r="388">
      <c r="M388" s="4"/>
    </row>
    <row r="389">
      <c r="M389" s="4"/>
    </row>
    <row r="390">
      <c r="M390" s="4"/>
    </row>
    <row r="391">
      <c r="M391" s="4"/>
    </row>
    <row r="392">
      <c r="M392" s="4"/>
    </row>
    <row r="393">
      <c r="M393" s="4"/>
    </row>
    <row r="394">
      <c r="M394" s="4"/>
    </row>
    <row r="395">
      <c r="M395" s="4"/>
    </row>
    <row r="396">
      <c r="M396" s="4"/>
    </row>
    <row r="397">
      <c r="M397" s="4"/>
    </row>
    <row r="398">
      <c r="M398" s="4"/>
    </row>
    <row r="399">
      <c r="M399" s="4"/>
    </row>
    <row r="400">
      <c r="M400" s="4"/>
    </row>
    <row r="401">
      <c r="M401" s="4"/>
    </row>
    <row r="402">
      <c r="M402" s="4"/>
    </row>
    <row r="403">
      <c r="M403" s="4"/>
    </row>
    <row r="404">
      <c r="M404" s="4"/>
    </row>
    <row r="405">
      <c r="M405" s="4"/>
    </row>
    <row r="406">
      <c r="M406" s="4"/>
    </row>
    <row r="407">
      <c r="M407" s="4"/>
    </row>
    <row r="408">
      <c r="M408" s="4"/>
    </row>
    <row r="409">
      <c r="M409" s="4"/>
    </row>
    <row r="410">
      <c r="M410" s="4"/>
    </row>
    <row r="411">
      <c r="M411" s="4"/>
    </row>
    <row r="412">
      <c r="M412" s="4"/>
    </row>
    <row r="413">
      <c r="M413" s="4"/>
    </row>
    <row r="414">
      <c r="M414" s="4"/>
    </row>
    <row r="415">
      <c r="M415" s="4"/>
    </row>
    <row r="416">
      <c r="M416" s="4"/>
    </row>
    <row r="417">
      <c r="M417" s="4"/>
    </row>
    <row r="418">
      <c r="M418" s="4"/>
    </row>
    <row r="419">
      <c r="M419" s="4"/>
    </row>
    <row r="420">
      <c r="M420" s="4"/>
    </row>
    <row r="421">
      <c r="M421" s="4"/>
    </row>
    <row r="422">
      <c r="M422" s="4"/>
    </row>
    <row r="423">
      <c r="M423" s="4"/>
    </row>
    <row r="424">
      <c r="M424" s="4"/>
    </row>
    <row r="425">
      <c r="M425" s="4"/>
    </row>
    <row r="426">
      <c r="M426" s="4"/>
    </row>
    <row r="427">
      <c r="M427" s="4"/>
    </row>
    <row r="428">
      <c r="M428" s="4"/>
    </row>
    <row r="429">
      <c r="M429" s="4"/>
    </row>
    <row r="430">
      <c r="M430" s="4"/>
    </row>
    <row r="431">
      <c r="M431" s="4"/>
    </row>
    <row r="432">
      <c r="M432" s="4"/>
    </row>
    <row r="433">
      <c r="M433" s="4"/>
    </row>
    <row r="434">
      <c r="M434" s="4"/>
    </row>
    <row r="435">
      <c r="M435" s="4"/>
    </row>
    <row r="436">
      <c r="M436" s="4"/>
    </row>
    <row r="437">
      <c r="M437" s="4"/>
    </row>
    <row r="438">
      <c r="M438" s="4"/>
    </row>
    <row r="439">
      <c r="M439" s="4"/>
    </row>
    <row r="440">
      <c r="M440" s="4"/>
    </row>
    <row r="441">
      <c r="M441" s="4"/>
    </row>
    <row r="442">
      <c r="M442" s="4"/>
    </row>
    <row r="443">
      <c r="M443" s="4"/>
    </row>
    <row r="444">
      <c r="M444" s="4"/>
    </row>
    <row r="445">
      <c r="M445" s="4"/>
    </row>
    <row r="446">
      <c r="M446" s="4"/>
    </row>
    <row r="447">
      <c r="M447" s="4"/>
    </row>
    <row r="448">
      <c r="M448" s="4"/>
    </row>
    <row r="449">
      <c r="M449" s="4"/>
    </row>
    <row r="450">
      <c r="M450" s="4"/>
    </row>
    <row r="451">
      <c r="M451" s="4"/>
    </row>
    <row r="452">
      <c r="M452" s="4"/>
    </row>
    <row r="453">
      <c r="M453" s="4"/>
    </row>
    <row r="454">
      <c r="M454" s="4"/>
    </row>
    <row r="455">
      <c r="M455" s="4"/>
    </row>
    <row r="456">
      <c r="M456" s="4"/>
    </row>
    <row r="457">
      <c r="M457" s="4"/>
    </row>
    <row r="458">
      <c r="M458" s="4"/>
    </row>
    <row r="459">
      <c r="M459" s="4"/>
    </row>
    <row r="460">
      <c r="M460" s="4"/>
    </row>
    <row r="461">
      <c r="M461" s="4"/>
    </row>
    <row r="462">
      <c r="M462" s="4"/>
    </row>
    <row r="463">
      <c r="M463" s="4"/>
    </row>
    <row r="464">
      <c r="M464" s="4"/>
    </row>
    <row r="465">
      <c r="M465" s="4"/>
    </row>
    <row r="466">
      <c r="M466" s="4"/>
    </row>
    <row r="467">
      <c r="M467" s="4"/>
    </row>
    <row r="468">
      <c r="M468" s="4"/>
    </row>
    <row r="469">
      <c r="M469" s="4"/>
    </row>
    <row r="470">
      <c r="M470" s="4"/>
    </row>
    <row r="471">
      <c r="M471" s="4"/>
    </row>
    <row r="472">
      <c r="M472" s="4"/>
    </row>
    <row r="473">
      <c r="M473" s="4"/>
    </row>
    <row r="474">
      <c r="M474" s="4"/>
    </row>
    <row r="475">
      <c r="M475" s="4"/>
    </row>
    <row r="476">
      <c r="M476" s="4"/>
    </row>
    <row r="477">
      <c r="M477" s="4"/>
    </row>
    <row r="478">
      <c r="M478" s="4"/>
    </row>
    <row r="479">
      <c r="M479" s="4"/>
    </row>
    <row r="480">
      <c r="M480" s="4"/>
    </row>
    <row r="481">
      <c r="M481" s="4"/>
    </row>
    <row r="482">
      <c r="M482" s="4"/>
    </row>
    <row r="483">
      <c r="M483" s="4"/>
    </row>
    <row r="484">
      <c r="M484" s="4"/>
    </row>
    <row r="485">
      <c r="M485" s="4"/>
    </row>
    <row r="486">
      <c r="M486" s="4"/>
    </row>
    <row r="487">
      <c r="M487" s="4"/>
    </row>
    <row r="488">
      <c r="M488" s="4"/>
    </row>
    <row r="489">
      <c r="M489" s="4"/>
    </row>
    <row r="490">
      <c r="M490" s="4"/>
    </row>
    <row r="491">
      <c r="M491" s="4"/>
    </row>
    <row r="492">
      <c r="M492" s="4"/>
    </row>
    <row r="493">
      <c r="M493" s="4"/>
    </row>
    <row r="494">
      <c r="M494" s="4"/>
    </row>
    <row r="495">
      <c r="M495" s="4"/>
    </row>
    <row r="496">
      <c r="M496" s="4"/>
    </row>
    <row r="497">
      <c r="M497" s="4"/>
    </row>
    <row r="498">
      <c r="M498" s="4"/>
    </row>
    <row r="499">
      <c r="M499" s="4"/>
    </row>
    <row r="500">
      <c r="M500" s="4"/>
    </row>
    <row r="501">
      <c r="M501" s="4"/>
    </row>
    <row r="502">
      <c r="M502" s="4"/>
    </row>
    <row r="503">
      <c r="M503" s="4"/>
    </row>
    <row r="504">
      <c r="M504" s="4"/>
    </row>
    <row r="505">
      <c r="M505" s="4"/>
    </row>
    <row r="506">
      <c r="M506" s="4"/>
    </row>
    <row r="507">
      <c r="M507" s="4"/>
    </row>
    <row r="508">
      <c r="M508" s="4"/>
    </row>
    <row r="509">
      <c r="M509" s="4"/>
    </row>
    <row r="510">
      <c r="M510" s="4"/>
    </row>
    <row r="511">
      <c r="M511" s="4"/>
    </row>
    <row r="512">
      <c r="M512" s="4"/>
    </row>
    <row r="513">
      <c r="M513" s="4"/>
    </row>
    <row r="514">
      <c r="M514" s="4"/>
    </row>
    <row r="515">
      <c r="M515" s="4"/>
    </row>
    <row r="516">
      <c r="M516" s="4"/>
    </row>
    <row r="517">
      <c r="M517" s="4"/>
    </row>
    <row r="518">
      <c r="M518" s="4"/>
    </row>
    <row r="519">
      <c r="M519" s="4"/>
    </row>
    <row r="520">
      <c r="M520" s="4"/>
    </row>
    <row r="521">
      <c r="M521" s="4"/>
    </row>
    <row r="522">
      <c r="M522" s="4"/>
    </row>
    <row r="523">
      <c r="M523" s="4"/>
    </row>
    <row r="524">
      <c r="M524" s="4"/>
    </row>
    <row r="525">
      <c r="M525" s="4"/>
    </row>
    <row r="526">
      <c r="M526" s="4"/>
    </row>
    <row r="527">
      <c r="M527" s="4"/>
    </row>
    <row r="528">
      <c r="M528" s="4"/>
    </row>
    <row r="529">
      <c r="M529" s="4"/>
    </row>
    <row r="530">
      <c r="M530" s="4"/>
    </row>
    <row r="531">
      <c r="M531" s="4"/>
    </row>
    <row r="532">
      <c r="M532" s="4"/>
    </row>
    <row r="533">
      <c r="M533" s="4"/>
    </row>
    <row r="534">
      <c r="M534" s="4"/>
    </row>
    <row r="535">
      <c r="M535" s="4"/>
    </row>
    <row r="536">
      <c r="M536" s="4"/>
    </row>
    <row r="537">
      <c r="M537" s="4"/>
    </row>
    <row r="538">
      <c r="M538" s="4"/>
    </row>
    <row r="539">
      <c r="M539" s="4"/>
    </row>
    <row r="540">
      <c r="M540" s="4"/>
    </row>
    <row r="541">
      <c r="M541" s="4"/>
    </row>
    <row r="542">
      <c r="M542" s="4"/>
    </row>
    <row r="543">
      <c r="M543" s="4"/>
    </row>
    <row r="544">
      <c r="M544" s="4"/>
    </row>
    <row r="545">
      <c r="M545" s="4"/>
    </row>
    <row r="546">
      <c r="M546" s="4"/>
    </row>
    <row r="547">
      <c r="M547" s="4"/>
    </row>
    <row r="548">
      <c r="M548" s="4"/>
    </row>
    <row r="549">
      <c r="M549" s="4"/>
    </row>
    <row r="550">
      <c r="M550" s="4"/>
    </row>
    <row r="551">
      <c r="M551" s="4"/>
    </row>
    <row r="552">
      <c r="M552" s="4"/>
    </row>
    <row r="553">
      <c r="M553" s="4"/>
    </row>
    <row r="554">
      <c r="M554" s="4"/>
    </row>
    <row r="555">
      <c r="M555" s="4"/>
    </row>
    <row r="556">
      <c r="M556" s="4"/>
    </row>
    <row r="557">
      <c r="M557" s="4"/>
    </row>
    <row r="558">
      <c r="M558" s="4"/>
    </row>
    <row r="559">
      <c r="M559" s="4"/>
    </row>
    <row r="560">
      <c r="M560" s="4"/>
    </row>
    <row r="561">
      <c r="M561" s="4"/>
    </row>
    <row r="562">
      <c r="M562" s="4"/>
    </row>
    <row r="563">
      <c r="M563" s="4"/>
    </row>
    <row r="564">
      <c r="M564" s="4"/>
    </row>
    <row r="565">
      <c r="M565" s="4"/>
    </row>
    <row r="566">
      <c r="M566" s="4"/>
    </row>
    <row r="567">
      <c r="M567" s="4"/>
    </row>
    <row r="568">
      <c r="M568" s="4"/>
    </row>
    <row r="569">
      <c r="M569" s="4"/>
    </row>
    <row r="570">
      <c r="M570" s="4"/>
    </row>
    <row r="571">
      <c r="M571" s="4"/>
    </row>
    <row r="572">
      <c r="M572" s="4"/>
    </row>
    <row r="573">
      <c r="M573" s="4"/>
    </row>
    <row r="574">
      <c r="M574" s="4"/>
    </row>
    <row r="575">
      <c r="M575" s="4"/>
    </row>
    <row r="576">
      <c r="M576" s="4"/>
    </row>
    <row r="577">
      <c r="M577" s="4"/>
    </row>
    <row r="578">
      <c r="M578" s="4"/>
    </row>
    <row r="579">
      <c r="M579" s="4"/>
    </row>
    <row r="580">
      <c r="M580" s="4"/>
    </row>
    <row r="581">
      <c r="M581" s="4"/>
    </row>
    <row r="582">
      <c r="M582" s="4"/>
    </row>
    <row r="583">
      <c r="M583" s="4"/>
    </row>
    <row r="584">
      <c r="M584" s="4"/>
    </row>
    <row r="585">
      <c r="M585" s="4"/>
    </row>
    <row r="586">
      <c r="M586" s="4"/>
    </row>
    <row r="587">
      <c r="M587" s="4"/>
    </row>
    <row r="588">
      <c r="M588" s="4"/>
    </row>
    <row r="589">
      <c r="M589" s="4"/>
    </row>
    <row r="590">
      <c r="M590" s="4"/>
    </row>
    <row r="591">
      <c r="M591" s="4"/>
    </row>
    <row r="592">
      <c r="M592" s="4"/>
    </row>
    <row r="593">
      <c r="M593" s="4"/>
    </row>
    <row r="594">
      <c r="M594" s="4"/>
    </row>
    <row r="595">
      <c r="M595" s="4"/>
    </row>
    <row r="596">
      <c r="M596" s="4"/>
    </row>
    <row r="597">
      <c r="M597" s="4"/>
    </row>
    <row r="598">
      <c r="M598" s="4"/>
    </row>
    <row r="599">
      <c r="M599" s="4"/>
    </row>
    <row r="600">
      <c r="M600" s="4"/>
    </row>
    <row r="601">
      <c r="M601" s="4"/>
    </row>
    <row r="602">
      <c r="M602" s="4"/>
    </row>
    <row r="603">
      <c r="M603" s="4"/>
    </row>
    <row r="604">
      <c r="M604" s="4"/>
    </row>
    <row r="605">
      <c r="M605" s="4"/>
    </row>
    <row r="606">
      <c r="M606" s="4"/>
    </row>
    <row r="607">
      <c r="M607" s="4"/>
    </row>
    <row r="608">
      <c r="M608" s="4"/>
    </row>
    <row r="609">
      <c r="M609" s="4"/>
    </row>
    <row r="610">
      <c r="M610" s="4"/>
    </row>
    <row r="611">
      <c r="M611" s="4"/>
    </row>
    <row r="612">
      <c r="M612" s="4"/>
    </row>
    <row r="613">
      <c r="M613" s="4"/>
    </row>
    <row r="614">
      <c r="M614" s="4"/>
    </row>
    <row r="615">
      <c r="M615" s="4"/>
    </row>
    <row r="616">
      <c r="M616" s="4"/>
    </row>
    <row r="617">
      <c r="M617" s="4"/>
    </row>
    <row r="618">
      <c r="M618" s="4"/>
    </row>
    <row r="619">
      <c r="M619" s="4"/>
    </row>
    <row r="620">
      <c r="M620" s="4"/>
    </row>
    <row r="621">
      <c r="M621" s="4"/>
    </row>
    <row r="622">
      <c r="M622" s="4"/>
    </row>
    <row r="623">
      <c r="M623" s="4"/>
    </row>
    <row r="624">
      <c r="M624" s="4"/>
    </row>
    <row r="625">
      <c r="M625" s="4"/>
    </row>
    <row r="626">
      <c r="M626" s="4"/>
    </row>
    <row r="627">
      <c r="M627" s="4"/>
    </row>
    <row r="628">
      <c r="M628" s="4"/>
    </row>
    <row r="629">
      <c r="M629" s="4"/>
    </row>
    <row r="630">
      <c r="M630" s="4"/>
    </row>
    <row r="631">
      <c r="M631" s="4"/>
    </row>
    <row r="632">
      <c r="M632" s="4"/>
    </row>
    <row r="633">
      <c r="M633" s="4"/>
    </row>
    <row r="634">
      <c r="M634" s="4"/>
    </row>
    <row r="635">
      <c r="M635" s="4"/>
    </row>
    <row r="636">
      <c r="M636" s="4"/>
    </row>
    <row r="637">
      <c r="M637" s="4"/>
    </row>
    <row r="638">
      <c r="M638" s="4"/>
    </row>
    <row r="639">
      <c r="M639" s="4"/>
    </row>
    <row r="640">
      <c r="M640" s="4"/>
    </row>
    <row r="641">
      <c r="M641" s="4"/>
    </row>
    <row r="642">
      <c r="M642" s="4"/>
    </row>
    <row r="643">
      <c r="M643" s="4"/>
    </row>
    <row r="644">
      <c r="M644" s="4"/>
    </row>
    <row r="645">
      <c r="M645" s="4"/>
    </row>
    <row r="646">
      <c r="M646" s="4"/>
    </row>
    <row r="647">
      <c r="M647" s="4"/>
    </row>
    <row r="648">
      <c r="M648" s="4"/>
    </row>
    <row r="649">
      <c r="M649" s="4"/>
    </row>
    <row r="650">
      <c r="M650" s="4"/>
    </row>
    <row r="651">
      <c r="M651" s="4"/>
    </row>
    <row r="652">
      <c r="M652" s="4"/>
    </row>
    <row r="653">
      <c r="M653" s="4"/>
    </row>
    <row r="654">
      <c r="M654" s="4"/>
    </row>
    <row r="655">
      <c r="M655" s="4"/>
    </row>
    <row r="656">
      <c r="M656" s="4"/>
    </row>
    <row r="657">
      <c r="M657" s="4"/>
    </row>
    <row r="658">
      <c r="M658" s="4"/>
    </row>
    <row r="659">
      <c r="M659" s="4"/>
    </row>
    <row r="660">
      <c r="M660" s="4"/>
    </row>
    <row r="661">
      <c r="M661" s="4"/>
    </row>
    <row r="662">
      <c r="M662" s="4"/>
    </row>
    <row r="663">
      <c r="M663" s="4"/>
    </row>
    <row r="664">
      <c r="M664" s="4"/>
    </row>
    <row r="665">
      <c r="M665" s="4"/>
    </row>
    <row r="666">
      <c r="M666" s="4"/>
    </row>
    <row r="667">
      <c r="M667" s="4"/>
    </row>
    <row r="668">
      <c r="M668" s="4"/>
    </row>
    <row r="669">
      <c r="M669" s="4"/>
    </row>
    <row r="670">
      <c r="M670" s="4"/>
    </row>
    <row r="671">
      <c r="M671" s="4"/>
    </row>
    <row r="672">
      <c r="M672" s="4"/>
    </row>
    <row r="673">
      <c r="M673" s="4"/>
    </row>
    <row r="674">
      <c r="M674" s="4"/>
    </row>
    <row r="675">
      <c r="M675" s="4"/>
    </row>
    <row r="676">
      <c r="M676" s="4"/>
    </row>
    <row r="677">
      <c r="M677" s="4"/>
    </row>
    <row r="678">
      <c r="M678" s="4"/>
    </row>
    <row r="679">
      <c r="M679" s="4"/>
    </row>
    <row r="680">
      <c r="M680" s="4"/>
    </row>
    <row r="681">
      <c r="M681" s="4"/>
    </row>
    <row r="682">
      <c r="M682" s="4"/>
    </row>
    <row r="683">
      <c r="M683" s="4"/>
    </row>
    <row r="684">
      <c r="M684" s="4"/>
    </row>
    <row r="685">
      <c r="M685" s="4"/>
    </row>
    <row r="686">
      <c r="M686" s="4"/>
    </row>
    <row r="687">
      <c r="M687" s="4"/>
    </row>
    <row r="688">
      <c r="M688" s="4"/>
    </row>
    <row r="689">
      <c r="M689" s="4"/>
    </row>
    <row r="690">
      <c r="M690" s="4"/>
    </row>
    <row r="691">
      <c r="M691" s="4"/>
    </row>
    <row r="692">
      <c r="M692" s="4"/>
    </row>
    <row r="693">
      <c r="M693" s="4"/>
    </row>
    <row r="694">
      <c r="M694" s="4"/>
    </row>
    <row r="695">
      <c r="M695" s="4"/>
    </row>
    <row r="696">
      <c r="M696" s="4"/>
    </row>
    <row r="697">
      <c r="M697" s="4"/>
    </row>
    <row r="698">
      <c r="M698" s="4"/>
    </row>
    <row r="699">
      <c r="M699" s="4"/>
    </row>
    <row r="700">
      <c r="M700" s="4"/>
    </row>
    <row r="701">
      <c r="M701" s="4"/>
    </row>
    <row r="702">
      <c r="M702" s="4"/>
    </row>
    <row r="703">
      <c r="M703" s="4"/>
    </row>
    <row r="704">
      <c r="M704" s="4"/>
    </row>
    <row r="705">
      <c r="M705" s="4"/>
    </row>
    <row r="706">
      <c r="M706" s="4"/>
    </row>
    <row r="707">
      <c r="M707" s="4"/>
    </row>
    <row r="708">
      <c r="M708" s="4"/>
    </row>
    <row r="709">
      <c r="M709" s="4"/>
    </row>
    <row r="710">
      <c r="M710" s="4"/>
    </row>
    <row r="711">
      <c r="M711" s="4"/>
    </row>
    <row r="712">
      <c r="M712" s="4"/>
    </row>
    <row r="713">
      <c r="M713" s="4"/>
    </row>
    <row r="714">
      <c r="M714" s="4"/>
    </row>
    <row r="715">
      <c r="M715" s="4"/>
    </row>
    <row r="716">
      <c r="M716" s="4"/>
    </row>
    <row r="717">
      <c r="M717" s="4"/>
    </row>
    <row r="718">
      <c r="M718" s="4"/>
    </row>
    <row r="719">
      <c r="M719" s="4"/>
    </row>
    <row r="720">
      <c r="M720" s="4"/>
    </row>
    <row r="721">
      <c r="M721" s="4"/>
    </row>
    <row r="722">
      <c r="M722" s="4"/>
    </row>
    <row r="723">
      <c r="M723" s="4"/>
    </row>
    <row r="724">
      <c r="M724" s="4"/>
    </row>
    <row r="725">
      <c r="M725" s="4"/>
    </row>
    <row r="726">
      <c r="M726" s="4"/>
    </row>
    <row r="727">
      <c r="M727" s="4"/>
    </row>
    <row r="728">
      <c r="M728" s="4"/>
    </row>
    <row r="729">
      <c r="M729" s="4"/>
    </row>
    <row r="730">
      <c r="M730" s="4"/>
    </row>
    <row r="731">
      <c r="M731" s="4"/>
    </row>
    <row r="732">
      <c r="M732" s="4"/>
    </row>
    <row r="733">
      <c r="M733" s="4"/>
    </row>
    <row r="734">
      <c r="M734" s="4"/>
    </row>
    <row r="735">
      <c r="M735" s="4"/>
    </row>
    <row r="736">
      <c r="M736" s="4"/>
    </row>
    <row r="737">
      <c r="M737" s="4"/>
    </row>
    <row r="738">
      <c r="M738" s="4"/>
    </row>
    <row r="739">
      <c r="M739" s="4"/>
    </row>
    <row r="740">
      <c r="M740" s="4"/>
    </row>
    <row r="741">
      <c r="M741" s="4"/>
    </row>
    <row r="742">
      <c r="M742" s="4"/>
    </row>
    <row r="743">
      <c r="M743" s="4"/>
    </row>
    <row r="744">
      <c r="M744" s="4"/>
    </row>
    <row r="745">
      <c r="M745" s="4"/>
    </row>
    <row r="746">
      <c r="M746" s="4"/>
    </row>
    <row r="747">
      <c r="M747" s="4"/>
    </row>
    <row r="748">
      <c r="M748" s="4"/>
    </row>
    <row r="749">
      <c r="M749" s="4"/>
    </row>
    <row r="750">
      <c r="M750" s="4"/>
    </row>
    <row r="751">
      <c r="M751" s="4"/>
    </row>
    <row r="752">
      <c r="M752" s="4"/>
    </row>
    <row r="753">
      <c r="M753" s="4"/>
    </row>
    <row r="754">
      <c r="M754" s="4"/>
    </row>
    <row r="755">
      <c r="M755" s="4"/>
    </row>
    <row r="756">
      <c r="M756" s="4"/>
    </row>
    <row r="757">
      <c r="M757" s="4"/>
    </row>
    <row r="758">
      <c r="M758" s="4"/>
    </row>
    <row r="759">
      <c r="M759" s="4"/>
    </row>
    <row r="760">
      <c r="M760" s="4"/>
    </row>
    <row r="761">
      <c r="M761" s="4"/>
    </row>
    <row r="762">
      <c r="M762" s="4"/>
    </row>
    <row r="763">
      <c r="M763" s="4"/>
    </row>
    <row r="764">
      <c r="M764" s="4"/>
    </row>
    <row r="765">
      <c r="M765" s="4"/>
    </row>
    <row r="766">
      <c r="M766" s="4"/>
    </row>
    <row r="767">
      <c r="M767" s="4"/>
    </row>
    <row r="768">
      <c r="M768" s="4"/>
    </row>
    <row r="769">
      <c r="M769" s="4"/>
    </row>
    <row r="770">
      <c r="M770" s="4"/>
    </row>
    <row r="771">
      <c r="M771" s="4"/>
    </row>
    <row r="772">
      <c r="M772" s="4"/>
    </row>
    <row r="773">
      <c r="M773" s="4"/>
    </row>
    <row r="774">
      <c r="M774" s="4"/>
    </row>
    <row r="775">
      <c r="M775" s="4"/>
    </row>
    <row r="776">
      <c r="M776" s="4"/>
    </row>
    <row r="777">
      <c r="M777" s="4"/>
    </row>
    <row r="778">
      <c r="M778" s="4"/>
    </row>
    <row r="779">
      <c r="M779" s="4"/>
    </row>
    <row r="780">
      <c r="M780" s="4"/>
    </row>
    <row r="781">
      <c r="M781" s="4"/>
    </row>
    <row r="782">
      <c r="M782" s="4"/>
    </row>
    <row r="783">
      <c r="M783" s="4"/>
    </row>
    <row r="784">
      <c r="M784" s="4"/>
    </row>
    <row r="785">
      <c r="M785" s="4"/>
    </row>
    <row r="786">
      <c r="M786" s="4"/>
    </row>
    <row r="787">
      <c r="M787" s="4"/>
    </row>
    <row r="788">
      <c r="M788" s="4"/>
    </row>
    <row r="789">
      <c r="M789" s="4"/>
    </row>
    <row r="790">
      <c r="M790" s="4"/>
    </row>
    <row r="791">
      <c r="M791" s="4"/>
    </row>
    <row r="792">
      <c r="M792" s="4"/>
    </row>
    <row r="793">
      <c r="M793" s="4"/>
    </row>
    <row r="794">
      <c r="M794" s="4"/>
    </row>
    <row r="795">
      <c r="M795" s="4"/>
    </row>
    <row r="796">
      <c r="M796" s="4"/>
    </row>
    <row r="797">
      <c r="M797" s="4"/>
    </row>
    <row r="798">
      <c r="M798" s="4"/>
    </row>
    <row r="799">
      <c r="M799" s="4"/>
    </row>
    <row r="800">
      <c r="M800" s="4"/>
    </row>
    <row r="801">
      <c r="M801" s="4"/>
    </row>
    <row r="802">
      <c r="M802" s="4"/>
    </row>
    <row r="803">
      <c r="M803" s="4"/>
    </row>
    <row r="804">
      <c r="M804" s="4"/>
    </row>
    <row r="805">
      <c r="M805" s="4"/>
    </row>
    <row r="806">
      <c r="M806" s="4"/>
    </row>
    <row r="807">
      <c r="M807" s="4"/>
    </row>
    <row r="808">
      <c r="M808" s="4"/>
    </row>
    <row r="809">
      <c r="M809" s="4"/>
    </row>
    <row r="810">
      <c r="M810" s="4"/>
    </row>
    <row r="811">
      <c r="M811" s="4"/>
    </row>
    <row r="812">
      <c r="M812" s="4"/>
    </row>
    <row r="813">
      <c r="M813" s="4"/>
    </row>
    <row r="814">
      <c r="M814" s="4"/>
    </row>
    <row r="815">
      <c r="M815" s="4"/>
    </row>
    <row r="816">
      <c r="M816" s="4"/>
    </row>
    <row r="817">
      <c r="M817" s="4"/>
    </row>
    <row r="818">
      <c r="M818" s="4"/>
    </row>
    <row r="819">
      <c r="M819" s="4"/>
    </row>
    <row r="820">
      <c r="M820" s="4"/>
    </row>
    <row r="821">
      <c r="M821" s="4"/>
    </row>
    <row r="822">
      <c r="M822" s="4"/>
    </row>
    <row r="823">
      <c r="M823" s="4"/>
    </row>
    <row r="824">
      <c r="M824" s="4"/>
    </row>
    <row r="825">
      <c r="M825" s="4"/>
    </row>
    <row r="826">
      <c r="M826" s="4"/>
    </row>
    <row r="827">
      <c r="M827" s="4"/>
    </row>
    <row r="828">
      <c r="M828" s="4"/>
    </row>
    <row r="829">
      <c r="M829" s="4"/>
    </row>
    <row r="830">
      <c r="M830" s="4"/>
    </row>
    <row r="831">
      <c r="M831" s="4"/>
    </row>
    <row r="832">
      <c r="M832" s="4"/>
    </row>
    <row r="833">
      <c r="M833" s="4"/>
    </row>
    <row r="834">
      <c r="M834" s="4"/>
    </row>
    <row r="835">
      <c r="M835" s="4"/>
    </row>
    <row r="836">
      <c r="M836" s="4"/>
    </row>
    <row r="837">
      <c r="M837" s="4"/>
    </row>
    <row r="838">
      <c r="M838" s="4"/>
    </row>
    <row r="839">
      <c r="M839" s="4"/>
    </row>
    <row r="840">
      <c r="M840" s="4"/>
    </row>
    <row r="841">
      <c r="M841" s="4"/>
    </row>
    <row r="842">
      <c r="M842" s="4"/>
    </row>
    <row r="843">
      <c r="M843" s="4"/>
    </row>
    <row r="844">
      <c r="M844" s="4"/>
    </row>
    <row r="845">
      <c r="M845" s="4"/>
    </row>
    <row r="846">
      <c r="M846" s="4"/>
    </row>
    <row r="847">
      <c r="M847" s="4"/>
    </row>
    <row r="848">
      <c r="M848" s="4"/>
    </row>
    <row r="849">
      <c r="M849" s="4"/>
    </row>
    <row r="850">
      <c r="M850" s="4"/>
    </row>
    <row r="851">
      <c r="M851" s="4"/>
    </row>
    <row r="852">
      <c r="M852" s="4"/>
    </row>
    <row r="853">
      <c r="M853" s="4"/>
    </row>
    <row r="854">
      <c r="M854" s="4"/>
    </row>
    <row r="855">
      <c r="M855" s="4"/>
    </row>
    <row r="856">
      <c r="M856" s="4"/>
    </row>
    <row r="857">
      <c r="M857" s="4"/>
    </row>
    <row r="858">
      <c r="M858" s="4"/>
    </row>
    <row r="859">
      <c r="M859" s="4"/>
    </row>
    <row r="860">
      <c r="M860" s="4"/>
    </row>
    <row r="861">
      <c r="M861" s="4"/>
    </row>
    <row r="862">
      <c r="M862" s="4"/>
    </row>
    <row r="863">
      <c r="M863" s="4"/>
    </row>
    <row r="864">
      <c r="M864" s="4"/>
    </row>
    <row r="865">
      <c r="M865" s="4"/>
    </row>
    <row r="866">
      <c r="M866" s="4"/>
    </row>
    <row r="867">
      <c r="M867" s="4"/>
    </row>
    <row r="868">
      <c r="M868" s="4"/>
    </row>
    <row r="869">
      <c r="M869" s="4"/>
    </row>
    <row r="870">
      <c r="M870" s="4"/>
    </row>
    <row r="871">
      <c r="M871" s="4"/>
    </row>
    <row r="872">
      <c r="M872" s="4"/>
    </row>
    <row r="873">
      <c r="M873" s="4"/>
    </row>
    <row r="874">
      <c r="M874" s="4"/>
    </row>
    <row r="875">
      <c r="M875" s="4"/>
    </row>
    <row r="876">
      <c r="M876" s="4"/>
    </row>
    <row r="877">
      <c r="M877" s="4"/>
    </row>
    <row r="878">
      <c r="M878" s="4"/>
    </row>
    <row r="879">
      <c r="M879" s="4"/>
    </row>
    <row r="880">
      <c r="M880" s="4"/>
    </row>
    <row r="881">
      <c r="M881" s="4"/>
    </row>
    <row r="882">
      <c r="M882" s="4"/>
    </row>
    <row r="883">
      <c r="M883" s="4"/>
    </row>
    <row r="884">
      <c r="M884" s="4"/>
    </row>
    <row r="885">
      <c r="M885" s="4"/>
    </row>
    <row r="886">
      <c r="M886" s="4"/>
    </row>
    <row r="887">
      <c r="M887" s="4"/>
    </row>
    <row r="888">
      <c r="M888" s="4"/>
    </row>
    <row r="889">
      <c r="M889" s="4"/>
    </row>
    <row r="890">
      <c r="M890" s="4"/>
    </row>
    <row r="891">
      <c r="M891" s="4"/>
    </row>
    <row r="892">
      <c r="M892" s="4"/>
    </row>
    <row r="893">
      <c r="M893" s="4"/>
    </row>
    <row r="894">
      <c r="M894" s="4"/>
    </row>
    <row r="895">
      <c r="M895" s="4"/>
    </row>
    <row r="896">
      <c r="M896" s="4"/>
    </row>
    <row r="897">
      <c r="M897" s="4"/>
    </row>
    <row r="898">
      <c r="M898" s="4"/>
    </row>
    <row r="899">
      <c r="M899" s="4"/>
    </row>
    <row r="900">
      <c r="M900" s="4"/>
    </row>
    <row r="901">
      <c r="M901" s="4"/>
    </row>
    <row r="902">
      <c r="M902" s="4"/>
    </row>
    <row r="903">
      <c r="M903" s="4"/>
    </row>
    <row r="904">
      <c r="M904" s="4"/>
    </row>
    <row r="905">
      <c r="M905" s="4"/>
    </row>
    <row r="906">
      <c r="M906" s="4"/>
    </row>
    <row r="907">
      <c r="M907" s="4"/>
    </row>
    <row r="908">
      <c r="M908" s="4"/>
    </row>
    <row r="909">
      <c r="M909" s="4"/>
    </row>
    <row r="910">
      <c r="M910" s="4"/>
    </row>
    <row r="911">
      <c r="M911" s="4"/>
    </row>
    <row r="912">
      <c r="M912" s="4"/>
    </row>
    <row r="913">
      <c r="M913" s="4"/>
    </row>
    <row r="914">
      <c r="M914" s="4"/>
    </row>
    <row r="915">
      <c r="M915" s="4"/>
    </row>
    <row r="916">
      <c r="M916" s="4"/>
    </row>
    <row r="917">
      <c r="M917" s="4"/>
    </row>
    <row r="918">
      <c r="M918" s="4"/>
    </row>
    <row r="919">
      <c r="M919" s="4"/>
    </row>
    <row r="920">
      <c r="M920" s="4"/>
    </row>
    <row r="921">
      <c r="M921" s="4"/>
    </row>
    <row r="922">
      <c r="M922" s="4"/>
    </row>
    <row r="923">
      <c r="M923" s="4"/>
    </row>
    <row r="924">
      <c r="M924" s="4"/>
    </row>
    <row r="925">
      <c r="M925" s="4"/>
    </row>
    <row r="926">
      <c r="M926" s="4"/>
    </row>
    <row r="927">
      <c r="M927" s="4"/>
    </row>
    <row r="928">
      <c r="M928" s="4"/>
    </row>
    <row r="929">
      <c r="M929" s="4"/>
    </row>
    <row r="930">
      <c r="M930" s="4"/>
    </row>
    <row r="931">
      <c r="M931" s="4"/>
    </row>
    <row r="932">
      <c r="M932" s="4"/>
    </row>
    <row r="933">
      <c r="M933" s="4"/>
    </row>
    <row r="934">
      <c r="M934" s="4"/>
    </row>
    <row r="935">
      <c r="M935" s="4"/>
    </row>
    <row r="936">
      <c r="M936" s="4"/>
    </row>
    <row r="937">
      <c r="M937" s="4"/>
    </row>
    <row r="938">
      <c r="M938" s="4"/>
    </row>
    <row r="939">
      <c r="M939" s="4"/>
    </row>
    <row r="940">
      <c r="M940" s="4"/>
    </row>
    <row r="941">
      <c r="M941" s="4"/>
    </row>
    <row r="942">
      <c r="M942" s="4"/>
    </row>
    <row r="943">
      <c r="M943" s="4"/>
    </row>
    <row r="944">
      <c r="M944" s="4"/>
    </row>
    <row r="945">
      <c r="M945" s="4"/>
    </row>
    <row r="946">
      <c r="M946" s="4"/>
    </row>
    <row r="947">
      <c r="M947" s="4"/>
    </row>
    <row r="948">
      <c r="M948" s="4"/>
    </row>
    <row r="949">
      <c r="M949" s="4"/>
    </row>
    <row r="950">
      <c r="M950" s="4"/>
    </row>
    <row r="951">
      <c r="M951" s="4"/>
    </row>
    <row r="952">
      <c r="M952" s="4"/>
    </row>
    <row r="953">
      <c r="M953" s="4"/>
    </row>
    <row r="954">
      <c r="M954" s="4"/>
    </row>
    <row r="955">
      <c r="M955" s="4"/>
    </row>
    <row r="956">
      <c r="M956" s="4"/>
    </row>
    <row r="957">
      <c r="M957" s="4"/>
    </row>
    <row r="958">
      <c r="M958" s="4"/>
    </row>
    <row r="959">
      <c r="M959" s="4"/>
    </row>
    <row r="960">
      <c r="M960" s="4"/>
    </row>
    <row r="961">
      <c r="M961" s="4"/>
    </row>
    <row r="962">
      <c r="M962" s="4"/>
    </row>
    <row r="963">
      <c r="M963" s="4"/>
    </row>
    <row r="964">
      <c r="M964" s="4"/>
    </row>
    <row r="965">
      <c r="M965" s="4"/>
    </row>
    <row r="966">
      <c r="M966" s="4"/>
    </row>
    <row r="967">
      <c r="M967" s="4"/>
    </row>
    <row r="968">
      <c r="M968" s="4"/>
    </row>
    <row r="969">
      <c r="M969" s="4"/>
    </row>
    <row r="970">
      <c r="M970" s="4"/>
    </row>
    <row r="971">
      <c r="M971" s="4"/>
    </row>
    <row r="972">
      <c r="M972" s="4"/>
    </row>
    <row r="973">
      <c r="M973" s="4"/>
    </row>
    <row r="974">
      <c r="M974" s="4"/>
    </row>
    <row r="975">
      <c r="M975" s="4"/>
    </row>
    <row r="976">
      <c r="M976" s="4"/>
    </row>
    <row r="977">
      <c r="M977" s="4"/>
    </row>
    <row r="978">
      <c r="M978" s="4"/>
    </row>
    <row r="979">
      <c r="M979" s="4"/>
    </row>
    <row r="980">
      <c r="M980" s="4"/>
    </row>
    <row r="981">
      <c r="M981" s="4"/>
    </row>
    <row r="982">
      <c r="M982" s="4"/>
    </row>
    <row r="983">
      <c r="M983" s="4"/>
    </row>
    <row r="984">
      <c r="M984" s="4"/>
    </row>
    <row r="985">
      <c r="M985" s="4"/>
    </row>
    <row r="986">
      <c r="M986" s="4"/>
    </row>
    <row r="987">
      <c r="M987" s="4"/>
    </row>
    <row r="988">
      <c r="M988" s="4"/>
    </row>
    <row r="989">
      <c r="M989" s="4"/>
    </row>
    <row r="990">
      <c r="M990" s="4"/>
    </row>
    <row r="991">
      <c r="M991" s="4"/>
    </row>
    <row r="992">
      <c r="M992" s="4"/>
    </row>
    <row r="993">
      <c r="M993" s="4"/>
    </row>
    <row r="994">
      <c r="M994" s="4"/>
    </row>
    <row r="995">
      <c r="M995" s="4"/>
    </row>
    <row r="996">
      <c r="M996" s="4"/>
    </row>
    <row r="997">
      <c r="M997" s="4"/>
    </row>
    <row r="998">
      <c r="M998" s="4"/>
    </row>
    <row r="999">
      <c r="M999" s="4"/>
    </row>
    <row r="1000">
      <c r="M1000" s="4"/>
    </row>
    <row r="1001">
      <c r="M1001" s="4"/>
    </row>
    <row r="1002">
      <c r="M1002" s="4"/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1.0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1550000</v>
      </c>
      <c r="R9" s="116">
        <f>DATE($C$3,$D$3,1)-WEEKDAY(DATE($C$3,$D$3,1))+1</f>
        <v>45655</v>
      </c>
      <c r="S9" s="117">
        <f t="shared" ref="S9:X9" si="1">R9 + 1</f>
        <v>45656</v>
      </c>
      <c r="T9" s="118">
        <f t="shared" si="1"/>
        <v>45657</v>
      </c>
      <c r="U9" s="118">
        <f t="shared" si="1"/>
        <v>45658</v>
      </c>
      <c r="V9" s="118">
        <f t="shared" si="1"/>
        <v>45659</v>
      </c>
      <c r="W9" s="118">
        <f t="shared" si="1"/>
        <v>45660</v>
      </c>
      <c r="X9" s="119">
        <f t="shared" si="1"/>
        <v>45661</v>
      </c>
      <c r="Y9" s="120"/>
      <c r="AB9" s="121" t="str">
        <f>$H$25</f>
        <v>🍪고정비</v>
      </c>
      <c r="AC9" s="122">
        <f>$K$31</f>
        <v>297392</v>
      </c>
      <c r="AD9" s="123">
        <f t="shared" ref="AD9:AD20" si="4">_xlfn.RANK.EQ(AC9,$AB$9:$AC$20,0) + ROW(AB1)/10000</f>
        <v>6.0001</v>
      </c>
      <c r="AE9" s="123">
        <f t="shared" ref="AE9:AE20" si="5">SMALL($AD$9:$AD$20, ROW(AB1))</f>
        <v>1.0012</v>
      </c>
      <c r="AF9" s="123" t="str">
        <f t="shared" ref="AF9:AF20" si="6">INDEX($AB$9:$AB$20,MATCH(AE9,$AD$9:$AD$20,0))</f>
        <v>🐻 이벤트성</v>
      </c>
      <c r="AG9" s="122">
        <f t="shared" ref="AG9:AG20" si="7">INDEX($AC$9:$AC$20,MATCH(AE9,$AD$9:$AD$20,0))</f>
        <v>2438940</v>
      </c>
    </row>
    <row r="10">
      <c r="E10" s="114" t="s">
        <v>55</v>
      </c>
      <c r="F10" s="115">
        <f t="shared" si="2"/>
        <v>1734978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53400</v>
      </c>
      <c r="V10" s="126">
        <f t="shared" si="3"/>
        <v>106100</v>
      </c>
      <c r="W10" s="126">
        <f t="shared" si="3"/>
        <v>126000</v>
      </c>
      <c r="X10" s="126">
        <f t="shared" si="3"/>
        <v>16666</v>
      </c>
      <c r="Y10" s="126">
        <f>SUM(R10:X10)</f>
        <v>302166</v>
      </c>
      <c r="AB10" s="121" t="str">
        <f>$H$33</f>
        <v>🐻고정비</v>
      </c>
      <c r="AC10" s="122">
        <f>$K$39</f>
        <v>212060</v>
      </c>
      <c r="AD10" s="123">
        <f t="shared" si="4"/>
        <v>9.0002</v>
      </c>
      <c r="AE10" s="123">
        <f t="shared" si="5"/>
        <v>2.0011</v>
      </c>
      <c r="AF10" s="123" t="str">
        <f t="shared" si="6"/>
        <v>🍪이벤트성</v>
      </c>
      <c r="AG10" s="122">
        <f t="shared" si="7"/>
        <v>2378146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21394</v>
      </c>
      <c r="R11" s="127">
        <f t="shared" ref="R11:X11" si="8">R9 + 7</f>
        <v>45662</v>
      </c>
      <c r="S11" s="128">
        <f t="shared" si="8"/>
        <v>45663</v>
      </c>
      <c r="T11" s="117">
        <f t="shared" si="8"/>
        <v>45664</v>
      </c>
      <c r="U11" s="117">
        <f t="shared" si="8"/>
        <v>45665</v>
      </c>
      <c r="V11" s="118">
        <f t="shared" si="8"/>
        <v>45666</v>
      </c>
      <c r="W11" s="129">
        <f t="shared" si="8"/>
        <v>45667</v>
      </c>
      <c r="X11" s="130">
        <f t="shared" si="8"/>
        <v>45668</v>
      </c>
      <c r="Y11" s="131"/>
      <c r="AB11" s="121" t="str">
        <f>$H$41</f>
        <v>🍪생필품</v>
      </c>
      <c r="AC11" s="122">
        <f>$K$47</f>
        <v>456010</v>
      </c>
      <c r="AD11" s="123">
        <f t="shared" si="4"/>
        <v>4.0003</v>
      </c>
      <c r="AE11" s="123">
        <f t="shared" si="5"/>
        <v>3.0005</v>
      </c>
      <c r="AF11" s="123" t="str">
        <f t="shared" si="6"/>
        <v>🍪식비</v>
      </c>
      <c r="AG11" s="122">
        <f t="shared" si="7"/>
        <v>873552</v>
      </c>
    </row>
    <row r="12">
      <c r="C12" s="132" t="s">
        <v>136</v>
      </c>
      <c r="D12" s="133">
        <f>F33</f>
        <v>10192950</v>
      </c>
      <c r="E12" s="114" t="s">
        <v>57</v>
      </c>
      <c r="F12" s="115">
        <f t="shared" si="2"/>
        <v>1524956</v>
      </c>
      <c r="R12" s="134">
        <f t="shared" ref="R12:X12" si="9">SUMIFS($K$62:$K$500,$H$62:$H$500,R11,$I$62:$I$500,"&lt;&gt;수입",$I$62:$I$500,"&lt;&gt;저축")</f>
        <v>83000</v>
      </c>
      <c r="S12" s="135">
        <f t="shared" si="9"/>
        <v>97250</v>
      </c>
      <c r="T12" s="136">
        <f t="shared" si="9"/>
        <v>74726</v>
      </c>
      <c r="U12" s="136">
        <f t="shared" si="9"/>
        <v>183800</v>
      </c>
      <c r="V12" s="134">
        <f t="shared" si="9"/>
        <v>147970</v>
      </c>
      <c r="W12" s="137">
        <f t="shared" si="9"/>
        <v>989300</v>
      </c>
      <c r="X12" s="137">
        <f t="shared" si="9"/>
        <v>167780</v>
      </c>
      <c r="Y12" s="137">
        <f>SUM(R12:X12)</f>
        <v>1743826</v>
      </c>
      <c r="AB12" s="121" t="str">
        <f>$H$49</f>
        <v>🐻생필품</v>
      </c>
      <c r="AC12" s="122">
        <f>$K$55</f>
        <v>345480</v>
      </c>
      <c r="AD12" s="123">
        <f t="shared" si="4"/>
        <v>5.0004</v>
      </c>
      <c r="AE12" s="123">
        <f t="shared" si="5"/>
        <v>4.0003</v>
      </c>
      <c r="AF12" s="123" t="str">
        <f t="shared" si="6"/>
        <v>🍪생필품</v>
      </c>
      <c r="AG12" s="122">
        <f t="shared" si="7"/>
        <v>456010</v>
      </c>
    </row>
    <row r="13">
      <c r="C13" s="46"/>
      <c r="D13" s="138"/>
      <c r="E13" s="114" t="s">
        <v>58</v>
      </c>
      <c r="F13" s="115">
        <f t="shared" si="2"/>
        <v>576222</v>
      </c>
      <c r="I13" s="94"/>
      <c r="J13" s="94"/>
      <c r="R13" s="127">
        <f t="shared" ref="R13:X13" si="10">R11+7</f>
        <v>45669</v>
      </c>
      <c r="S13" s="128">
        <f t="shared" si="10"/>
        <v>45670</v>
      </c>
      <c r="T13" s="117">
        <f t="shared" si="10"/>
        <v>45671</v>
      </c>
      <c r="U13" s="117">
        <f t="shared" si="10"/>
        <v>45672</v>
      </c>
      <c r="V13" s="118">
        <f t="shared" si="10"/>
        <v>45673</v>
      </c>
      <c r="W13" s="129">
        <f t="shared" si="10"/>
        <v>45674</v>
      </c>
      <c r="X13" s="130">
        <f t="shared" si="10"/>
        <v>45675</v>
      </c>
      <c r="Y13" s="131"/>
      <c r="AB13" s="121" t="str">
        <f>$M$25</f>
        <v>🍪식비</v>
      </c>
      <c r="AC13" s="122">
        <f>$P$31</f>
        <v>873552</v>
      </c>
      <c r="AD13" s="123">
        <f t="shared" si="4"/>
        <v>3.0005</v>
      </c>
      <c r="AE13" s="123">
        <f t="shared" si="5"/>
        <v>5.0004</v>
      </c>
      <c r="AF13" s="123" t="str">
        <f t="shared" si="6"/>
        <v>🐻생필품</v>
      </c>
      <c r="AG13" s="122">
        <f t="shared" si="7"/>
        <v>345480</v>
      </c>
    </row>
    <row r="14">
      <c r="C14" s="132" t="s">
        <v>137</v>
      </c>
      <c r="D14" s="133">
        <f>SUM($K$31+$K$39+$K$47+$K$55+$P$31+$P$39+$P$47+$P$55+X31+X39+X47+X55)</f>
        <v>7872976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355800</v>
      </c>
      <c r="S14" s="135">
        <f t="shared" si="11"/>
        <v>9000</v>
      </c>
      <c r="T14" s="136">
        <f t="shared" si="11"/>
        <v>139920</v>
      </c>
      <c r="U14" s="136">
        <f t="shared" si="11"/>
        <v>3729220</v>
      </c>
      <c r="V14" s="134">
        <f t="shared" si="11"/>
        <v>132002</v>
      </c>
      <c r="W14" s="137">
        <f t="shared" si="11"/>
        <v>290270</v>
      </c>
      <c r="X14" s="137">
        <f t="shared" si="11"/>
        <v>69750</v>
      </c>
      <c r="Y14" s="137">
        <f>SUM(R14:X14)</f>
        <v>4725962</v>
      </c>
      <c r="AB14" s="121" t="str">
        <f>$M$33</f>
        <v>🐻식비</v>
      </c>
      <c r="AC14" s="122">
        <f>$P$39</f>
        <v>224700</v>
      </c>
      <c r="AD14" s="123">
        <f t="shared" si="4"/>
        <v>8.0006</v>
      </c>
      <c r="AE14" s="123">
        <f t="shared" si="5"/>
        <v>6.0001</v>
      </c>
      <c r="AF14" s="123" t="str">
        <f t="shared" si="6"/>
        <v>🍪고정비</v>
      </c>
      <c r="AG14" s="122">
        <f t="shared" si="7"/>
        <v>297392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45676</v>
      </c>
      <c r="S15" s="128">
        <f t="shared" si="12"/>
        <v>45677</v>
      </c>
      <c r="T15" s="117">
        <f t="shared" si="12"/>
        <v>45678</v>
      </c>
      <c r="U15" s="117">
        <f t="shared" si="12"/>
        <v>45679</v>
      </c>
      <c r="V15" s="118">
        <f t="shared" si="12"/>
        <v>45680</v>
      </c>
      <c r="W15" s="129">
        <f t="shared" si="12"/>
        <v>45681</v>
      </c>
      <c r="X15" s="130">
        <f t="shared" si="12"/>
        <v>45682</v>
      </c>
      <c r="Y15" s="131"/>
      <c r="AB15" s="121" t="str">
        <f>$M$41</f>
        <v>🍪여가비</v>
      </c>
      <c r="AC15" s="122">
        <f>$P$47</f>
        <v>292090</v>
      </c>
      <c r="AD15" s="123">
        <f t="shared" si="4"/>
        <v>7.0007</v>
      </c>
      <c r="AE15" s="123">
        <f t="shared" si="5"/>
        <v>7.0007</v>
      </c>
      <c r="AF15" s="123" t="str">
        <f t="shared" si="6"/>
        <v>🍪여가비</v>
      </c>
      <c r="AG15" s="122">
        <f t="shared" si="7"/>
        <v>292090</v>
      </c>
    </row>
    <row r="16">
      <c r="C16" s="132" t="s">
        <v>138</v>
      </c>
      <c r="D16" s="133">
        <f>F43</f>
        <v>3200000</v>
      </c>
      <c r="E16" s="114" t="s">
        <v>61</v>
      </c>
      <c r="F16" s="115">
        <f t="shared" si="2"/>
        <v>131890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308740</v>
      </c>
      <c r="S16" s="135">
        <f t="shared" si="13"/>
        <v>118800</v>
      </c>
      <c r="T16" s="136">
        <f t="shared" si="13"/>
        <v>12000</v>
      </c>
      <c r="U16" s="136">
        <f t="shared" si="13"/>
        <v>156420</v>
      </c>
      <c r="V16" s="134">
        <f t="shared" si="13"/>
        <v>119300</v>
      </c>
      <c r="W16" s="137">
        <f t="shared" si="13"/>
        <v>197832</v>
      </c>
      <c r="X16" s="137">
        <f t="shared" si="13"/>
        <v>114900</v>
      </c>
      <c r="Y16" s="137">
        <f>SUM(R16:X16)</f>
        <v>1027992</v>
      </c>
      <c r="AB16" s="121" t="str">
        <f>$M$49</f>
        <v>🐻여가비</v>
      </c>
      <c r="AC16" s="122">
        <f>$P$55</f>
        <v>54336</v>
      </c>
      <c r="AD16" s="123">
        <f t="shared" si="4"/>
        <v>12.0008</v>
      </c>
      <c r="AE16" s="123">
        <f t="shared" si="5"/>
        <v>8.0006</v>
      </c>
      <c r="AF16" s="123" t="str">
        <f t="shared" si="6"/>
        <v>🐻식비</v>
      </c>
      <c r="AG16" s="122">
        <f t="shared" si="7"/>
        <v>224700</v>
      </c>
    </row>
    <row r="17">
      <c r="C17" s="46"/>
      <c r="D17" s="138"/>
      <c r="E17" s="114" t="s">
        <v>62</v>
      </c>
      <c r="F17" s="115">
        <f t="shared" si="2"/>
        <v>2346620</v>
      </c>
      <c r="H17" s="142"/>
      <c r="I17" s="143"/>
      <c r="J17" s="144"/>
      <c r="K17" s="145"/>
      <c r="R17" s="127">
        <f t="shared" ref="R17:X17" si="14">R15+7</f>
        <v>45683</v>
      </c>
      <c r="S17" s="128">
        <f t="shared" si="14"/>
        <v>45684</v>
      </c>
      <c r="T17" s="117">
        <f t="shared" si="14"/>
        <v>45685</v>
      </c>
      <c r="U17" s="117">
        <f t="shared" si="14"/>
        <v>45686</v>
      </c>
      <c r="V17" s="118">
        <f t="shared" si="14"/>
        <v>45687</v>
      </c>
      <c r="W17" s="129">
        <f t="shared" si="14"/>
        <v>45688</v>
      </c>
      <c r="X17" s="130">
        <f t="shared" si="14"/>
        <v>45689</v>
      </c>
      <c r="Y17" s="131"/>
      <c r="AB17" s="121" t="str">
        <f>$R$25</f>
        <v>🍪기타</v>
      </c>
      <c r="AC17" s="122">
        <f>$X$31</f>
        <v>188260</v>
      </c>
      <c r="AD17" s="123">
        <f t="shared" si="4"/>
        <v>10.0009</v>
      </c>
      <c r="AE17" s="123">
        <f t="shared" si="5"/>
        <v>9.0002</v>
      </c>
      <c r="AF17" s="123" t="str">
        <f t="shared" si="6"/>
        <v>🐻고정비</v>
      </c>
      <c r="AG17" s="122">
        <f t="shared" si="7"/>
        <v>212060</v>
      </c>
    </row>
    <row r="18">
      <c r="C18" s="146" t="s">
        <v>140</v>
      </c>
      <c r="D18" s="147">
        <f>D12-D14-D16</f>
        <v>-880026</v>
      </c>
      <c r="E18" s="114" t="s">
        <v>63</v>
      </c>
      <c r="F18" s="115">
        <f t="shared" si="2"/>
        <v>26500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20500</v>
      </c>
      <c r="S18" s="148">
        <f t="shared" si="15"/>
        <v>160352</v>
      </c>
      <c r="T18" s="149">
        <f t="shared" si="15"/>
        <v>557894</v>
      </c>
      <c r="U18" s="149">
        <f t="shared" si="15"/>
        <v>79084</v>
      </c>
      <c r="V18" s="126">
        <f t="shared" si="15"/>
        <v>86650</v>
      </c>
      <c r="W18" s="150">
        <f t="shared" si="15"/>
        <v>135650</v>
      </c>
      <c r="X18" s="150">
        <f t="shared" si="15"/>
        <v>0</v>
      </c>
      <c r="Y18" s="150">
        <f>SUM(R18:X18)</f>
        <v>1040130</v>
      </c>
      <c r="AB18" s="121" t="str">
        <f>$R$33</f>
        <v>🐻기타</v>
      </c>
      <c r="AC18" s="122">
        <f>$X$39</f>
        <v>112010</v>
      </c>
      <c r="AD18" s="123">
        <f t="shared" si="4"/>
        <v>11.001</v>
      </c>
      <c r="AE18" s="123">
        <f t="shared" si="5"/>
        <v>10.0009</v>
      </c>
      <c r="AF18" s="123" t="str">
        <f t="shared" si="6"/>
        <v>🍪기타</v>
      </c>
      <c r="AG18" s="122">
        <f t="shared" si="7"/>
        <v>188260</v>
      </c>
    </row>
    <row r="19">
      <c r="C19" s="151" t="s">
        <v>141</v>
      </c>
      <c r="D19" s="152">
        <f>(D16+D18)/D12</f>
        <v>0.2276057471</v>
      </c>
      <c r="E19" s="114" t="s">
        <v>64</v>
      </c>
      <c r="F19" s="115">
        <f t="shared" si="2"/>
        <v>904216</v>
      </c>
      <c r="H19" s="142"/>
      <c r="I19" s="143"/>
      <c r="J19" s="144"/>
      <c r="K19" s="145"/>
      <c r="R19" s="153">
        <f t="shared" ref="R19:X19" si="16">R17+7</f>
        <v>45690</v>
      </c>
      <c r="S19" s="154">
        <f t="shared" si="16"/>
        <v>45691</v>
      </c>
      <c r="T19" s="155">
        <f t="shared" si="16"/>
        <v>45692</v>
      </c>
      <c r="U19" s="155">
        <f t="shared" si="16"/>
        <v>45693</v>
      </c>
      <c r="V19" s="156">
        <f t="shared" si="16"/>
        <v>45694</v>
      </c>
      <c r="W19" s="157">
        <f t="shared" si="16"/>
        <v>45695</v>
      </c>
      <c r="X19" s="158">
        <f t="shared" si="16"/>
        <v>45696</v>
      </c>
      <c r="Y19" s="159"/>
      <c r="AB19" s="121" t="str">
        <f>$R$41</f>
        <v>🍪이벤트성</v>
      </c>
      <c r="AC19" s="122">
        <f>$X$47</f>
        <v>2378146</v>
      </c>
      <c r="AD19" s="123">
        <f t="shared" si="4"/>
        <v>2.0011</v>
      </c>
      <c r="AE19" s="123">
        <f t="shared" si="5"/>
        <v>11.001</v>
      </c>
      <c r="AF19" s="123" t="str">
        <f t="shared" si="6"/>
        <v>🐻기타</v>
      </c>
      <c r="AG19" s="122">
        <f t="shared" si="7"/>
        <v>112010</v>
      </c>
    </row>
    <row r="20">
      <c r="C20" s="160" t="s">
        <v>142</v>
      </c>
      <c r="D20" s="161">
        <f>D18/D12</f>
        <v>-0.08633673274</v>
      </c>
      <c r="E20" s="162" t="s">
        <v>65</v>
      </c>
      <c r="F20" s="163">
        <f>SUM($F$14:$F$19)</f>
        <v>3409226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2438940</v>
      </c>
      <c r="AD20" s="123">
        <f t="shared" si="4"/>
        <v>1.0012</v>
      </c>
      <c r="AE20" s="123">
        <f t="shared" si="5"/>
        <v>12.0008</v>
      </c>
      <c r="AF20" s="123" t="str">
        <f t="shared" si="6"/>
        <v>🐻여가비</v>
      </c>
      <c r="AG20" s="122">
        <f t="shared" si="7"/>
        <v>54336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3257030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437790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0</v>
      </c>
      <c r="Y25" s="145"/>
    </row>
    <row r="26">
      <c r="C26" s="45"/>
      <c r="D26" s="41" t="s">
        <v>5</v>
      </c>
      <c r="E26" s="179"/>
      <c r="F26" s="115">
        <f t="shared" si="18"/>
        <v>345000</v>
      </c>
      <c r="H26" s="45"/>
      <c r="I26" s="41" t="s">
        <v>16</v>
      </c>
      <c r="J26" s="179"/>
      <c r="K26" s="115">
        <f t="shared" si="19"/>
        <v>0</v>
      </c>
      <c r="M26" s="45"/>
      <c r="N26" s="41" t="s">
        <v>28</v>
      </c>
      <c r="O26" s="179"/>
      <c r="P26" s="115">
        <f t="shared" si="20"/>
        <v>46600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120010</v>
      </c>
      <c r="Y26" s="145"/>
    </row>
    <row r="27">
      <c r="C27" s="45"/>
      <c r="D27" s="41" t="s">
        <v>6</v>
      </c>
      <c r="E27" s="179"/>
      <c r="F27" s="115">
        <f t="shared" si="18"/>
        <v>4310870</v>
      </c>
      <c r="H27" s="45"/>
      <c r="I27" s="41" t="s">
        <v>17</v>
      </c>
      <c r="J27" s="179"/>
      <c r="K27" s="115">
        <f t="shared" si="19"/>
        <v>177832</v>
      </c>
      <c r="M27" s="45"/>
      <c r="N27" s="41" t="s">
        <v>29</v>
      </c>
      <c r="O27" s="179"/>
      <c r="P27" s="115">
        <f t="shared" si="20"/>
        <v>61400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119560</v>
      </c>
      <c r="M28" s="45"/>
      <c r="N28" s="41" t="s">
        <v>30</v>
      </c>
      <c r="O28" s="179"/>
      <c r="P28" s="115">
        <f t="shared" si="20"/>
        <v>327762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18250</v>
      </c>
      <c r="Y28" s="145"/>
    </row>
    <row r="29">
      <c r="C29" s="45"/>
      <c r="D29" s="41" t="s">
        <v>8</v>
      </c>
      <c r="E29" s="179"/>
      <c r="F29" s="115">
        <f t="shared" si="18"/>
        <v>2280050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50000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297392</v>
      </c>
      <c r="M31" s="187" t="str">
        <f>IF(M25=0,"","총"&amp;M25)</f>
        <v>총🍪식비</v>
      </c>
      <c r="N31" s="188"/>
      <c r="O31" s="175"/>
      <c r="P31" s="189">
        <f>SUM(P25:P30)</f>
        <v>873552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188260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297392</v>
      </c>
      <c r="M32" s="184"/>
      <c r="N32" s="191"/>
      <c r="O32" s="185"/>
      <c r="P32" s="193">
        <f>P31-O25</f>
        <v>873552</v>
      </c>
      <c r="R32" s="184"/>
      <c r="S32" s="191"/>
      <c r="T32" s="191"/>
      <c r="U32" s="191"/>
      <c r="V32" s="191"/>
      <c r="W32" s="185"/>
      <c r="X32" s="194">
        <f>X31-V25</f>
        <v>188260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10192950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20000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0</v>
      </c>
      <c r="Y33" s="145"/>
    </row>
    <row r="34">
      <c r="C34" s="184"/>
      <c r="D34" s="191"/>
      <c r="E34" s="185"/>
      <c r="F34" s="195">
        <f>F33-E25</f>
        <v>10192950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140900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62010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44050</v>
      </c>
      <c r="M35" s="45"/>
      <c r="N35" s="41" t="s">
        <v>29</v>
      </c>
      <c r="O35" s="179"/>
      <c r="P35" s="115">
        <f t="shared" si="23"/>
        <v>43800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88010</v>
      </c>
      <c r="M36" s="45"/>
      <c r="N36" s="41" t="s">
        <v>30</v>
      </c>
      <c r="O36" s="179"/>
      <c r="P36" s="115">
        <f t="shared" si="23"/>
        <v>20000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0</v>
      </c>
      <c r="Y36" s="145"/>
    </row>
    <row r="37">
      <c r="C37" s="45"/>
      <c r="D37" s="41" t="s">
        <v>12</v>
      </c>
      <c r="E37" s="179"/>
      <c r="F37" s="115">
        <f t="shared" si="25"/>
        <v>3000000</v>
      </c>
      <c r="H37" s="45"/>
      <c r="I37" s="41" t="s">
        <v>20</v>
      </c>
      <c r="J37" s="179"/>
      <c r="K37" s="115">
        <f t="shared" si="22"/>
        <v>80000</v>
      </c>
      <c r="M37" s="45"/>
      <c r="N37" s="41" t="s">
        <v>8</v>
      </c>
      <c r="O37" s="179"/>
      <c r="P37" s="115">
        <f t="shared" si="23"/>
        <v>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50000</v>
      </c>
      <c r="Y37" s="145"/>
    </row>
    <row r="38">
      <c r="C38" s="45"/>
      <c r="D38" s="41" t="s">
        <v>13</v>
      </c>
      <c r="E38" s="179"/>
      <c r="F38" s="115">
        <f t="shared" si="25"/>
        <v>200000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212060</v>
      </c>
      <c r="M39" s="187" t="str">
        <f>IF(M33=0,"","총"&amp;M33)</f>
        <v>총🐻식비</v>
      </c>
      <c r="N39" s="188"/>
      <c r="O39" s="175"/>
      <c r="P39" s="189">
        <f>SUM(P33:P38)</f>
        <v>224700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112010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212060</v>
      </c>
      <c r="M40" s="184"/>
      <c r="N40" s="191"/>
      <c r="O40" s="185"/>
      <c r="P40" s="193">
        <f>P39-O33</f>
        <v>224700</v>
      </c>
      <c r="R40" s="184"/>
      <c r="S40" s="191"/>
      <c r="T40" s="191"/>
      <c r="U40" s="191"/>
      <c r="V40" s="191"/>
      <c r="W40" s="185"/>
      <c r="X40" s="194">
        <f>X39-V33</f>
        <v>112010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360370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154900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50000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57560</v>
      </c>
      <c r="M42" s="45"/>
      <c r="N42" s="41" t="s">
        <v>34</v>
      </c>
      <c r="O42" s="179"/>
      <c r="P42" s="115">
        <f t="shared" si="27"/>
        <v>13390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51666</v>
      </c>
      <c r="Y42" s="145"/>
    </row>
    <row r="43">
      <c r="C43" s="187" t="str">
        <f>IF(C35=0,"","총"&amp;C25)</f>
        <v>총수입</v>
      </c>
      <c r="D43" s="188"/>
      <c r="E43" s="175"/>
      <c r="F43" s="189">
        <f>SUM(F35:F42)</f>
        <v>3200000</v>
      </c>
      <c r="H43" s="45"/>
      <c r="I43" s="41" t="s">
        <v>8</v>
      </c>
      <c r="J43" s="179"/>
      <c r="K43" s="115">
        <f t="shared" si="26"/>
        <v>38080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3200000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123800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2276480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456010</v>
      </c>
      <c r="M47" s="187" t="str">
        <f>IF(M41=0,"","총"&amp;M41)</f>
        <v>총🍪여가비</v>
      </c>
      <c r="N47" s="188"/>
      <c r="O47" s="175"/>
      <c r="P47" s="189">
        <f>SUM(P41:P46)</f>
        <v>292090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2378146</v>
      </c>
      <c r="Y47" s="145"/>
    </row>
    <row r="48">
      <c r="H48" s="184"/>
      <c r="I48" s="191"/>
      <c r="J48" s="185"/>
      <c r="K48" s="193">
        <f>K47-J41</f>
        <v>456010</v>
      </c>
      <c r="M48" s="184"/>
      <c r="N48" s="191"/>
      <c r="O48" s="185"/>
      <c r="P48" s="193">
        <f>P47-O41</f>
        <v>292090</v>
      </c>
      <c r="R48" s="184"/>
      <c r="S48" s="191"/>
      <c r="T48" s="191"/>
      <c r="U48" s="191"/>
      <c r="V48" s="191"/>
      <c r="W48" s="185"/>
      <c r="X48" s="194">
        <f>X47-V41</f>
        <v>2378146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40500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49142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300000</v>
      </c>
      <c r="Y49" s="145"/>
    </row>
    <row r="50">
      <c r="H50" s="45"/>
      <c r="I50" s="41" t="s">
        <v>24</v>
      </c>
      <c r="J50" s="179"/>
      <c r="K50" s="115">
        <f t="shared" si="29"/>
        <v>33880</v>
      </c>
      <c r="M50" s="45"/>
      <c r="N50" s="41" t="s">
        <v>34</v>
      </c>
      <c r="O50" s="179"/>
      <c r="P50" s="115">
        <f t="shared" si="30"/>
        <v>5194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0</v>
      </c>
      <c r="Y50" s="145"/>
    </row>
    <row r="51">
      <c r="H51" s="45"/>
      <c r="I51" s="41" t="s">
        <v>8</v>
      </c>
      <c r="J51" s="179"/>
      <c r="K51" s="115">
        <f t="shared" si="29"/>
        <v>271100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609800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1529140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345480</v>
      </c>
      <c r="M55" s="187" t="str">
        <f>IF(M49=0,"","총"&amp;M49)</f>
        <v>총🐻여가비</v>
      </c>
      <c r="N55" s="188"/>
      <c r="O55" s="175"/>
      <c r="P55" s="189">
        <f>SUM(P49:P54)</f>
        <v>54336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2438940</v>
      </c>
      <c r="Y55" s="145"/>
    </row>
    <row r="56">
      <c r="H56" s="196"/>
      <c r="I56" s="197"/>
      <c r="J56" s="198"/>
      <c r="K56" s="200">
        <f>K55-J49</f>
        <v>345480</v>
      </c>
      <c r="M56" s="196"/>
      <c r="N56" s="197"/>
      <c r="O56" s="198"/>
      <c r="P56" s="200">
        <f>P55-O49</f>
        <v>54336</v>
      </c>
      <c r="R56" s="196"/>
      <c r="S56" s="197"/>
      <c r="T56" s="197"/>
      <c r="U56" s="197"/>
      <c r="V56" s="197"/>
      <c r="W56" s="198"/>
      <c r="X56" s="201">
        <f>X55-V49</f>
        <v>2438940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-7872976</v>
      </c>
      <c r="Y61" s="8"/>
    </row>
    <row r="62">
      <c r="H62" s="208">
        <v>45658.0</v>
      </c>
      <c r="I62" s="209" t="s">
        <v>39</v>
      </c>
      <c r="J62" s="209" t="s">
        <v>43</v>
      </c>
      <c r="K62" s="210">
        <f>1800+3100+1400+1700</f>
        <v>8000</v>
      </c>
      <c r="L62" s="211" t="s">
        <v>57</v>
      </c>
      <c r="M62" s="143"/>
      <c r="N62" s="211" t="s">
        <v>150</v>
      </c>
      <c r="O62" s="212"/>
      <c r="P62" s="212"/>
      <c r="Q62" s="143"/>
      <c r="R62" s="213"/>
      <c r="S62" s="212"/>
      <c r="T62" s="145"/>
      <c r="AB62" s="214" t="str">
        <f>IFERROR(__xludf.DUMMYFUNCTION("FILTER('설정시트'!$D$7:$L$20,'설정시트'!$C$7:$C$20=I62)"),"약국")</f>
        <v>약국</v>
      </c>
      <c r="AC62" s="214" t="str">
        <f>IFERROR(__xludf.DUMMYFUNCTION("""COMPUTED_VALUE"""),"병원비")</f>
        <v>병원비</v>
      </c>
      <c r="AD62" s="214" t="str">
        <f>IFERROR(__xludf.DUMMYFUNCTION("""COMPUTED_VALUE"""),"영양제")</f>
        <v>영양제</v>
      </c>
      <c r="AE62" s="214" t="str">
        <f>IFERROR(__xludf.DUMMYFUNCTION("""COMPUTED_VALUE"""),"교통비")</f>
        <v>교통비</v>
      </c>
      <c r="AF62" s="214" t="str">
        <f>IFERROR(__xludf.DUMMYFUNCTION("""COMPUTED_VALUE"""),"주유비")</f>
        <v>주유비</v>
      </c>
      <c r="AG62" s="214"/>
      <c r="AH62" s="214" t="str">
        <f>IFERROR(__xludf.DUMMYFUNCTION("""COMPUTED_VALUE"""),"기타")</f>
        <v>기타</v>
      </c>
      <c r="AI62" s="214"/>
      <c r="AJ62" s="215"/>
    </row>
    <row r="63">
      <c r="H63" s="208">
        <v>45658.0</v>
      </c>
      <c r="I63" s="209" t="s">
        <v>26</v>
      </c>
      <c r="J63" s="209" t="s">
        <v>27</v>
      </c>
      <c r="K63" s="210">
        <v>23400.0</v>
      </c>
      <c r="L63" s="211" t="s">
        <v>57</v>
      </c>
      <c r="M63" s="143"/>
      <c r="N63" s="211" t="s">
        <v>151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IFERROR(__xludf.DUMMYFUNCTION("FILTER('설정시트'!$D$7:$L$20,'설정시트'!$C$7:$C$20=I63)"),"식재료비")</f>
        <v>식재료비</v>
      </c>
      <c r="AC63" s="214" t="str">
        <f>IFERROR(__xludf.DUMMYFUNCTION("""COMPUTED_VALUE"""),"회사점심")</f>
        <v>회사점심</v>
      </c>
      <c r="AD63" s="214" t="str">
        <f>IFERROR(__xludf.DUMMYFUNCTION("""COMPUTED_VALUE"""),"간식/카페")</f>
        <v>간식/카페</v>
      </c>
      <c r="AE63" s="214" t="str">
        <f>IFERROR(__xludf.DUMMYFUNCTION("""COMPUTED_VALUE"""),"외식/배달")</f>
        <v>외식/배달</v>
      </c>
      <c r="AF63" s="214" t="str">
        <f>IFERROR(__xludf.DUMMYFUNCTION("""COMPUTED_VALUE"""),"기타")</f>
        <v>기타</v>
      </c>
      <c r="AG63" s="214"/>
      <c r="AH63" s="214"/>
      <c r="AI63" s="214"/>
      <c r="AJ63" s="215"/>
    </row>
    <row r="64">
      <c r="H64" s="208">
        <v>45658.0</v>
      </c>
      <c r="I64" s="209" t="s">
        <v>26</v>
      </c>
      <c r="J64" s="209" t="s">
        <v>30</v>
      </c>
      <c r="K64" s="210">
        <v>22000.0</v>
      </c>
      <c r="L64" s="211" t="s">
        <v>57</v>
      </c>
      <c r="M64" s="143"/>
      <c r="N64" s="211" t="s">
        <v>152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IFERROR(__xludf.DUMMYFUNCTION("FILTER('설정시트'!$D$7:$L$20,'설정시트'!$C$7:$C$20=I64)"),"식재료비")</f>
        <v>식재료비</v>
      </c>
      <c r="AC64" s="214" t="str">
        <f>IFERROR(__xludf.DUMMYFUNCTION("""COMPUTED_VALUE"""),"회사점심")</f>
        <v>회사점심</v>
      </c>
      <c r="AD64" s="214" t="str">
        <f>IFERROR(__xludf.DUMMYFUNCTION("""COMPUTED_VALUE"""),"간식/카페")</f>
        <v>간식/카페</v>
      </c>
      <c r="AE64" s="214" t="str">
        <f>IFERROR(__xludf.DUMMYFUNCTION("""COMPUTED_VALUE"""),"외식/배달")</f>
        <v>외식/배달</v>
      </c>
      <c r="AF64" s="214" t="str">
        <f>IFERROR(__xludf.DUMMYFUNCTION("""COMPUTED_VALUE"""),"기타")</f>
        <v>기타</v>
      </c>
      <c r="AG64" s="214"/>
      <c r="AH64" s="214"/>
      <c r="AI64" s="214"/>
      <c r="AJ64" s="215"/>
    </row>
    <row r="65">
      <c r="H65" s="208">
        <v>45659.0</v>
      </c>
      <c r="I65" s="209" t="s">
        <v>21</v>
      </c>
      <c r="J65" s="209" t="s">
        <v>20</v>
      </c>
      <c r="K65" s="210">
        <v>10000.0</v>
      </c>
      <c r="L65" s="211" t="s">
        <v>62</v>
      </c>
      <c r="M65" s="143"/>
      <c r="N65" s="211" t="s">
        <v>153</v>
      </c>
      <c r="O65" s="212"/>
      <c r="P65" s="212"/>
      <c r="Q65" s="143"/>
      <c r="R65" s="211"/>
      <c r="S65" s="212"/>
      <c r="T65" s="145"/>
      <c r="AB65" s="214" t="str">
        <f>IFERROR(__xludf.DUMMYFUNCTION("FILTER('설정시트'!$D$7:$L$20,'설정시트'!$C$7:$C$20=I65)"),"관리비")</f>
        <v>관리비</v>
      </c>
      <c r="AC65" s="214" t="str">
        <f>IFERROR(__xludf.DUMMYFUNCTION("""COMPUTED_VALUE"""),"대출이자")</f>
        <v>대출이자</v>
      </c>
      <c r="AD65" s="214" t="str">
        <f>IFERROR(__xludf.DUMMYFUNCTION("""COMPUTED_VALUE"""),"통신비")</f>
        <v>통신비</v>
      </c>
      <c r="AE65" s="214" t="str">
        <f>IFERROR(__xludf.DUMMYFUNCTION("""COMPUTED_VALUE"""),"보험료")</f>
        <v>보험료</v>
      </c>
      <c r="AF65" s="214" t="str">
        <f>IFERROR(__xludf.DUMMYFUNCTION("""COMPUTED_VALUE"""),"곗돈")</f>
        <v>곗돈</v>
      </c>
      <c r="AG65" s="214"/>
      <c r="AH65" s="214"/>
      <c r="AI65" s="214"/>
      <c r="AJ65" s="215"/>
    </row>
    <row r="66">
      <c r="H66" s="208">
        <v>45659.0</v>
      </c>
      <c r="I66" s="209" t="s">
        <v>31</v>
      </c>
      <c r="J66" s="209" t="s">
        <v>28</v>
      </c>
      <c r="K66" s="210">
        <v>10000.0</v>
      </c>
      <c r="L66" s="211" t="s">
        <v>64</v>
      </c>
      <c r="M66" s="143"/>
      <c r="N66" s="211" t="s">
        <v>154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IFERROR(__xludf.DUMMYFUNCTION("FILTER('설정시트'!$D$7:$L$20,'설정시트'!$C$7:$C$20=I66)"),"식재료비")</f>
        <v>식재료비</v>
      </c>
      <c r="AC66" s="214" t="str">
        <f>IFERROR(__xludf.DUMMYFUNCTION("""COMPUTED_VALUE"""),"회사점심")</f>
        <v>회사점심</v>
      </c>
      <c r="AD66" s="214" t="str">
        <f>IFERROR(__xludf.DUMMYFUNCTION("""COMPUTED_VALUE"""),"간식/카페")</f>
        <v>간식/카페</v>
      </c>
      <c r="AE66" s="214" t="str">
        <f>IFERROR(__xludf.DUMMYFUNCTION("""COMPUTED_VALUE"""),"외식/배달")</f>
        <v>외식/배달</v>
      </c>
      <c r="AF66" s="214" t="str">
        <f>IFERROR(__xludf.DUMMYFUNCTION("""COMPUTED_VALUE"""),"기타")</f>
        <v>기타</v>
      </c>
      <c r="AG66" s="214"/>
      <c r="AH66" s="214"/>
      <c r="AI66" s="214"/>
      <c r="AJ66" s="215"/>
    </row>
    <row r="67">
      <c r="H67" s="208">
        <v>45659.0</v>
      </c>
      <c r="I67" s="209" t="s">
        <v>46</v>
      </c>
      <c r="J67" s="209" t="s">
        <v>48</v>
      </c>
      <c r="K67" s="210">
        <v>35000.0</v>
      </c>
      <c r="L67" s="211" t="s">
        <v>58</v>
      </c>
      <c r="M67" s="143"/>
      <c r="N67" s="211" t="s">
        <v>155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IFERROR(__xludf.DUMMYFUNCTION("FILTER('설정시트'!$D$7:$L$20,'설정시트'!$C$7:$C$20=I67)"),"축의/부의금")</f>
        <v>축의/부의금</v>
      </c>
      <c r="AC67" s="214" t="str">
        <f>IFERROR(__xludf.DUMMYFUNCTION("""COMPUTED_VALUE"""),"생신/생일선물")</f>
        <v>생신/생일선물</v>
      </c>
      <c r="AD67" s="214" t="str">
        <f>IFERROR(__xludf.DUMMYFUNCTION("""COMPUTED_VALUE"""),"명절/어버이날")</f>
        <v>명절/어버이날</v>
      </c>
      <c r="AE67" s="214" t="str">
        <f>IFERROR(__xludf.DUMMYFUNCTION("""COMPUTED_VALUE"""),"여행")</f>
        <v>여행</v>
      </c>
      <c r="AF67" s="214" t="str">
        <f>IFERROR(__xludf.DUMMYFUNCTION("""COMPUTED_VALUE"""),"기타")</f>
        <v>기타</v>
      </c>
      <c r="AG67" s="214" t="str">
        <f>IFERROR(__xludf.DUMMYFUNCTION("""COMPUTED_VALUE"""),"출산")</f>
        <v>출산</v>
      </c>
      <c r="AH67" s="214"/>
      <c r="AI67" s="214"/>
      <c r="AJ67" s="215"/>
    </row>
    <row r="68">
      <c r="H68" s="208">
        <v>45659.0</v>
      </c>
      <c r="I68" s="209" t="s">
        <v>26</v>
      </c>
      <c r="J68" s="209" t="s">
        <v>29</v>
      </c>
      <c r="K68" s="210">
        <v>7500.0</v>
      </c>
      <c r="L68" s="211" t="s">
        <v>57</v>
      </c>
      <c r="M68" s="143"/>
      <c r="N68" s="211" t="s">
        <v>156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IFERROR(__xludf.DUMMYFUNCTION("FILTER('설정시트'!$D$7:$L$20,'설정시트'!$C$7:$C$20=I68)"),"식재료비")</f>
        <v>식재료비</v>
      </c>
      <c r="AC68" s="214" t="str">
        <f>IFERROR(__xludf.DUMMYFUNCTION("""COMPUTED_VALUE"""),"회사점심")</f>
        <v>회사점심</v>
      </c>
      <c r="AD68" s="214" t="str">
        <f>IFERROR(__xludf.DUMMYFUNCTION("""COMPUTED_VALUE"""),"간식/카페")</f>
        <v>간식/카페</v>
      </c>
      <c r="AE68" s="214" t="str">
        <f>IFERROR(__xludf.DUMMYFUNCTION("""COMPUTED_VALUE"""),"외식/배달")</f>
        <v>외식/배달</v>
      </c>
      <c r="AF68" s="214" t="str">
        <f>IFERROR(__xludf.DUMMYFUNCTION("""COMPUTED_VALUE"""),"기타")</f>
        <v>기타</v>
      </c>
      <c r="AG68" s="214"/>
      <c r="AH68" s="214"/>
      <c r="AI68" s="214"/>
      <c r="AJ68" s="215"/>
    </row>
    <row r="69">
      <c r="H69" s="208">
        <v>45659.0</v>
      </c>
      <c r="I69" s="209" t="s">
        <v>39</v>
      </c>
      <c r="J69" s="209" t="s">
        <v>41</v>
      </c>
      <c r="K69" s="210">
        <v>36400.0</v>
      </c>
      <c r="L69" s="211" t="s">
        <v>57</v>
      </c>
      <c r="M69" s="143"/>
      <c r="N69" s="211" t="s">
        <v>157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IFERROR(__xludf.DUMMYFUNCTION("FILTER('설정시트'!$D$7:$L$20,'설정시트'!$C$7:$C$20=I69)"),"약국")</f>
        <v>약국</v>
      </c>
      <c r="AC69" s="214" t="str">
        <f>IFERROR(__xludf.DUMMYFUNCTION("""COMPUTED_VALUE"""),"병원비")</f>
        <v>병원비</v>
      </c>
      <c r="AD69" s="214" t="str">
        <f>IFERROR(__xludf.DUMMYFUNCTION("""COMPUTED_VALUE"""),"영양제")</f>
        <v>영양제</v>
      </c>
      <c r="AE69" s="214" t="str">
        <f>IFERROR(__xludf.DUMMYFUNCTION("""COMPUTED_VALUE"""),"교통비")</f>
        <v>교통비</v>
      </c>
      <c r="AF69" s="214" t="str">
        <f>IFERROR(__xludf.DUMMYFUNCTION("""COMPUTED_VALUE"""),"주유비")</f>
        <v>주유비</v>
      </c>
      <c r="AG69" s="214"/>
      <c r="AH69" s="214" t="str">
        <f>IFERROR(__xludf.DUMMYFUNCTION("""COMPUTED_VALUE"""),"기타")</f>
        <v>기타</v>
      </c>
      <c r="AI69" s="214"/>
      <c r="AJ69" s="215"/>
    </row>
    <row r="70">
      <c r="H70" s="208">
        <v>45659.0</v>
      </c>
      <c r="I70" s="209" t="s">
        <v>26</v>
      </c>
      <c r="J70" s="209" t="s">
        <v>27</v>
      </c>
      <c r="K70" s="210">
        <v>4700.0</v>
      </c>
      <c r="L70" s="211" t="s">
        <v>57</v>
      </c>
      <c r="M70" s="143"/>
      <c r="N70" s="211" t="s">
        <v>158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IFERROR(__xludf.DUMMYFUNCTION("FILTER('설정시트'!$D$7:$L$20,'설정시트'!$C$7:$C$20=I70)"),"식재료비")</f>
        <v>식재료비</v>
      </c>
      <c r="AC70" s="214" t="str">
        <f>IFERROR(__xludf.DUMMYFUNCTION("""COMPUTED_VALUE"""),"회사점심")</f>
        <v>회사점심</v>
      </c>
      <c r="AD70" s="214" t="str">
        <f>IFERROR(__xludf.DUMMYFUNCTION("""COMPUTED_VALUE"""),"간식/카페")</f>
        <v>간식/카페</v>
      </c>
      <c r="AE70" s="214" t="str">
        <f>IFERROR(__xludf.DUMMYFUNCTION("""COMPUTED_VALUE"""),"외식/배달")</f>
        <v>외식/배달</v>
      </c>
      <c r="AF70" s="214" t="str">
        <f>IFERROR(__xludf.DUMMYFUNCTION("""COMPUTED_VALUE"""),"기타")</f>
        <v>기타</v>
      </c>
      <c r="AG70" s="214"/>
      <c r="AH70" s="214"/>
      <c r="AI70" s="214"/>
      <c r="AJ70" s="215"/>
    </row>
    <row r="71">
      <c r="H71" s="208">
        <v>45659.0</v>
      </c>
      <c r="I71" s="209" t="s">
        <v>26</v>
      </c>
      <c r="J71" s="209" t="s">
        <v>29</v>
      </c>
      <c r="K71" s="210">
        <v>2500.0</v>
      </c>
      <c r="L71" s="211" t="s">
        <v>57</v>
      </c>
      <c r="M71" s="143"/>
      <c r="N71" s="211" t="s">
        <v>159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IFERROR(__xludf.DUMMYFUNCTION("FILTER('설정시트'!$D$7:$L$20,'설정시트'!$C$7:$C$20=I71)"),"식재료비")</f>
        <v>식재료비</v>
      </c>
      <c r="AC71" s="214" t="str">
        <f>IFERROR(__xludf.DUMMYFUNCTION("""COMPUTED_VALUE"""),"회사점심")</f>
        <v>회사점심</v>
      </c>
      <c r="AD71" s="214" t="str">
        <f>IFERROR(__xludf.DUMMYFUNCTION("""COMPUTED_VALUE"""),"간식/카페")</f>
        <v>간식/카페</v>
      </c>
      <c r="AE71" s="214" t="str">
        <f>IFERROR(__xludf.DUMMYFUNCTION("""COMPUTED_VALUE"""),"외식/배달")</f>
        <v>외식/배달</v>
      </c>
      <c r="AF71" s="214" t="str">
        <f>IFERROR(__xludf.DUMMYFUNCTION("""COMPUTED_VALUE"""),"기타")</f>
        <v>기타</v>
      </c>
      <c r="AG71" s="214"/>
      <c r="AH71" s="214"/>
      <c r="AI71" s="214"/>
      <c r="AJ71" s="215"/>
    </row>
    <row r="72">
      <c r="H72" s="208">
        <v>45660.0</v>
      </c>
      <c r="I72" s="209" t="s">
        <v>52</v>
      </c>
      <c r="J72" s="209" t="s">
        <v>8</v>
      </c>
      <c r="K72" s="210">
        <v>100000.0</v>
      </c>
      <c r="L72" s="211" t="s">
        <v>62</v>
      </c>
      <c r="M72" s="143"/>
      <c r="N72" s="211" t="s">
        <v>160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IFERROR(__xludf.DUMMYFUNCTION("FILTER('설정시트'!$D$7:$L$20,'설정시트'!$C$7:$C$20=I72)"),"축의/부의금")</f>
        <v>축의/부의금</v>
      </c>
      <c r="AC72" s="214" t="str">
        <f>IFERROR(__xludf.DUMMYFUNCTION("""COMPUTED_VALUE"""),"생신/생일선물")</f>
        <v>생신/생일선물</v>
      </c>
      <c r="AD72" s="214" t="str">
        <f>IFERROR(__xludf.DUMMYFUNCTION("""COMPUTED_VALUE"""),"명절/어버이날")</f>
        <v>명절/어버이날</v>
      </c>
      <c r="AE72" s="214" t="str">
        <f>IFERROR(__xludf.DUMMYFUNCTION("""COMPUTED_VALUE"""),"여행")</f>
        <v>여행</v>
      </c>
      <c r="AF72" s="214" t="str">
        <f>IFERROR(__xludf.DUMMYFUNCTION("""COMPUTED_VALUE"""),"기타")</f>
        <v>기타</v>
      </c>
      <c r="AG72" s="214" t="str">
        <f>IFERROR(__xludf.DUMMYFUNCTION("""COMPUTED_VALUE"""),"출산")</f>
        <v>출산</v>
      </c>
      <c r="AH72" s="214"/>
      <c r="AI72" s="214"/>
      <c r="AJ72" s="215"/>
    </row>
    <row r="73">
      <c r="H73" s="208">
        <v>45660.0</v>
      </c>
      <c r="I73" s="209" t="s">
        <v>26</v>
      </c>
      <c r="J73" s="209" t="s">
        <v>30</v>
      </c>
      <c r="K73" s="210">
        <v>26000.0</v>
      </c>
      <c r="L73" s="211" t="s">
        <v>57</v>
      </c>
      <c r="M73" s="143"/>
      <c r="N73" s="211" t="s">
        <v>161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IFERROR(__xludf.DUMMYFUNCTION("FILTER('설정시트'!$D$7:$L$20,'설정시트'!$C$7:$C$20=I73)"),"식재료비")</f>
        <v>식재료비</v>
      </c>
      <c r="AC73" s="214" t="str">
        <f>IFERROR(__xludf.DUMMYFUNCTION("""COMPUTED_VALUE"""),"회사점심")</f>
        <v>회사점심</v>
      </c>
      <c r="AD73" s="214" t="str">
        <f>IFERROR(__xludf.DUMMYFUNCTION("""COMPUTED_VALUE"""),"간식/카페")</f>
        <v>간식/카페</v>
      </c>
      <c r="AE73" s="214" t="str">
        <f>IFERROR(__xludf.DUMMYFUNCTION("""COMPUTED_VALUE"""),"외식/배달")</f>
        <v>외식/배달</v>
      </c>
      <c r="AF73" s="214" t="str">
        <f>IFERROR(__xludf.DUMMYFUNCTION("""COMPUTED_VALUE"""),"기타")</f>
        <v>기타</v>
      </c>
      <c r="AG73" s="214"/>
      <c r="AH73" s="214"/>
      <c r="AI73" s="214"/>
      <c r="AJ73" s="215"/>
    </row>
    <row r="74">
      <c r="H74" s="208">
        <v>45661.0</v>
      </c>
      <c r="I74" s="209" t="s">
        <v>46</v>
      </c>
      <c r="J74" s="209" t="s">
        <v>48</v>
      </c>
      <c r="K74" s="210">
        <v>16666.0</v>
      </c>
      <c r="L74" s="211" t="s">
        <v>55</v>
      </c>
      <c r="M74" s="143"/>
      <c r="N74" s="211" t="s">
        <v>162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IFERROR(__xludf.DUMMYFUNCTION("FILTER('설정시트'!$D$7:$L$20,'설정시트'!$C$7:$C$20=I74)"),"축의/부의금")</f>
        <v>축의/부의금</v>
      </c>
      <c r="AC74" s="214" t="str">
        <f>IFERROR(__xludf.DUMMYFUNCTION("""COMPUTED_VALUE"""),"생신/생일선물")</f>
        <v>생신/생일선물</v>
      </c>
      <c r="AD74" s="214" t="str">
        <f>IFERROR(__xludf.DUMMYFUNCTION("""COMPUTED_VALUE"""),"명절/어버이날")</f>
        <v>명절/어버이날</v>
      </c>
      <c r="AE74" s="214" t="str">
        <f>IFERROR(__xludf.DUMMYFUNCTION("""COMPUTED_VALUE"""),"여행")</f>
        <v>여행</v>
      </c>
      <c r="AF74" s="214" t="str">
        <f>IFERROR(__xludf.DUMMYFUNCTION("""COMPUTED_VALUE"""),"기타")</f>
        <v>기타</v>
      </c>
      <c r="AG74" s="214" t="str">
        <f>IFERROR(__xludf.DUMMYFUNCTION("""COMPUTED_VALUE"""),"출산")</f>
        <v>출산</v>
      </c>
      <c r="AH74" s="214"/>
      <c r="AI74" s="214"/>
      <c r="AJ74" s="215"/>
    </row>
    <row r="75">
      <c r="H75" s="208">
        <v>45662.0</v>
      </c>
      <c r="I75" s="209" t="s">
        <v>32</v>
      </c>
      <c r="J75" s="209" t="s">
        <v>37</v>
      </c>
      <c r="K75" s="210">
        <v>35000.0</v>
      </c>
      <c r="L75" s="211" t="s">
        <v>55</v>
      </c>
      <c r="M75" s="143"/>
      <c r="N75" s="211" t="s">
        <v>163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IFERROR(__xludf.DUMMYFUNCTION("FILTER('설정시트'!$D$7:$L$20,'설정시트'!$C$7:$C$20=I75)"),"의류/잡화")</f>
        <v>의류/잡화</v>
      </c>
      <c r="AC75" s="214" t="str">
        <f>IFERROR(__xludf.DUMMYFUNCTION("""COMPUTED_VALUE"""),"OTT")</f>
        <v>OTT</v>
      </c>
      <c r="AD75" s="214" t="str">
        <f>IFERROR(__xludf.DUMMYFUNCTION("""COMPUTED_VALUE"""),"문화생활")</f>
        <v>문화생활</v>
      </c>
      <c r="AE75" s="214" t="str">
        <f>IFERROR(__xludf.DUMMYFUNCTION("""COMPUTED_VALUE"""),"자기계발")</f>
        <v>자기계발</v>
      </c>
      <c r="AF75" s="214" t="str">
        <f>IFERROR(__xludf.DUMMYFUNCTION("""COMPUTED_VALUE"""),"미용")</f>
        <v>미용</v>
      </c>
      <c r="AG75" s="214"/>
      <c r="AH75" s="214" t="str">
        <f>IFERROR(__xludf.DUMMYFUNCTION("""COMPUTED_VALUE"""),"기타")</f>
        <v>기타</v>
      </c>
      <c r="AI75" s="214"/>
      <c r="AJ75" s="215"/>
    </row>
    <row r="76">
      <c r="H76" s="208">
        <v>45662.0</v>
      </c>
      <c r="I76" s="209" t="s">
        <v>26</v>
      </c>
      <c r="J76" s="209" t="s">
        <v>29</v>
      </c>
      <c r="K76" s="210">
        <v>5000.0</v>
      </c>
      <c r="L76" s="211" t="s">
        <v>57</v>
      </c>
      <c r="M76" s="143"/>
      <c r="N76" s="211" t="s">
        <v>159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IFERROR(__xludf.DUMMYFUNCTION("FILTER('설정시트'!$D$7:$L$20,'설정시트'!$C$7:$C$20=I76)"),"식재료비")</f>
        <v>식재료비</v>
      </c>
      <c r="AC76" s="214" t="str">
        <f>IFERROR(__xludf.DUMMYFUNCTION("""COMPUTED_VALUE"""),"회사점심")</f>
        <v>회사점심</v>
      </c>
      <c r="AD76" s="214" t="str">
        <f>IFERROR(__xludf.DUMMYFUNCTION("""COMPUTED_VALUE"""),"간식/카페")</f>
        <v>간식/카페</v>
      </c>
      <c r="AE76" s="214" t="str">
        <f>IFERROR(__xludf.DUMMYFUNCTION("""COMPUTED_VALUE"""),"외식/배달")</f>
        <v>외식/배달</v>
      </c>
      <c r="AF76" s="214" t="str">
        <f>IFERROR(__xludf.DUMMYFUNCTION("""COMPUTED_VALUE"""),"기타")</f>
        <v>기타</v>
      </c>
      <c r="AG76" s="214"/>
      <c r="AH76" s="214"/>
      <c r="AI76" s="214"/>
      <c r="AJ76" s="215"/>
    </row>
    <row r="77">
      <c r="H77" s="208">
        <v>45662.0</v>
      </c>
      <c r="I77" s="209" t="s">
        <v>26</v>
      </c>
      <c r="J77" s="209" t="s">
        <v>30</v>
      </c>
      <c r="K77" s="210">
        <v>43000.0</v>
      </c>
      <c r="L77" s="211" t="s">
        <v>57</v>
      </c>
      <c r="M77" s="143"/>
      <c r="N77" s="211" t="s">
        <v>164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IFERROR(__xludf.DUMMYFUNCTION("FILTER('설정시트'!$D$7:$L$20,'설정시트'!$C$7:$C$20=I77)"),"식재료비")</f>
        <v>식재료비</v>
      </c>
      <c r="AC77" s="214" t="str">
        <f>IFERROR(__xludf.DUMMYFUNCTION("""COMPUTED_VALUE"""),"회사점심")</f>
        <v>회사점심</v>
      </c>
      <c r="AD77" s="214" t="str">
        <f>IFERROR(__xludf.DUMMYFUNCTION("""COMPUTED_VALUE"""),"간식/카페")</f>
        <v>간식/카페</v>
      </c>
      <c r="AE77" s="214" t="str">
        <f>IFERROR(__xludf.DUMMYFUNCTION("""COMPUTED_VALUE"""),"외식/배달")</f>
        <v>외식/배달</v>
      </c>
      <c r="AF77" s="214" t="str">
        <f>IFERROR(__xludf.DUMMYFUNCTION("""COMPUTED_VALUE"""),"기타")</f>
        <v>기타</v>
      </c>
      <c r="AG77" s="214"/>
      <c r="AH77" s="214"/>
      <c r="AI77" s="214"/>
      <c r="AJ77" s="215"/>
    </row>
    <row r="78">
      <c r="H78" s="208">
        <v>45663.0</v>
      </c>
      <c r="I78" s="209" t="s">
        <v>31</v>
      </c>
      <c r="J78" s="209" t="s">
        <v>28</v>
      </c>
      <c r="K78" s="210">
        <v>10000.0</v>
      </c>
      <c r="L78" s="211" t="s">
        <v>64</v>
      </c>
      <c r="M78" s="143"/>
      <c r="N78" s="211" t="s">
        <v>165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IFERROR(__xludf.DUMMYFUNCTION("FILTER('설정시트'!$D$7:$L$20,'설정시트'!$C$7:$C$20=I78)"),"식재료비")</f>
        <v>식재료비</v>
      </c>
      <c r="AC78" s="214" t="str">
        <f>IFERROR(__xludf.DUMMYFUNCTION("""COMPUTED_VALUE"""),"회사점심")</f>
        <v>회사점심</v>
      </c>
      <c r="AD78" s="214" t="str">
        <f>IFERROR(__xludf.DUMMYFUNCTION("""COMPUTED_VALUE"""),"간식/카페")</f>
        <v>간식/카페</v>
      </c>
      <c r="AE78" s="214" t="str">
        <f>IFERROR(__xludf.DUMMYFUNCTION("""COMPUTED_VALUE"""),"외식/배달")</f>
        <v>외식/배달</v>
      </c>
      <c r="AF78" s="214" t="str">
        <f>IFERROR(__xludf.DUMMYFUNCTION("""COMPUTED_VALUE"""),"기타")</f>
        <v>기타</v>
      </c>
      <c r="AG78" s="214"/>
      <c r="AH78" s="214"/>
      <c r="AI78" s="214"/>
      <c r="AJ78" s="215"/>
    </row>
    <row r="79">
      <c r="H79" s="208">
        <v>45663.0</v>
      </c>
      <c r="I79" s="209" t="s">
        <v>3</v>
      </c>
      <c r="J79" s="209" t="s">
        <v>5</v>
      </c>
      <c r="K79" s="210">
        <v>92000.0</v>
      </c>
      <c r="L79" s="211" t="s">
        <v>55</v>
      </c>
      <c r="M79" s="143"/>
      <c r="N79" s="211" t="s">
        <v>166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IFERROR(__xludf.DUMMYFUNCTION("FILTER('설정시트'!$D$7:$L$20,'설정시트'!$C$7:$C$20=I79)"),"🍪 월급")</f>
        <v>🍪 월급</v>
      </c>
      <c r="AC79" s="214" t="str">
        <f>IFERROR(__xludf.DUMMYFUNCTION("""COMPUTED_VALUE"""),"🍪 부수입")</f>
        <v>🍪 부수입</v>
      </c>
      <c r="AD79" s="214" t="str">
        <f>IFERROR(__xludf.DUMMYFUNCTION("""COMPUTED_VALUE"""),"🐻 월급")</f>
        <v>🐻 월급</v>
      </c>
      <c r="AE79" s="214" t="str">
        <f>IFERROR(__xludf.DUMMYFUNCTION("""COMPUTED_VALUE"""),"🐻 부수입")</f>
        <v>🐻 부수입</v>
      </c>
      <c r="AF79" s="214" t="str">
        <f>IFERROR(__xludf.DUMMYFUNCTION("""COMPUTED_VALUE"""),"기타")</f>
        <v>기타</v>
      </c>
      <c r="AG79" s="214"/>
      <c r="AH79" s="214"/>
      <c r="AI79" s="214"/>
      <c r="AJ79" s="215"/>
    </row>
    <row r="80">
      <c r="H80" s="208">
        <v>45663.0</v>
      </c>
      <c r="I80" s="209" t="s">
        <v>39</v>
      </c>
      <c r="J80" s="209" t="s">
        <v>8</v>
      </c>
      <c r="K80" s="210">
        <v>70000.0</v>
      </c>
      <c r="L80" s="211" t="s">
        <v>55</v>
      </c>
      <c r="M80" s="143"/>
      <c r="N80" s="211" t="s">
        <v>167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IFERROR(__xludf.DUMMYFUNCTION("FILTER('설정시트'!$D$7:$L$20,'설정시트'!$C$7:$C$20=I80)"),"약국")</f>
        <v>약국</v>
      </c>
      <c r="AC80" s="214" t="str">
        <f>IFERROR(__xludf.DUMMYFUNCTION("""COMPUTED_VALUE"""),"병원비")</f>
        <v>병원비</v>
      </c>
      <c r="AD80" s="214" t="str">
        <f>IFERROR(__xludf.DUMMYFUNCTION("""COMPUTED_VALUE"""),"영양제")</f>
        <v>영양제</v>
      </c>
      <c r="AE80" s="214" t="str">
        <f>IFERROR(__xludf.DUMMYFUNCTION("""COMPUTED_VALUE"""),"교통비")</f>
        <v>교통비</v>
      </c>
      <c r="AF80" s="214" t="str">
        <f>IFERROR(__xludf.DUMMYFUNCTION("""COMPUTED_VALUE"""),"주유비")</f>
        <v>주유비</v>
      </c>
      <c r="AG80" s="214"/>
      <c r="AH80" s="214" t="str">
        <f>IFERROR(__xludf.DUMMYFUNCTION("""COMPUTED_VALUE"""),"기타")</f>
        <v>기타</v>
      </c>
      <c r="AI80" s="214"/>
      <c r="AJ80" s="215"/>
    </row>
    <row r="81">
      <c r="H81" s="208">
        <v>45663.0</v>
      </c>
      <c r="I81" s="209" t="s">
        <v>39</v>
      </c>
      <c r="J81" s="209" t="s">
        <v>41</v>
      </c>
      <c r="K81" s="210">
        <v>15150.0</v>
      </c>
      <c r="L81" s="211" t="s">
        <v>57</v>
      </c>
      <c r="M81" s="143"/>
      <c r="N81" s="211" t="s">
        <v>168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IFERROR(__xludf.DUMMYFUNCTION("FILTER('설정시트'!$D$7:$L$20,'설정시트'!$C$7:$C$20=I81)"),"약국")</f>
        <v>약국</v>
      </c>
      <c r="AC81" s="214" t="str">
        <f>IFERROR(__xludf.DUMMYFUNCTION("""COMPUTED_VALUE"""),"병원비")</f>
        <v>병원비</v>
      </c>
      <c r="AD81" s="214" t="str">
        <f>IFERROR(__xludf.DUMMYFUNCTION("""COMPUTED_VALUE"""),"영양제")</f>
        <v>영양제</v>
      </c>
      <c r="AE81" s="214" t="str">
        <f>IFERROR(__xludf.DUMMYFUNCTION("""COMPUTED_VALUE"""),"교통비")</f>
        <v>교통비</v>
      </c>
      <c r="AF81" s="214" t="str">
        <f>IFERROR(__xludf.DUMMYFUNCTION("""COMPUTED_VALUE"""),"주유비")</f>
        <v>주유비</v>
      </c>
      <c r="AG81" s="214"/>
      <c r="AH81" s="214" t="str">
        <f>IFERROR(__xludf.DUMMYFUNCTION("""COMPUTED_VALUE"""),"기타")</f>
        <v>기타</v>
      </c>
      <c r="AI81" s="214"/>
      <c r="AJ81" s="215"/>
    </row>
    <row r="82">
      <c r="H82" s="208">
        <v>45663.0</v>
      </c>
      <c r="I82" s="209" t="s">
        <v>39</v>
      </c>
      <c r="J82" s="209" t="s">
        <v>8</v>
      </c>
      <c r="K82" s="210">
        <v>2100.0</v>
      </c>
      <c r="L82" s="211" t="s">
        <v>57</v>
      </c>
      <c r="M82" s="143"/>
      <c r="N82" s="211" t="s">
        <v>169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IFERROR(__xludf.DUMMYFUNCTION("FILTER('설정시트'!$D$7:$L$20,'설정시트'!$C$7:$C$20=I82)"),"약국")</f>
        <v>약국</v>
      </c>
      <c r="AC82" s="214" t="str">
        <f>IFERROR(__xludf.DUMMYFUNCTION("""COMPUTED_VALUE"""),"병원비")</f>
        <v>병원비</v>
      </c>
      <c r="AD82" s="214" t="str">
        <f>IFERROR(__xludf.DUMMYFUNCTION("""COMPUTED_VALUE"""),"영양제")</f>
        <v>영양제</v>
      </c>
      <c r="AE82" s="214" t="str">
        <f>IFERROR(__xludf.DUMMYFUNCTION("""COMPUTED_VALUE"""),"교통비")</f>
        <v>교통비</v>
      </c>
      <c r="AF82" s="214" t="str">
        <f>IFERROR(__xludf.DUMMYFUNCTION("""COMPUTED_VALUE"""),"주유비")</f>
        <v>주유비</v>
      </c>
      <c r="AG82" s="214"/>
      <c r="AH82" s="214" t="str">
        <f>IFERROR(__xludf.DUMMYFUNCTION("""COMPUTED_VALUE"""),"기타")</f>
        <v>기타</v>
      </c>
      <c r="AI82" s="214"/>
      <c r="AJ82" s="215"/>
    </row>
    <row r="83">
      <c r="H83" s="208">
        <v>45664.0</v>
      </c>
      <c r="I83" s="209" t="s">
        <v>31</v>
      </c>
      <c r="J83" s="209" t="s">
        <v>28</v>
      </c>
      <c r="K83" s="210">
        <v>10900.0</v>
      </c>
      <c r="L83" s="211" t="s">
        <v>64</v>
      </c>
      <c r="M83" s="143"/>
      <c r="N83" s="211" t="s">
        <v>170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IFERROR(__xludf.DUMMYFUNCTION("FILTER('설정시트'!$D$7:$L$20,'설정시트'!$C$7:$C$20=I83)"),"식재료비")</f>
        <v>식재료비</v>
      </c>
      <c r="AC83" s="214" t="str">
        <f>IFERROR(__xludf.DUMMYFUNCTION("""COMPUTED_VALUE"""),"회사점심")</f>
        <v>회사점심</v>
      </c>
      <c r="AD83" s="214" t="str">
        <f>IFERROR(__xludf.DUMMYFUNCTION("""COMPUTED_VALUE"""),"간식/카페")</f>
        <v>간식/카페</v>
      </c>
      <c r="AE83" s="214" t="str">
        <f>IFERROR(__xludf.DUMMYFUNCTION("""COMPUTED_VALUE"""),"외식/배달")</f>
        <v>외식/배달</v>
      </c>
      <c r="AF83" s="214" t="str">
        <f>IFERROR(__xludf.DUMMYFUNCTION("""COMPUTED_VALUE"""),"기타")</f>
        <v>기타</v>
      </c>
      <c r="AG83" s="214"/>
      <c r="AH83" s="214"/>
      <c r="AI83" s="214"/>
      <c r="AJ83" s="215"/>
    </row>
    <row r="84">
      <c r="H84" s="208">
        <v>45664.0</v>
      </c>
      <c r="I84" s="209" t="s">
        <v>21</v>
      </c>
      <c r="J84" s="209" t="s">
        <v>18</v>
      </c>
      <c r="K84" s="210">
        <v>3300.0</v>
      </c>
      <c r="L84" s="211" t="s">
        <v>171</v>
      </c>
      <c r="M84" s="143"/>
      <c r="N84" s="211" t="s">
        <v>172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IFERROR(__xludf.DUMMYFUNCTION("FILTER('설정시트'!$D$7:$L$20,'설정시트'!$C$7:$C$20=I84)"),"관리비")</f>
        <v>관리비</v>
      </c>
      <c r="AC84" s="214" t="str">
        <f>IFERROR(__xludf.DUMMYFUNCTION("""COMPUTED_VALUE"""),"대출이자")</f>
        <v>대출이자</v>
      </c>
      <c r="AD84" s="214" t="str">
        <f>IFERROR(__xludf.DUMMYFUNCTION("""COMPUTED_VALUE"""),"통신비")</f>
        <v>통신비</v>
      </c>
      <c r="AE84" s="214" t="str">
        <f>IFERROR(__xludf.DUMMYFUNCTION("""COMPUTED_VALUE"""),"보험료")</f>
        <v>보험료</v>
      </c>
      <c r="AF84" s="214" t="str">
        <f>IFERROR(__xludf.DUMMYFUNCTION("""COMPUTED_VALUE"""),"곗돈")</f>
        <v>곗돈</v>
      </c>
      <c r="AG84" s="214"/>
      <c r="AH84" s="214"/>
      <c r="AI84" s="214"/>
      <c r="AJ84" s="215"/>
    </row>
    <row r="85">
      <c r="H85" s="208">
        <v>45664.0</v>
      </c>
      <c r="I85" s="209" t="s">
        <v>26</v>
      </c>
      <c r="J85" s="209" t="s">
        <v>28</v>
      </c>
      <c r="K85" s="210">
        <f>22800</f>
        <v>22800</v>
      </c>
      <c r="L85" s="211" t="s">
        <v>57</v>
      </c>
      <c r="M85" s="143"/>
      <c r="N85" s="211" t="s">
        <v>173</v>
      </c>
      <c r="O85" s="212"/>
      <c r="P85" s="212"/>
      <c r="Q85" s="143"/>
      <c r="R85" s="211" t="s">
        <v>174</v>
      </c>
      <c r="S85" s="212"/>
      <c r="T85" s="145"/>
      <c r="AB85" s="214" t="str">
        <f>IFERROR(__xludf.DUMMYFUNCTION("FILTER('설정시트'!$D$7:$L$20,'설정시트'!$C$7:$C$20=I85)"),"식재료비")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  <c r="AJ85" s="215"/>
    </row>
    <row r="86">
      <c r="H86" s="208">
        <v>45664.0</v>
      </c>
      <c r="I86" s="209" t="s">
        <v>26</v>
      </c>
      <c r="J86" s="209" t="s">
        <v>27</v>
      </c>
      <c r="K86" s="210">
        <v>6000.0</v>
      </c>
      <c r="L86" s="211" t="s">
        <v>57</v>
      </c>
      <c r="M86" s="143"/>
      <c r="N86" s="211" t="s">
        <v>175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IFERROR(__xludf.DUMMYFUNCTION("FILTER('설정시트'!$D$7:$L$20,'설정시트'!$C$7:$C$20=I86)"),"식재료비")</f>
        <v>식재료비</v>
      </c>
      <c r="AC86" s="214" t="str">
        <f>IFERROR(__xludf.DUMMYFUNCTION("""COMPUTED_VALUE"""),"회사점심")</f>
        <v>회사점심</v>
      </c>
      <c r="AD86" s="214" t="str">
        <f>IFERROR(__xludf.DUMMYFUNCTION("""COMPUTED_VALUE"""),"간식/카페")</f>
        <v>간식/카페</v>
      </c>
      <c r="AE86" s="214" t="str">
        <f>IFERROR(__xludf.DUMMYFUNCTION("""COMPUTED_VALUE"""),"외식/배달")</f>
        <v>외식/배달</v>
      </c>
      <c r="AF86" s="214" t="str">
        <f>IFERROR(__xludf.DUMMYFUNCTION("""COMPUTED_VALUE"""),"기타")</f>
        <v>기타</v>
      </c>
      <c r="AG86" s="214"/>
      <c r="AH86" s="214"/>
      <c r="AI86" s="214"/>
      <c r="AJ86" s="215"/>
    </row>
    <row r="87">
      <c r="H87" s="208">
        <v>45664.0</v>
      </c>
      <c r="I87" s="209" t="s">
        <v>26</v>
      </c>
      <c r="J87" s="209" t="s">
        <v>27</v>
      </c>
      <c r="K87" s="210">
        <v>31726.0</v>
      </c>
      <c r="L87" s="211" t="s">
        <v>57</v>
      </c>
      <c r="M87" s="143"/>
      <c r="N87" s="211" t="s">
        <v>176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IFERROR(__xludf.DUMMYFUNCTION("FILTER('설정시트'!$D$7:$L$20,'설정시트'!$C$7:$C$20=I87)"),"식재료비")</f>
        <v>식재료비</v>
      </c>
      <c r="AC87" s="214" t="str">
        <f>IFERROR(__xludf.DUMMYFUNCTION("""COMPUTED_VALUE"""),"회사점심")</f>
        <v>회사점심</v>
      </c>
      <c r="AD87" s="214" t="str">
        <f>IFERROR(__xludf.DUMMYFUNCTION("""COMPUTED_VALUE"""),"간식/카페")</f>
        <v>간식/카페</v>
      </c>
      <c r="AE87" s="214" t="str">
        <f>IFERROR(__xludf.DUMMYFUNCTION("""COMPUTED_VALUE"""),"외식/배달")</f>
        <v>외식/배달</v>
      </c>
      <c r="AF87" s="214" t="str">
        <f>IFERROR(__xludf.DUMMYFUNCTION("""COMPUTED_VALUE"""),"기타")</f>
        <v>기타</v>
      </c>
      <c r="AG87" s="214"/>
      <c r="AH87" s="214"/>
      <c r="AI87" s="214"/>
      <c r="AJ87" s="215"/>
    </row>
    <row r="88">
      <c r="H88" s="208">
        <v>45665.0</v>
      </c>
      <c r="I88" s="209" t="s">
        <v>31</v>
      </c>
      <c r="J88" s="209" t="s">
        <v>28</v>
      </c>
      <c r="K88" s="210">
        <v>11000.0</v>
      </c>
      <c r="L88" s="211" t="s">
        <v>64</v>
      </c>
      <c r="M88" s="143"/>
      <c r="N88" s="211" t="s">
        <v>177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IFERROR(__xludf.DUMMYFUNCTION("FILTER('설정시트'!$D$7:$L$20,'설정시트'!$C$7:$C$20=I88)"),"식재료비")</f>
        <v>식재료비</v>
      </c>
      <c r="AC88" s="214" t="str">
        <f>IFERROR(__xludf.DUMMYFUNCTION("""COMPUTED_VALUE"""),"회사점심")</f>
        <v>회사점심</v>
      </c>
      <c r="AD88" s="214" t="str">
        <f>IFERROR(__xludf.DUMMYFUNCTION("""COMPUTED_VALUE"""),"간식/카페")</f>
        <v>간식/카페</v>
      </c>
      <c r="AE88" s="214" t="str">
        <f>IFERROR(__xludf.DUMMYFUNCTION("""COMPUTED_VALUE"""),"외식/배달")</f>
        <v>외식/배달</v>
      </c>
      <c r="AF88" s="214" t="str">
        <f>IFERROR(__xludf.DUMMYFUNCTION("""COMPUTED_VALUE"""),"기타")</f>
        <v>기타</v>
      </c>
      <c r="AG88" s="214"/>
      <c r="AH88" s="214"/>
      <c r="AI88" s="214"/>
      <c r="AJ88" s="215"/>
    </row>
    <row r="89">
      <c r="H89" s="208">
        <v>45665.0</v>
      </c>
      <c r="I89" s="209" t="s">
        <v>26</v>
      </c>
      <c r="J89" s="209" t="s">
        <v>28</v>
      </c>
      <c r="K89" s="210">
        <v>23800.0</v>
      </c>
      <c r="L89" s="211" t="s">
        <v>57</v>
      </c>
      <c r="M89" s="143"/>
      <c r="N89" s="211" t="s">
        <v>173</v>
      </c>
      <c r="O89" s="212"/>
      <c r="P89" s="212"/>
      <c r="Q89" s="143"/>
      <c r="R89" s="211" t="s">
        <v>178</v>
      </c>
      <c r="S89" s="212"/>
      <c r="T89" s="145"/>
      <c r="AB89" s="214" t="str">
        <f>IFERROR(__xludf.DUMMYFUNCTION("FILTER('설정시트'!$D$7:$L$20,'설정시트'!$C$7:$C$20=I89)"),"식재료비")</f>
        <v>식재료비</v>
      </c>
      <c r="AC89" s="214" t="str">
        <f>IFERROR(__xludf.DUMMYFUNCTION("""COMPUTED_VALUE"""),"회사점심")</f>
        <v>회사점심</v>
      </c>
      <c r="AD89" s="214" t="str">
        <f>IFERROR(__xludf.DUMMYFUNCTION("""COMPUTED_VALUE"""),"간식/카페")</f>
        <v>간식/카페</v>
      </c>
      <c r="AE89" s="214" t="str">
        <f>IFERROR(__xludf.DUMMYFUNCTION("""COMPUTED_VALUE"""),"외식/배달")</f>
        <v>외식/배달</v>
      </c>
      <c r="AF89" s="214" t="str">
        <f>IFERROR(__xludf.DUMMYFUNCTION("""COMPUTED_VALUE"""),"기타")</f>
        <v>기타</v>
      </c>
      <c r="AG89" s="214"/>
      <c r="AH89" s="214"/>
      <c r="AI89" s="214"/>
      <c r="AJ89" s="215"/>
    </row>
    <row r="90">
      <c r="H90" s="208">
        <v>45665.0</v>
      </c>
      <c r="I90" s="209" t="s">
        <v>32</v>
      </c>
      <c r="J90" s="209" t="s">
        <v>37</v>
      </c>
      <c r="K90" s="216">
        <v>49000.0</v>
      </c>
      <c r="L90" s="211" t="s">
        <v>55</v>
      </c>
      <c r="M90" s="143"/>
      <c r="N90" s="211" t="s">
        <v>179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IFERROR(__xludf.DUMMYFUNCTION("FILTER('설정시트'!$D$7:$L$20,'설정시트'!$C$7:$C$20=I90)"),"의류/잡화")</f>
        <v>의류/잡화</v>
      </c>
      <c r="AC90" s="214" t="str">
        <f>IFERROR(__xludf.DUMMYFUNCTION("""COMPUTED_VALUE"""),"OTT")</f>
        <v>OTT</v>
      </c>
      <c r="AD90" s="214" t="str">
        <f>IFERROR(__xludf.DUMMYFUNCTION("""COMPUTED_VALUE"""),"문화생활")</f>
        <v>문화생활</v>
      </c>
      <c r="AE90" s="214" t="str">
        <f>IFERROR(__xludf.DUMMYFUNCTION("""COMPUTED_VALUE"""),"자기계발")</f>
        <v>자기계발</v>
      </c>
      <c r="AF90" s="214" t="str">
        <f>IFERROR(__xludf.DUMMYFUNCTION("""COMPUTED_VALUE"""),"미용")</f>
        <v>미용</v>
      </c>
      <c r="AG90" s="214"/>
      <c r="AH90" s="214" t="str">
        <f>IFERROR(__xludf.DUMMYFUNCTION("""COMPUTED_VALUE"""),"기타")</f>
        <v>기타</v>
      </c>
      <c r="AI90" s="214"/>
      <c r="AJ90" s="215"/>
    </row>
    <row r="91">
      <c r="H91" s="208">
        <v>45665.0</v>
      </c>
      <c r="I91" s="209" t="s">
        <v>32</v>
      </c>
      <c r="J91" s="209" t="s">
        <v>33</v>
      </c>
      <c r="K91" s="216">
        <v>100000.0</v>
      </c>
      <c r="L91" s="211" t="s">
        <v>55</v>
      </c>
      <c r="M91" s="143"/>
      <c r="N91" s="211" t="s">
        <v>180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IFERROR(__xludf.DUMMYFUNCTION("FILTER('설정시트'!$D$7:$L$20,'설정시트'!$C$7:$C$20=I91)"),"의류/잡화")</f>
        <v>의류/잡화</v>
      </c>
      <c r="AC91" s="214" t="str">
        <f>IFERROR(__xludf.DUMMYFUNCTION("""COMPUTED_VALUE"""),"OTT")</f>
        <v>OTT</v>
      </c>
      <c r="AD91" s="214" t="str">
        <f>IFERROR(__xludf.DUMMYFUNCTION("""COMPUTED_VALUE"""),"문화생활")</f>
        <v>문화생활</v>
      </c>
      <c r="AE91" s="214" t="str">
        <f>IFERROR(__xludf.DUMMYFUNCTION("""COMPUTED_VALUE"""),"자기계발")</f>
        <v>자기계발</v>
      </c>
      <c r="AF91" s="214" t="str">
        <f>IFERROR(__xludf.DUMMYFUNCTION("""COMPUTED_VALUE"""),"미용")</f>
        <v>미용</v>
      </c>
      <c r="AG91" s="214"/>
      <c r="AH91" s="214" t="str">
        <f>IFERROR(__xludf.DUMMYFUNCTION("""COMPUTED_VALUE"""),"기타")</f>
        <v>기타</v>
      </c>
      <c r="AI91" s="214"/>
      <c r="AJ91" s="215"/>
    </row>
    <row r="92">
      <c r="H92" s="208">
        <v>45666.0</v>
      </c>
      <c r="I92" s="209" t="s">
        <v>31</v>
      </c>
      <c r="J92" s="209" t="s">
        <v>28</v>
      </c>
      <c r="K92" s="210">
        <v>9000.0</v>
      </c>
      <c r="L92" s="211" t="s">
        <v>64</v>
      </c>
      <c r="M92" s="143"/>
      <c r="N92" s="211" t="s">
        <v>181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IFERROR(__xludf.DUMMYFUNCTION("FILTER('설정시트'!$D$7:$L$20,'설정시트'!$C$7:$C$20=I92)"),"식재료비")</f>
        <v>식재료비</v>
      </c>
      <c r="AC92" s="214" t="str">
        <f>IFERROR(__xludf.DUMMYFUNCTION("""COMPUTED_VALUE"""),"회사점심")</f>
        <v>회사점심</v>
      </c>
      <c r="AD92" s="214" t="str">
        <f>IFERROR(__xludf.DUMMYFUNCTION("""COMPUTED_VALUE"""),"간식/카페")</f>
        <v>간식/카페</v>
      </c>
      <c r="AE92" s="214" t="str">
        <f>IFERROR(__xludf.DUMMYFUNCTION("""COMPUTED_VALUE"""),"외식/배달")</f>
        <v>외식/배달</v>
      </c>
      <c r="AF92" s="214" t="str">
        <f>IFERROR(__xludf.DUMMYFUNCTION("""COMPUTED_VALUE"""),"기타")</f>
        <v>기타</v>
      </c>
      <c r="AG92" s="214"/>
      <c r="AH92" s="214"/>
      <c r="AI92" s="214"/>
      <c r="AJ92" s="215"/>
    </row>
    <row r="93">
      <c r="H93" s="208">
        <v>45666.0</v>
      </c>
      <c r="I93" s="209" t="s">
        <v>25</v>
      </c>
      <c r="J93" s="209" t="s">
        <v>24</v>
      </c>
      <c r="K93" s="210">
        <v>33880.0</v>
      </c>
      <c r="L93" s="211" t="s">
        <v>61</v>
      </c>
      <c r="M93" s="143"/>
      <c r="N93" s="211" t="s">
        <v>182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IFERROR(__xludf.DUMMYFUNCTION("FILTER('설정시트'!$D$7:$L$20,'설정시트'!$C$7:$C$20=I93)"),"주방/욕실")</f>
        <v>주방/욕실</v>
      </c>
      <c r="AC93" s="214" t="str">
        <f>IFERROR(__xludf.DUMMYFUNCTION("""COMPUTED_VALUE"""),"소모품")</f>
        <v>소모품</v>
      </c>
      <c r="AD93" s="214" t="str">
        <f>IFERROR(__xludf.DUMMYFUNCTION("""COMPUTED_VALUE"""),"기타")</f>
        <v>기타</v>
      </c>
      <c r="AE93" s="214"/>
      <c r="AF93" s="214"/>
      <c r="AG93" s="214"/>
      <c r="AH93" s="214"/>
      <c r="AI93" s="214"/>
      <c r="AJ93" s="215"/>
    </row>
    <row r="94">
      <c r="H94" s="208">
        <v>45666.0</v>
      </c>
      <c r="I94" s="209" t="s">
        <v>22</v>
      </c>
      <c r="J94" s="209" t="s">
        <v>24</v>
      </c>
      <c r="K94" s="210">
        <f>4890+4890</f>
        <v>9780</v>
      </c>
      <c r="L94" s="211" t="s">
        <v>57</v>
      </c>
      <c r="M94" s="143"/>
      <c r="N94" s="211" t="s">
        <v>183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IFERROR(__xludf.DUMMYFUNCTION("FILTER('설정시트'!$D$7:$L$20,'설정시트'!$C$7:$C$20=I94)"),"주방/욕실")</f>
        <v>주방/욕실</v>
      </c>
      <c r="AC94" s="214" t="str">
        <f>IFERROR(__xludf.DUMMYFUNCTION("""COMPUTED_VALUE"""),"소모품")</f>
        <v>소모품</v>
      </c>
      <c r="AD94" s="214" t="str">
        <f>IFERROR(__xludf.DUMMYFUNCTION("""COMPUTED_VALUE"""),"기타")</f>
        <v>기타</v>
      </c>
      <c r="AE94" s="214"/>
      <c r="AF94" s="214"/>
      <c r="AG94" s="214"/>
      <c r="AH94" s="214"/>
      <c r="AI94" s="214"/>
      <c r="AJ94" s="215"/>
    </row>
    <row r="95">
      <c r="H95" s="208">
        <v>45666.0</v>
      </c>
      <c r="I95" s="209" t="s">
        <v>14</v>
      </c>
      <c r="J95" s="209" t="s">
        <v>18</v>
      </c>
      <c r="K95" s="210">
        <v>54560.0</v>
      </c>
      <c r="L95" s="211" t="s">
        <v>58</v>
      </c>
      <c r="M95" s="143"/>
      <c r="N95" s="211" t="s">
        <v>184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IFERROR(__xludf.DUMMYFUNCTION("FILTER('설정시트'!$D$7:$L$20,'설정시트'!$C$7:$C$20=I95)"),"관리비")</f>
        <v>관리비</v>
      </c>
      <c r="AC95" s="214" t="str">
        <f>IFERROR(__xludf.DUMMYFUNCTION("""COMPUTED_VALUE"""),"월세")</f>
        <v>월세</v>
      </c>
      <c r="AD95" s="214" t="str">
        <f>IFERROR(__xludf.DUMMYFUNCTION("""COMPUTED_VALUE"""),"대출이자")</f>
        <v>대출이자</v>
      </c>
      <c r="AE95" s="214" t="str">
        <f>IFERROR(__xludf.DUMMYFUNCTION("""COMPUTED_VALUE"""),"통신비")</f>
        <v>통신비</v>
      </c>
      <c r="AF95" s="214" t="str">
        <f>IFERROR(__xludf.DUMMYFUNCTION("""COMPUTED_VALUE"""),"보험료")</f>
        <v>보험료</v>
      </c>
      <c r="AG95" s="214"/>
      <c r="AH95" s="214" t="str">
        <f>IFERROR(__xludf.DUMMYFUNCTION("""COMPUTED_VALUE"""),"곗돈")</f>
        <v>곗돈</v>
      </c>
      <c r="AI95" s="214"/>
      <c r="AJ95" s="215"/>
    </row>
    <row r="96">
      <c r="H96" s="208">
        <v>45666.0</v>
      </c>
      <c r="I96" s="209" t="s">
        <v>21</v>
      </c>
      <c r="J96" s="209" t="s">
        <v>18</v>
      </c>
      <c r="K96" s="216">
        <v>40750.0</v>
      </c>
      <c r="L96" s="211" t="s">
        <v>64</v>
      </c>
      <c r="M96" s="143"/>
      <c r="N96" s="211" t="s">
        <v>185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IFERROR(__xludf.DUMMYFUNCTION("FILTER('설정시트'!$D$7:$L$20,'설정시트'!$C$7:$C$20=I96)"),"관리비")</f>
        <v>관리비</v>
      </c>
      <c r="AC96" s="214" t="str">
        <f>IFERROR(__xludf.DUMMYFUNCTION("""COMPUTED_VALUE"""),"대출이자")</f>
        <v>대출이자</v>
      </c>
      <c r="AD96" s="214" t="str">
        <f>IFERROR(__xludf.DUMMYFUNCTION("""COMPUTED_VALUE"""),"통신비")</f>
        <v>통신비</v>
      </c>
      <c r="AE96" s="214" t="str">
        <f>IFERROR(__xludf.DUMMYFUNCTION("""COMPUTED_VALUE"""),"보험료")</f>
        <v>보험료</v>
      </c>
      <c r="AF96" s="214" t="str">
        <f>IFERROR(__xludf.DUMMYFUNCTION("""COMPUTED_VALUE"""),"곗돈")</f>
        <v>곗돈</v>
      </c>
      <c r="AG96" s="214"/>
      <c r="AH96" s="214"/>
      <c r="AI96" s="214"/>
      <c r="AJ96" s="215"/>
    </row>
    <row r="97">
      <c r="H97" s="208">
        <v>45667.0</v>
      </c>
      <c r="I97" s="209" t="s">
        <v>21</v>
      </c>
      <c r="J97" s="209" t="s">
        <v>20</v>
      </c>
      <c r="K97" s="210">
        <v>50000.0</v>
      </c>
      <c r="L97" s="211" t="s">
        <v>62</v>
      </c>
      <c r="M97" s="143"/>
      <c r="N97" s="211" t="s">
        <v>186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IFERROR(__xludf.DUMMYFUNCTION("FILTER('설정시트'!$D$7:$L$20,'설정시트'!$C$7:$C$20=I97)"),"관리비")</f>
        <v>관리비</v>
      </c>
      <c r="AC97" s="214" t="str">
        <f>IFERROR(__xludf.DUMMYFUNCTION("""COMPUTED_VALUE"""),"대출이자")</f>
        <v>대출이자</v>
      </c>
      <c r="AD97" s="214" t="str">
        <f>IFERROR(__xludf.DUMMYFUNCTION("""COMPUTED_VALUE"""),"통신비")</f>
        <v>통신비</v>
      </c>
      <c r="AE97" s="214" t="str">
        <f>IFERROR(__xludf.DUMMYFUNCTION("""COMPUTED_VALUE"""),"보험료")</f>
        <v>보험료</v>
      </c>
      <c r="AF97" s="214" t="str">
        <f>IFERROR(__xludf.DUMMYFUNCTION("""COMPUTED_VALUE"""),"곗돈")</f>
        <v>곗돈</v>
      </c>
      <c r="AG97" s="214"/>
      <c r="AH97" s="214"/>
      <c r="AI97" s="214"/>
      <c r="AJ97" s="215"/>
    </row>
    <row r="98">
      <c r="H98" s="208">
        <v>45667.0</v>
      </c>
      <c r="I98" s="209" t="s">
        <v>14</v>
      </c>
      <c r="J98" s="209" t="s">
        <v>18</v>
      </c>
      <c r="K98" s="210">
        <v>65000.0</v>
      </c>
      <c r="L98" s="211" t="s">
        <v>57</v>
      </c>
      <c r="M98" s="143"/>
      <c r="N98" s="211" t="s">
        <v>187</v>
      </c>
      <c r="O98" s="212"/>
      <c r="P98" s="212"/>
      <c r="Q98" s="143"/>
      <c r="R98" s="211" t="s">
        <v>188</v>
      </c>
      <c r="S98" s="212"/>
      <c r="T98" s="145"/>
      <c r="AB98" s="214" t="str">
        <f>IFERROR(__xludf.DUMMYFUNCTION("FILTER('설정시트'!$D$7:$L$20,'설정시트'!$C$7:$C$20=I98)"),"관리비")</f>
        <v>관리비</v>
      </c>
      <c r="AC98" s="214" t="str">
        <f>IFERROR(__xludf.DUMMYFUNCTION("""COMPUTED_VALUE"""),"월세")</f>
        <v>월세</v>
      </c>
      <c r="AD98" s="214" t="str">
        <f>IFERROR(__xludf.DUMMYFUNCTION("""COMPUTED_VALUE"""),"대출이자")</f>
        <v>대출이자</v>
      </c>
      <c r="AE98" s="214" t="str">
        <f>IFERROR(__xludf.DUMMYFUNCTION("""COMPUTED_VALUE"""),"통신비")</f>
        <v>통신비</v>
      </c>
      <c r="AF98" s="214" t="str">
        <f>IFERROR(__xludf.DUMMYFUNCTION("""COMPUTED_VALUE"""),"보험료")</f>
        <v>보험료</v>
      </c>
      <c r="AG98" s="214"/>
      <c r="AH98" s="214" t="str">
        <f>IFERROR(__xludf.DUMMYFUNCTION("""COMPUTED_VALUE"""),"곗돈")</f>
        <v>곗돈</v>
      </c>
      <c r="AI98" s="214"/>
      <c r="AJ98" s="215"/>
    </row>
    <row r="99">
      <c r="H99" s="208">
        <v>45667.0</v>
      </c>
      <c r="I99" s="209" t="s">
        <v>26</v>
      </c>
      <c r="J99" s="209" t="s">
        <v>30</v>
      </c>
      <c r="K99" s="210">
        <v>24300.0</v>
      </c>
      <c r="L99" s="211" t="s">
        <v>57</v>
      </c>
      <c r="M99" s="143"/>
      <c r="N99" s="211" t="s">
        <v>189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IFERROR(__xludf.DUMMYFUNCTION("FILTER('설정시트'!$D$7:$L$20,'설정시트'!$C$7:$C$20=I99)"),"식재료비")</f>
        <v>식재료비</v>
      </c>
      <c r="AC99" s="214" t="str">
        <f>IFERROR(__xludf.DUMMYFUNCTION("""COMPUTED_VALUE"""),"회사점심")</f>
        <v>회사점심</v>
      </c>
      <c r="AD99" s="214" t="str">
        <f>IFERROR(__xludf.DUMMYFUNCTION("""COMPUTED_VALUE"""),"간식/카페")</f>
        <v>간식/카페</v>
      </c>
      <c r="AE99" s="214" t="str">
        <f>IFERROR(__xludf.DUMMYFUNCTION("""COMPUTED_VALUE"""),"외식/배달")</f>
        <v>외식/배달</v>
      </c>
      <c r="AF99" s="214" t="str">
        <f>IFERROR(__xludf.DUMMYFUNCTION("""COMPUTED_VALUE"""),"기타")</f>
        <v>기타</v>
      </c>
      <c r="AG99" s="214"/>
      <c r="AH99" s="214"/>
      <c r="AI99" s="214"/>
      <c r="AJ99" s="215"/>
    </row>
    <row r="100">
      <c r="H100" s="208">
        <v>45667.0</v>
      </c>
      <c r="I100" s="209" t="s">
        <v>3</v>
      </c>
      <c r="J100" s="209" t="s">
        <v>5</v>
      </c>
      <c r="K100" s="210">
        <v>93000.0</v>
      </c>
      <c r="L100" s="211"/>
      <c r="M100" s="143"/>
      <c r="N100" s="211" t="s">
        <v>190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IFERROR(__xludf.DUMMYFUNCTION("FILTER('설정시트'!$D$7:$L$20,'설정시트'!$C$7:$C$20=I100)"),"🍪 월급")</f>
        <v>🍪 월급</v>
      </c>
      <c r="AC100" s="214" t="str">
        <f>IFERROR(__xludf.DUMMYFUNCTION("""COMPUTED_VALUE"""),"🍪 부수입")</f>
        <v>🍪 부수입</v>
      </c>
      <c r="AD100" s="214" t="str">
        <f>IFERROR(__xludf.DUMMYFUNCTION("""COMPUTED_VALUE"""),"🐻 월급")</f>
        <v>🐻 월급</v>
      </c>
      <c r="AE100" s="214" t="str">
        <f>IFERROR(__xludf.DUMMYFUNCTION("""COMPUTED_VALUE"""),"🐻 부수입")</f>
        <v>🐻 부수입</v>
      </c>
      <c r="AF100" s="214" t="str">
        <f>IFERROR(__xludf.DUMMYFUNCTION("""COMPUTED_VALUE"""),"기타")</f>
        <v>기타</v>
      </c>
      <c r="AG100" s="214"/>
      <c r="AH100" s="214"/>
      <c r="AI100" s="214"/>
      <c r="AJ100" s="215"/>
    </row>
    <row r="101">
      <c r="H101" s="208">
        <v>45667.0</v>
      </c>
      <c r="I101" s="209" t="s">
        <v>39</v>
      </c>
      <c r="J101" s="209" t="s">
        <v>8</v>
      </c>
      <c r="K101" s="216">
        <v>850000.0</v>
      </c>
      <c r="L101" s="211" t="s">
        <v>55</v>
      </c>
      <c r="M101" s="143"/>
      <c r="N101" s="211" t="s">
        <v>191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IFERROR(__xludf.DUMMYFUNCTION("FILTER('설정시트'!$D$7:$L$20,'설정시트'!$C$7:$C$20=I101)"),"약국")</f>
        <v>약국</v>
      </c>
      <c r="AC101" s="214" t="str">
        <f>IFERROR(__xludf.DUMMYFUNCTION("""COMPUTED_VALUE"""),"병원비")</f>
        <v>병원비</v>
      </c>
      <c r="AD101" s="214" t="str">
        <f>IFERROR(__xludf.DUMMYFUNCTION("""COMPUTED_VALUE"""),"영양제")</f>
        <v>영양제</v>
      </c>
      <c r="AE101" s="214" t="str">
        <f>IFERROR(__xludf.DUMMYFUNCTION("""COMPUTED_VALUE"""),"교통비")</f>
        <v>교통비</v>
      </c>
      <c r="AF101" s="214" t="str">
        <f>IFERROR(__xludf.DUMMYFUNCTION("""COMPUTED_VALUE"""),"주유비")</f>
        <v>주유비</v>
      </c>
      <c r="AG101" s="214"/>
      <c r="AH101" s="214" t="str">
        <f>IFERROR(__xludf.DUMMYFUNCTION("""COMPUTED_VALUE"""),"기타")</f>
        <v>기타</v>
      </c>
      <c r="AI101" s="214"/>
      <c r="AJ101" s="215"/>
    </row>
    <row r="102">
      <c r="H102" s="208">
        <v>45668.0</v>
      </c>
      <c r="I102" s="209" t="s">
        <v>39</v>
      </c>
      <c r="J102" s="209" t="s">
        <v>41</v>
      </c>
      <c r="K102" s="210">
        <v>15950.0</v>
      </c>
      <c r="L102" s="211" t="s">
        <v>57</v>
      </c>
      <c r="M102" s="143"/>
      <c r="N102" s="211" t="s">
        <v>192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IFERROR(__xludf.DUMMYFUNCTION("FILTER('설정시트'!$D$7:$L$20,'설정시트'!$C$7:$C$20=I102)"),"약국")</f>
        <v>약국</v>
      </c>
      <c r="AC102" s="214" t="str">
        <f>IFERROR(__xludf.DUMMYFUNCTION("""COMPUTED_VALUE"""),"병원비")</f>
        <v>병원비</v>
      </c>
      <c r="AD102" s="214" t="str">
        <f>IFERROR(__xludf.DUMMYFUNCTION("""COMPUTED_VALUE"""),"영양제")</f>
        <v>영양제</v>
      </c>
      <c r="AE102" s="214" t="str">
        <f>IFERROR(__xludf.DUMMYFUNCTION("""COMPUTED_VALUE"""),"교통비")</f>
        <v>교통비</v>
      </c>
      <c r="AF102" s="214" t="str">
        <f>IFERROR(__xludf.DUMMYFUNCTION("""COMPUTED_VALUE"""),"주유비")</f>
        <v>주유비</v>
      </c>
      <c r="AG102" s="214"/>
      <c r="AH102" s="214" t="str">
        <f>IFERROR(__xludf.DUMMYFUNCTION("""COMPUTED_VALUE"""),"기타")</f>
        <v>기타</v>
      </c>
      <c r="AI102" s="214"/>
      <c r="AJ102" s="215"/>
    </row>
    <row r="103">
      <c r="H103" s="208">
        <v>45668.0</v>
      </c>
      <c r="I103" s="209" t="s">
        <v>26</v>
      </c>
      <c r="J103" s="209" t="s">
        <v>27</v>
      </c>
      <c r="K103" s="210">
        <v>19330.0</v>
      </c>
      <c r="L103" s="211" t="s">
        <v>57</v>
      </c>
      <c r="M103" s="143"/>
      <c r="N103" s="211" t="s">
        <v>193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IFERROR(__xludf.DUMMYFUNCTION("FILTER('설정시트'!$D$7:$L$20,'설정시트'!$C$7:$C$20=I103)"),"식재료비")</f>
        <v>식재료비</v>
      </c>
      <c r="AC103" s="214" t="str">
        <f>IFERROR(__xludf.DUMMYFUNCTION("""COMPUTED_VALUE"""),"회사점심")</f>
        <v>회사점심</v>
      </c>
      <c r="AD103" s="214" t="str">
        <f>IFERROR(__xludf.DUMMYFUNCTION("""COMPUTED_VALUE"""),"간식/카페")</f>
        <v>간식/카페</v>
      </c>
      <c r="AE103" s="214" t="str">
        <f>IFERROR(__xludf.DUMMYFUNCTION("""COMPUTED_VALUE"""),"외식/배달")</f>
        <v>외식/배달</v>
      </c>
      <c r="AF103" s="214" t="str">
        <f>IFERROR(__xludf.DUMMYFUNCTION("""COMPUTED_VALUE"""),"기타")</f>
        <v>기타</v>
      </c>
      <c r="AG103" s="214"/>
      <c r="AH103" s="214"/>
      <c r="AI103" s="214"/>
      <c r="AJ103" s="215"/>
    </row>
    <row r="104">
      <c r="H104" s="208">
        <v>45668.0</v>
      </c>
      <c r="I104" s="209" t="s">
        <v>26</v>
      </c>
      <c r="J104" s="209" t="s">
        <v>30</v>
      </c>
      <c r="K104" s="210">
        <v>47800.0</v>
      </c>
      <c r="L104" s="211" t="s">
        <v>57</v>
      </c>
      <c r="M104" s="143"/>
      <c r="N104" s="211" t="s">
        <v>194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IFERROR(__xludf.DUMMYFUNCTION("FILTER('설정시트'!$D$7:$L$20,'설정시트'!$C$7:$C$20=I104)"),"식재료비")</f>
        <v>식재료비</v>
      </c>
      <c r="AC104" s="214" t="str">
        <f>IFERROR(__xludf.DUMMYFUNCTION("""COMPUTED_VALUE"""),"회사점심")</f>
        <v>회사점심</v>
      </c>
      <c r="AD104" s="214" t="str">
        <f>IFERROR(__xludf.DUMMYFUNCTION("""COMPUTED_VALUE"""),"간식/카페")</f>
        <v>간식/카페</v>
      </c>
      <c r="AE104" s="214" t="str">
        <f>IFERROR(__xludf.DUMMYFUNCTION("""COMPUTED_VALUE"""),"외식/배달")</f>
        <v>외식/배달</v>
      </c>
      <c r="AF104" s="214" t="str">
        <f>IFERROR(__xludf.DUMMYFUNCTION("""COMPUTED_VALUE"""),"기타")</f>
        <v>기타</v>
      </c>
      <c r="AG104" s="214"/>
      <c r="AH104" s="214"/>
      <c r="AI104" s="214"/>
      <c r="AJ104" s="215"/>
    </row>
    <row r="105">
      <c r="H105" s="208">
        <v>45668.0</v>
      </c>
      <c r="I105" s="209" t="s">
        <v>32</v>
      </c>
      <c r="J105" s="209" t="s">
        <v>33</v>
      </c>
      <c r="K105" s="210">
        <v>54900.0</v>
      </c>
      <c r="L105" s="211" t="s">
        <v>57</v>
      </c>
      <c r="M105" s="143"/>
      <c r="N105" s="211" t="s">
        <v>195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IFERROR(__xludf.DUMMYFUNCTION("FILTER('설정시트'!$D$7:$L$20,'설정시트'!$C$7:$C$20=I105)"),"의류/잡화")</f>
        <v>의류/잡화</v>
      </c>
      <c r="AC105" s="214" t="str">
        <f>IFERROR(__xludf.DUMMYFUNCTION("""COMPUTED_VALUE"""),"OTT")</f>
        <v>OTT</v>
      </c>
      <c r="AD105" s="214" t="str">
        <f>IFERROR(__xludf.DUMMYFUNCTION("""COMPUTED_VALUE"""),"문화생활")</f>
        <v>문화생활</v>
      </c>
      <c r="AE105" s="214" t="str">
        <f>IFERROR(__xludf.DUMMYFUNCTION("""COMPUTED_VALUE"""),"자기계발")</f>
        <v>자기계발</v>
      </c>
      <c r="AF105" s="214" t="str">
        <f>IFERROR(__xludf.DUMMYFUNCTION("""COMPUTED_VALUE"""),"미용")</f>
        <v>미용</v>
      </c>
      <c r="AG105" s="214"/>
      <c r="AH105" s="214" t="str">
        <f>IFERROR(__xludf.DUMMYFUNCTION("""COMPUTED_VALUE"""),"기타")</f>
        <v>기타</v>
      </c>
      <c r="AI105" s="214"/>
      <c r="AJ105" s="215"/>
    </row>
    <row r="106">
      <c r="H106" s="208">
        <v>45668.0</v>
      </c>
      <c r="I106" s="209" t="s">
        <v>32</v>
      </c>
      <c r="J106" s="209" t="s">
        <v>37</v>
      </c>
      <c r="K106" s="210">
        <v>29800.0</v>
      </c>
      <c r="L106" s="211" t="s">
        <v>57</v>
      </c>
      <c r="M106" s="143"/>
      <c r="N106" s="211" t="s">
        <v>196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IFERROR(__xludf.DUMMYFUNCTION("FILTER('설정시트'!$D$7:$L$20,'설정시트'!$C$7:$C$20=I106)"),"의류/잡화")</f>
        <v>의류/잡화</v>
      </c>
      <c r="AC106" s="214" t="str">
        <f>IFERROR(__xludf.DUMMYFUNCTION("""COMPUTED_VALUE"""),"OTT")</f>
        <v>OTT</v>
      </c>
      <c r="AD106" s="214" t="str">
        <f>IFERROR(__xludf.DUMMYFUNCTION("""COMPUTED_VALUE"""),"문화생활")</f>
        <v>문화생활</v>
      </c>
      <c r="AE106" s="214" t="str">
        <f>IFERROR(__xludf.DUMMYFUNCTION("""COMPUTED_VALUE"""),"자기계발")</f>
        <v>자기계발</v>
      </c>
      <c r="AF106" s="214" t="str">
        <f>IFERROR(__xludf.DUMMYFUNCTION("""COMPUTED_VALUE"""),"미용")</f>
        <v>미용</v>
      </c>
      <c r="AG106" s="214"/>
      <c r="AH106" s="214" t="str">
        <f>IFERROR(__xludf.DUMMYFUNCTION("""COMPUTED_VALUE"""),"기타")</f>
        <v>기타</v>
      </c>
      <c r="AI106" s="214"/>
      <c r="AJ106" s="215"/>
    </row>
    <row r="107">
      <c r="H107" s="208">
        <v>45669.0</v>
      </c>
      <c r="I107" s="209" t="s">
        <v>26</v>
      </c>
      <c r="J107" s="209" t="s">
        <v>30</v>
      </c>
      <c r="K107" s="210">
        <v>22000.0</v>
      </c>
      <c r="L107" s="211" t="s">
        <v>57</v>
      </c>
      <c r="M107" s="143"/>
      <c r="N107" s="211" t="s">
        <v>197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IFERROR(__xludf.DUMMYFUNCTION("FILTER('설정시트'!$D$7:$L$20,'설정시트'!$C$7:$C$20=I107)"),"식재료비")</f>
        <v>식재료비</v>
      </c>
      <c r="AC107" s="214" t="str">
        <f>IFERROR(__xludf.DUMMYFUNCTION("""COMPUTED_VALUE"""),"회사점심")</f>
        <v>회사점심</v>
      </c>
      <c r="AD107" s="214" t="str">
        <f>IFERROR(__xludf.DUMMYFUNCTION("""COMPUTED_VALUE"""),"간식/카페")</f>
        <v>간식/카페</v>
      </c>
      <c r="AE107" s="214" t="str">
        <f>IFERROR(__xludf.DUMMYFUNCTION("""COMPUTED_VALUE"""),"외식/배달")</f>
        <v>외식/배달</v>
      </c>
      <c r="AF107" s="214" t="str">
        <f>IFERROR(__xludf.DUMMYFUNCTION("""COMPUTED_VALUE"""),"기타")</f>
        <v>기타</v>
      </c>
      <c r="AG107" s="214"/>
      <c r="AH107" s="214"/>
      <c r="AI107" s="214"/>
      <c r="AJ107" s="215"/>
    </row>
    <row r="108">
      <c r="H108" s="208">
        <v>45669.0</v>
      </c>
      <c r="I108" s="209" t="s">
        <v>26</v>
      </c>
      <c r="J108" s="209" t="s">
        <v>30</v>
      </c>
      <c r="K108" s="216">
        <v>26000.0</v>
      </c>
      <c r="L108" s="211" t="s">
        <v>57</v>
      </c>
      <c r="M108" s="143"/>
      <c r="N108" s="211" t="s">
        <v>198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  <c r="AJ108" s="215"/>
    </row>
    <row r="109">
      <c r="H109" s="208">
        <v>45669.0</v>
      </c>
      <c r="I109" s="209" t="s">
        <v>3</v>
      </c>
      <c r="J109" s="209" t="s">
        <v>8</v>
      </c>
      <c r="K109" s="210">
        <v>1000000.0</v>
      </c>
      <c r="L109" s="211"/>
      <c r="M109" s="143"/>
      <c r="N109" s="211" t="s">
        <v>199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IFERROR(__xludf.DUMMYFUNCTION("FILTER('설정시트'!$D$7:$L$20,'설정시트'!$C$7:$C$20=I109)"),"🍪 월급")</f>
        <v>🍪 월급</v>
      </c>
      <c r="AC109" s="214" t="str">
        <f>IFERROR(__xludf.DUMMYFUNCTION("""COMPUTED_VALUE"""),"🍪 부수입")</f>
        <v>🍪 부수입</v>
      </c>
      <c r="AD109" s="214" t="str">
        <f>IFERROR(__xludf.DUMMYFUNCTION("""COMPUTED_VALUE"""),"🐻 월급")</f>
        <v>🐻 월급</v>
      </c>
      <c r="AE109" s="214" t="str">
        <f>IFERROR(__xludf.DUMMYFUNCTION("""COMPUTED_VALUE"""),"🐻 부수입")</f>
        <v>🐻 부수입</v>
      </c>
      <c r="AF109" s="214" t="str">
        <f>IFERROR(__xludf.DUMMYFUNCTION("""COMPUTED_VALUE"""),"기타")</f>
        <v>기타</v>
      </c>
      <c r="AG109" s="214"/>
      <c r="AH109" s="214"/>
      <c r="AI109" s="214"/>
      <c r="AJ109" s="215"/>
    </row>
    <row r="110">
      <c r="H110" s="208">
        <v>45669.0</v>
      </c>
      <c r="I110" s="209" t="s">
        <v>52</v>
      </c>
      <c r="J110" s="209" t="s">
        <v>47</v>
      </c>
      <c r="K110" s="216">
        <v>300000.0</v>
      </c>
      <c r="L110" s="211" t="s">
        <v>62</v>
      </c>
      <c r="M110" s="143"/>
      <c r="N110" s="211" t="s">
        <v>200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IFERROR(__xludf.DUMMYFUNCTION("FILTER('설정시트'!$D$7:$L$20,'설정시트'!$C$7:$C$20=I110)"),"축의/부의금")</f>
        <v>축의/부의금</v>
      </c>
      <c r="AC110" s="214" t="str">
        <f>IFERROR(__xludf.DUMMYFUNCTION("""COMPUTED_VALUE"""),"생신/생일선물")</f>
        <v>생신/생일선물</v>
      </c>
      <c r="AD110" s="214" t="str">
        <f>IFERROR(__xludf.DUMMYFUNCTION("""COMPUTED_VALUE"""),"명절/어버이날")</f>
        <v>명절/어버이날</v>
      </c>
      <c r="AE110" s="214" t="str">
        <f>IFERROR(__xludf.DUMMYFUNCTION("""COMPUTED_VALUE"""),"여행")</f>
        <v>여행</v>
      </c>
      <c r="AF110" s="214" t="str">
        <f>IFERROR(__xludf.DUMMYFUNCTION("""COMPUTED_VALUE"""),"기타")</f>
        <v>기타</v>
      </c>
      <c r="AG110" s="214" t="str">
        <f>IFERROR(__xludf.DUMMYFUNCTION("""COMPUTED_VALUE"""),"출산")</f>
        <v>출산</v>
      </c>
      <c r="AH110" s="214"/>
      <c r="AI110" s="214"/>
      <c r="AJ110" s="215"/>
    </row>
    <row r="111">
      <c r="H111" s="208">
        <v>45669.0</v>
      </c>
      <c r="I111" s="209" t="s">
        <v>31</v>
      </c>
      <c r="J111" s="209" t="s">
        <v>29</v>
      </c>
      <c r="K111" s="216">
        <f>3800+4000</f>
        <v>7800</v>
      </c>
      <c r="L111" s="211" t="s">
        <v>64</v>
      </c>
      <c r="M111" s="143"/>
      <c r="N111" s="211" t="s">
        <v>201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IFERROR(__xludf.DUMMYFUNCTION("FILTER('설정시트'!$D$7:$L$20,'설정시트'!$C$7:$C$20=I111)"),"식재료비")</f>
        <v>식재료비</v>
      </c>
      <c r="AC111" s="214" t="str">
        <f>IFERROR(__xludf.DUMMYFUNCTION("""COMPUTED_VALUE"""),"회사점심")</f>
        <v>회사점심</v>
      </c>
      <c r="AD111" s="214" t="str">
        <f>IFERROR(__xludf.DUMMYFUNCTION("""COMPUTED_VALUE"""),"간식/카페")</f>
        <v>간식/카페</v>
      </c>
      <c r="AE111" s="214" t="str">
        <f>IFERROR(__xludf.DUMMYFUNCTION("""COMPUTED_VALUE"""),"외식/배달")</f>
        <v>외식/배달</v>
      </c>
      <c r="AF111" s="214" t="str">
        <f>IFERROR(__xludf.DUMMYFUNCTION("""COMPUTED_VALUE"""),"기타")</f>
        <v>기타</v>
      </c>
      <c r="AG111" s="214"/>
      <c r="AH111" s="214"/>
      <c r="AI111" s="214"/>
      <c r="AJ111" s="215"/>
    </row>
    <row r="112">
      <c r="H112" s="208">
        <v>45670.0</v>
      </c>
      <c r="I112" s="209" t="s">
        <v>31</v>
      </c>
      <c r="J112" s="209" t="s">
        <v>28</v>
      </c>
      <c r="K112" s="216">
        <v>9000.0</v>
      </c>
      <c r="L112" s="211" t="s">
        <v>64</v>
      </c>
      <c r="M112" s="143"/>
      <c r="N112" s="211" t="s">
        <v>202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08">
        <v>45671.0</v>
      </c>
      <c r="I113" s="209" t="s">
        <v>26</v>
      </c>
      <c r="J113" s="209" t="s">
        <v>30</v>
      </c>
      <c r="K113" s="216">
        <v>27400.0</v>
      </c>
      <c r="L113" s="211" t="s">
        <v>57</v>
      </c>
      <c r="M113" s="143"/>
      <c r="N113" s="211" t="s">
        <v>203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IFERROR(__xludf.DUMMYFUNCTION("FILTER('설정시트'!$D$7:$L$20,'설정시트'!$C$7:$C$20=I113)"),"식재료비")</f>
        <v>식재료비</v>
      </c>
      <c r="AC113" s="214" t="str">
        <f>IFERROR(__xludf.DUMMYFUNCTION("""COMPUTED_VALUE"""),"회사점심")</f>
        <v>회사점심</v>
      </c>
      <c r="AD113" s="214" t="str">
        <f>IFERROR(__xludf.DUMMYFUNCTION("""COMPUTED_VALUE"""),"간식/카페")</f>
        <v>간식/카페</v>
      </c>
      <c r="AE113" s="214" t="str">
        <f>IFERROR(__xludf.DUMMYFUNCTION("""COMPUTED_VALUE"""),"외식/배달")</f>
        <v>외식/배달</v>
      </c>
      <c r="AF113" s="214" t="str">
        <f>IFERROR(__xludf.DUMMYFUNCTION("""COMPUTED_VALUE"""),"기타")</f>
        <v>기타</v>
      </c>
      <c r="AG113" s="214"/>
      <c r="AH113" s="214"/>
      <c r="AI113" s="214"/>
      <c r="AJ113" s="215"/>
    </row>
    <row r="114">
      <c r="H114" s="208">
        <v>45671.0</v>
      </c>
      <c r="I114" s="217" t="s">
        <v>45</v>
      </c>
      <c r="J114" s="217" t="s">
        <v>44</v>
      </c>
      <c r="K114" s="218">
        <v>50000.0</v>
      </c>
      <c r="L114" s="211" t="s">
        <v>64</v>
      </c>
      <c r="M114" s="143"/>
      <c r="N114" s="211" t="s">
        <v>204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IFERROR(__xludf.DUMMYFUNCTION("FILTER('설정시트'!$D$7:$L$20,'설정시트'!$C$7:$C$20=I114)"),"약국")</f>
        <v>약국</v>
      </c>
      <c r="AC114" s="214" t="str">
        <f>IFERROR(__xludf.DUMMYFUNCTION("""COMPUTED_VALUE"""),"병원비")</f>
        <v>병원비</v>
      </c>
      <c r="AD114" s="214" t="str">
        <f>IFERROR(__xludf.DUMMYFUNCTION("""COMPUTED_VALUE"""),"영양제")</f>
        <v>영양제</v>
      </c>
      <c r="AE114" s="214" t="str">
        <f>IFERROR(__xludf.DUMMYFUNCTION("""COMPUTED_VALUE"""),"교통비")</f>
        <v>교통비</v>
      </c>
      <c r="AF114" s="214" t="str">
        <f>IFERROR(__xludf.DUMMYFUNCTION("""COMPUTED_VALUE"""),"주유비")</f>
        <v>주유비</v>
      </c>
      <c r="AG114" s="214"/>
      <c r="AH114" s="214" t="str">
        <f>IFERROR(__xludf.DUMMYFUNCTION("""COMPUTED_VALUE"""),"기타")</f>
        <v>기타</v>
      </c>
      <c r="AI114" s="214"/>
      <c r="AJ114" s="215"/>
    </row>
    <row r="115">
      <c r="H115" s="208">
        <v>45671.0</v>
      </c>
      <c r="I115" s="217" t="s">
        <v>52</v>
      </c>
      <c r="J115" s="217" t="s">
        <v>8</v>
      </c>
      <c r="K115" s="218">
        <v>55000.0</v>
      </c>
      <c r="L115" s="211" t="s">
        <v>64</v>
      </c>
      <c r="M115" s="143"/>
      <c r="N115" s="211" t="s">
        <v>205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IFERROR(__xludf.DUMMYFUNCTION("FILTER('설정시트'!$D$7:$L$20,'설정시트'!$C$7:$C$20=I115)"),"축의/부의금")</f>
        <v>축의/부의금</v>
      </c>
      <c r="AC115" s="214" t="str">
        <f>IFERROR(__xludf.DUMMYFUNCTION("""COMPUTED_VALUE"""),"생신/생일선물")</f>
        <v>생신/생일선물</v>
      </c>
      <c r="AD115" s="214" t="str">
        <f>IFERROR(__xludf.DUMMYFUNCTION("""COMPUTED_VALUE"""),"명절/어버이날")</f>
        <v>명절/어버이날</v>
      </c>
      <c r="AE115" s="214" t="str">
        <f>IFERROR(__xludf.DUMMYFUNCTION("""COMPUTED_VALUE"""),"여행")</f>
        <v>여행</v>
      </c>
      <c r="AF115" s="214" t="str">
        <f>IFERROR(__xludf.DUMMYFUNCTION("""COMPUTED_VALUE"""),"기타")</f>
        <v>기타</v>
      </c>
      <c r="AG115" s="214" t="str">
        <f>IFERROR(__xludf.DUMMYFUNCTION("""COMPUTED_VALUE"""),"출산")</f>
        <v>출산</v>
      </c>
      <c r="AH115" s="214"/>
      <c r="AI115" s="214"/>
      <c r="AJ115" s="215"/>
    </row>
    <row r="116">
      <c r="H116" s="208">
        <v>45671.0</v>
      </c>
      <c r="I116" s="217" t="s">
        <v>52</v>
      </c>
      <c r="J116" s="217" t="s">
        <v>8</v>
      </c>
      <c r="K116" s="218">
        <v>7520.0</v>
      </c>
      <c r="L116" s="211" t="s">
        <v>64</v>
      </c>
      <c r="M116" s="143"/>
      <c r="N116" s="211" t="s">
        <v>206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IFERROR(__xludf.DUMMYFUNCTION("FILTER('설정시트'!$D$7:$L$20,'설정시트'!$C$7:$C$20=I116)"),"축의/부의금")</f>
        <v>축의/부의금</v>
      </c>
      <c r="AC116" s="214" t="str">
        <f>IFERROR(__xludf.DUMMYFUNCTION("""COMPUTED_VALUE"""),"생신/생일선물")</f>
        <v>생신/생일선물</v>
      </c>
      <c r="AD116" s="214" t="str">
        <f>IFERROR(__xludf.DUMMYFUNCTION("""COMPUTED_VALUE"""),"명절/어버이날")</f>
        <v>명절/어버이날</v>
      </c>
      <c r="AE116" s="214" t="str">
        <f>IFERROR(__xludf.DUMMYFUNCTION("""COMPUTED_VALUE"""),"여행")</f>
        <v>여행</v>
      </c>
      <c r="AF116" s="214" t="str">
        <f>IFERROR(__xludf.DUMMYFUNCTION("""COMPUTED_VALUE"""),"기타")</f>
        <v>기타</v>
      </c>
      <c r="AG116" s="214" t="str">
        <f>IFERROR(__xludf.DUMMYFUNCTION("""COMPUTED_VALUE"""),"출산")</f>
        <v>출산</v>
      </c>
      <c r="AH116" s="214"/>
      <c r="AI116" s="214"/>
      <c r="AJ116" s="215"/>
    </row>
    <row r="117">
      <c r="H117" s="208">
        <v>45672.0</v>
      </c>
      <c r="I117" s="209" t="s">
        <v>46</v>
      </c>
      <c r="J117" s="209" t="s">
        <v>8</v>
      </c>
      <c r="K117" s="216">
        <v>9000.0</v>
      </c>
      <c r="L117" s="211" t="s">
        <v>57</v>
      </c>
      <c r="M117" s="143"/>
      <c r="N117" s="211" t="s">
        <v>207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IFERROR(__xludf.DUMMYFUNCTION("FILTER('설정시트'!$D$7:$L$20,'설정시트'!$C$7:$C$20=I117)"),"축의/부의금")</f>
        <v>축의/부의금</v>
      </c>
      <c r="AC117" s="214" t="str">
        <f>IFERROR(__xludf.DUMMYFUNCTION("""COMPUTED_VALUE"""),"생신/생일선물")</f>
        <v>생신/생일선물</v>
      </c>
      <c r="AD117" s="214" t="str">
        <f>IFERROR(__xludf.DUMMYFUNCTION("""COMPUTED_VALUE"""),"명절/어버이날")</f>
        <v>명절/어버이날</v>
      </c>
      <c r="AE117" s="214" t="str">
        <f>IFERROR(__xludf.DUMMYFUNCTION("""COMPUTED_VALUE"""),"여행")</f>
        <v>여행</v>
      </c>
      <c r="AF117" s="214" t="str">
        <f>IFERROR(__xludf.DUMMYFUNCTION("""COMPUTED_VALUE"""),"기타")</f>
        <v>기타</v>
      </c>
      <c r="AG117" s="214" t="str">
        <f>IFERROR(__xludf.DUMMYFUNCTION("""COMPUTED_VALUE"""),"출산")</f>
        <v>출산</v>
      </c>
      <c r="AH117" s="214"/>
      <c r="AI117" s="214"/>
      <c r="AJ117" s="215"/>
    </row>
    <row r="118">
      <c r="H118" s="208">
        <v>45672.0</v>
      </c>
      <c r="I118" s="209" t="s">
        <v>46</v>
      </c>
      <c r="J118" s="209" t="s">
        <v>8</v>
      </c>
      <c r="K118" s="216">
        <v>238000.0</v>
      </c>
      <c r="L118" s="211" t="s">
        <v>57</v>
      </c>
      <c r="M118" s="143"/>
      <c r="N118" s="211" t="s">
        <v>208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IFERROR(__xludf.DUMMYFUNCTION("FILTER('설정시트'!$D$7:$L$20,'설정시트'!$C$7:$C$20=I118)"),"축의/부의금")</f>
        <v>축의/부의금</v>
      </c>
      <c r="AC118" s="214" t="str">
        <f>IFERROR(__xludf.DUMMYFUNCTION("""COMPUTED_VALUE"""),"생신/생일선물")</f>
        <v>생신/생일선물</v>
      </c>
      <c r="AD118" s="214" t="str">
        <f>IFERROR(__xludf.DUMMYFUNCTION("""COMPUTED_VALUE"""),"명절/어버이날")</f>
        <v>명절/어버이날</v>
      </c>
      <c r="AE118" s="214" t="str">
        <f>IFERROR(__xludf.DUMMYFUNCTION("""COMPUTED_VALUE"""),"여행")</f>
        <v>여행</v>
      </c>
      <c r="AF118" s="214" t="str">
        <f>IFERROR(__xludf.DUMMYFUNCTION("""COMPUTED_VALUE"""),"기타")</f>
        <v>기타</v>
      </c>
      <c r="AG118" s="214" t="str">
        <f>IFERROR(__xludf.DUMMYFUNCTION("""COMPUTED_VALUE"""),"출산")</f>
        <v>출산</v>
      </c>
      <c r="AH118" s="214"/>
      <c r="AI118" s="214"/>
      <c r="AJ118" s="215"/>
    </row>
    <row r="119">
      <c r="H119" s="208">
        <v>45672.0</v>
      </c>
      <c r="I119" s="209" t="s">
        <v>46</v>
      </c>
      <c r="J119" s="209" t="s">
        <v>8</v>
      </c>
      <c r="K119" s="216">
        <v>220000.0</v>
      </c>
      <c r="L119" s="211" t="s">
        <v>57</v>
      </c>
      <c r="M119" s="143"/>
      <c r="N119" s="211" t="s">
        <v>209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IFERROR(__xludf.DUMMYFUNCTION("FILTER('설정시트'!$D$7:$L$20,'설정시트'!$C$7:$C$20=I119)"),"축의/부의금")</f>
        <v>축의/부의금</v>
      </c>
      <c r="AC119" s="214" t="str">
        <f>IFERROR(__xludf.DUMMYFUNCTION("""COMPUTED_VALUE"""),"생신/생일선물")</f>
        <v>생신/생일선물</v>
      </c>
      <c r="AD119" s="214" t="str">
        <f>IFERROR(__xludf.DUMMYFUNCTION("""COMPUTED_VALUE"""),"명절/어버이날")</f>
        <v>명절/어버이날</v>
      </c>
      <c r="AE119" s="214" t="str">
        <f>IFERROR(__xludf.DUMMYFUNCTION("""COMPUTED_VALUE"""),"여행")</f>
        <v>여행</v>
      </c>
      <c r="AF119" s="214" t="str">
        <f>IFERROR(__xludf.DUMMYFUNCTION("""COMPUTED_VALUE"""),"기타")</f>
        <v>기타</v>
      </c>
      <c r="AG119" s="214" t="str">
        <f>IFERROR(__xludf.DUMMYFUNCTION("""COMPUTED_VALUE"""),"출산")</f>
        <v>출산</v>
      </c>
      <c r="AH119" s="214"/>
      <c r="AI119" s="214"/>
      <c r="AJ119" s="215"/>
    </row>
    <row r="120">
      <c r="H120" s="208">
        <v>45672.0</v>
      </c>
      <c r="I120" s="209" t="s">
        <v>46</v>
      </c>
      <c r="J120" s="209" t="s">
        <v>8</v>
      </c>
      <c r="K120" s="218">
        <v>1550000.0</v>
      </c>
      <c r="L120" s="211" t="s">
        <v>54</v>
      </c>
      <c r="M120" s="143"/>
      <c r="N120" s="211" t="s">
        <v>210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IFERROR(__xludf.DUMMYFUNCTION("FILTER('설정시트'!$D$7:$L$20,'설정시트'!$C$7:$C$20=I120)"),"축의/부의금")</f>
        <v>축의/부의금</v>
      </c>
      <c r="AC120" s="214" t="str">
        <f>IFERROR(__xludf.DUMMYFUNCTION("""COMPUTED_VALUE"""),"생신/생일선물")</f>
        <v>생신/생일선물</v>
      </c>
      <c r="AD120" s="214" t="str">
        <f>IFERROR(__xludf.DUMMYFUNCTION("""COMPUTED_VALUE"""),"명절/어버이날")</f>
        <v>명절/어버이날</v>
      </c>
      <c r="AE120" s="214" t="str">
        <f>IFERROR(__xludf.DUMMYFUNCTION("""COMPUTED_VALUE"""),"여행")</f>
        <v>여행</v>
      </c>
      <c r="AF120" s="214" t="str">
        <f>IFERROR(__xludf.DUMMYFUNCTION("""COMPUTED_VALUE"""),"기타")</f>
        <v>기타</v>
      </c>
      <c r="AG120" s="214" t="str">
        <f>IFERROR(__xludf.DUMMYFUNCTION("""COMPUTED_VALUE"""),"출산")</f>
        <v>출산</v>
      </c>
      <c r="AH120" s="214"/>
      <c r="AI120" s="214"/>
      <c r="AJ120" s="215"/>
    </row>
    <row r="121">
      <c r="H121" s="208">
        <v>45672.0</v>
      </c>
      <c r="I121" s="217" t="s">
        <v>3</v>
      </c>
      <c r="J121" s="217" t="s">
        <v>8</v>
      </c>
      <c r="K121" s="218">
        <v>1000000.0</v>
      </c>
      <c r="L121" s="211"/>
      <c r="M121" s="143"/>
      <c r="N121" s="211" t="s">
        <v>211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IFERROR(__xludf.DUMMYFUNCTION("FILTER('설정시트'!$D$7:$L$20,'설정시트'!$C$7:$C$20=I121)"),"🍪 월급")</f>
        <v>🍪 월급</v>
      </c>
      <c r="AC121" s="214" t="str">
        <f>IFERROR(__xludf.DUMMYFUNCTION("""COMPUTED_VALUE"""),"🍪 부수입")</f>
        <v>🍪 부수입</v>
      </c>
      <c r="AD121" s="214" t="str">
        <f>IFERROR(__xludf.DUMMYFUNCTION("""COMPUTED_VALUE"""),"🐻 월급")</f>
        <v>🐻 월급</v>
      </c>
      <c r="AE121" s="214" t="str">
        <f>IFERROR(__xludf.DUMMYFUNCTION("""COMPUTED_VALUE"""),"🐻 부수입")</f>
        <v>🐻 부수입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45672.0</v>
      </c>
      <c r="I122" s="209" t="s">
        <v>3</v>
      </c>
      <c r="J122" s="209" t="s">
        <v>8</v>
      </c>
      <c r="K122" s="218">
        <v>280050.0</v>
      </c>
      <c r="L122" s="211"/>
      <c r="M122" s="143"/>
      <c r="N122" s="211" t="s">
        <v>212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IFERROR(__xludf.DUMMYFUNCTION("FILTER('설정시트'!$D$7:$L$20,'설정시트'!$C$7:$C$20=I122)"),"🍪 월급")</f>
        <v>🍪 월급</v>
      </c>
      <c r="AC122" s="214" t="str">
        <f>IFERROR(__xludf.DUMMYFUNCTION("""COMPUTED_VALUE"""),"🍪 부수입")</f>
        <v>🍪 부수입</v>
      </c>
      <c r="AD122" s="214" t="str">
        <f>IFERROR(__xludf.DUMMYFUNCTION("""COMPUTED_VALUE"""),"🐻 월급")</f>
        <v>🐻 월급</v>
      </c>
      <c r="AE122" s="214" t="str">
        <f>IFERROR(__xludf.DUMMYFUNCTION("""COMPUTED_VALUE"""),"🐻 부수입")</f>
        <v>🐻 부수입</v>
      </c>
      <c r="AF122" s="214" t="str">
        <f>IFERROR(__xludf.DUMMYFUNCTION("""COMPUTED_VALUE"""),"기타")</f>
        <v>기타</v>
      </c>
      <c r="AG122" s="214"/>
      <c r="AH122" s="214"/>
      <c r="AI122" s="214"/>
      <c r="AJ122" s="215"/>
    </row>
    <row r="123">
      <c r="H123" s="208">
        <v>45672.0</v>
      </c>
      <c r="I123" s="209" t="s">
        <v>46</v>
      </c>
      <c r="J123" s="209" t="s">
        <v>8</v>
      </c>
      <c r="K123" s="218">
        <v>259480.0</v>
      </c>
      <c r="L123" s="211" t="s">
        <v>55</v>
      </c>
      <c r="M123" s="143"/>
      <c r="N123" s="219" t="s">
        <v>213</v>
      </c>
      <c r="R123" s="213"/>
      <c r="S123" s="212"/>
      <c r="T123" s="145"/>
      <c r="AB123" s="214" t="str">
        <f>IFERROR(__xludf.DUMMYFUNCTION("FILTER('설정시트'!$D$7:$L$20,'설정시트'!$C$7:$C$20=I123)"),"축의/부의금")</f>
        <v>축의/부의금</v>
      </c>
      <c r="AC123" s="214" t="str">
        <f>IFERROR(__xludf.DUMMYFUNCTION("""COMPUTED_VALUE"""),"생신/생일선물")</f>
        <v>생신/생일선물</v>
      </c>
      <c r="AD123" s="214" t="str">
        <f>IFERROR(__xludf.DUMMYFUNCTION("""COMPUTED_VALUE"""),"명절/어버이날")</f>
        <v>명절/어버이날</v>
      </c>
      <c r="AE123" s="214" t="str">
        <f>IFERROR(__xludf.DUMMYFUNCTION("""COMPUTED_VALUE"""),"여행")</f>
        <v>여행</v>
      </c>
      <c r="AF123" s="214" t="str">
        <f>IFERROR(__xludf.DUMMYFUNCTION("""COMPUTED_VALUE"""),"기타")</f>
        <v>기타</v>
      </c>
      <c r="AG123" s="214" t="str">
        <f>IFERROR(__xludf.DUMMYFUNCTION("""COMPUTED_VALUE"""),"출산")</f>
        <v>출산</v>
      </c>
      <c r="AH123" s="214"/>
      <c r="AI123" s="214"/>
      <c r="AJ123" s="215"/>
    </row>
    <row r="124">
      <c r="H124" s="208">
        <v>45672.0</v>
      </c>
      <c r="I124" s="217" t="s">
        <v>26</v>
      </c>
      <c r="J124" s="209" t="s">
        <v>30</v>
      </c>
      <c r="K124" s="218">
        <v>32600.0</v>
      </c>
      <c r="L124" s="211" t="s">
        <v>57</v>
      </c>
      <c r="M124" s="143"/>
      <c r="N124" s="211" t="s">
        <v>214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45672.0</v>
      </c>
      <c r="I125" s="209" t="s">
        <v>26</v>
      </c>
      <c r="J125" s="209" t="s">
        <v>27</v>
      </c>
      <c r="K125" s="218">
        <f>23890+29630</f>
        <v>53520</v>
      </c>
      <c r="L125" s="211" t="s">
        <v>57</v>
      </c>
      <c r="M125" s="143"/>
      <c r="N125" s="211" t="s">
        <v>215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IFERROR(__xludf.DUMMYFUNCTION("FILTER('설정시트'!$D$7:$L$20,'설정시트'!$C$7:$C$20=I125)"),"식재료비")</f>
        <v>식재료비</v>
      </c>
      <c r="AC125" s="214" t="str">
        <f>IFERROR(__xludf.DUMMYFUNCTION("""COMPUTED_VALUE"""),"회사점심")</f>
        <v>회사점심</v>
      </c>
      <c r="AD125" s="214" t="str">
        <f>IFERROR(__xludf.DUMMYFUNCTION("""COMPUTED_VALUE"""),"간식/카페")</f>
        <v>간식/카페</v>
      </c>
      <c r="AE125" s="214" t="str">
        <f>IFERROR(__xludf.DUMMYFUNCTION("""COMPUTED_VALUE"""),"외식/배달")</f>
        <v>외식/배달</v>
      </c>
      <c r="AF125" s="214" t="str">
        <f>IFERROR(__xludf.DUMMYFUNCTION("""COMPUTED_VALUE"""),"기타")</f>
        <v>기타</v>
      </c>
      <c r="AG125" s="214"/>
      <c r="AH125" s="214"/>
      <c r="AI125" s="214"/>
      <c r="AJ125" s="215"/>
    </row>
    <row r="126">
      <c r="H126" s="208">
        <v>45672.0</v>
      </c>
      <c r="I126" s="217" t="s">
        <v>52</v>
      </c>
      <c r="J126" s="217" t="s">
        <v>8</v>
      </c>
      <c r="K126" s="218">
        <v>176620.0</v>
      </c>
      <c r="L126" s="211" t="s">
        <v>62</v>
      </c>
      <c r="M126" s="143"/>
      <c r="N126" s="211" t="s">
        <v>216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IFERROR(__xludf.DUMMYFUNCTION("FILTER('설정시트'!$D$7:$L$20,'설정시트'!$C$7:$C$20=I126)"),"축의/부의금")</f>
        <v>축의/부의금</v>
      </c>
      <c r="AC126" s="214" t="str">
        <f>IFERROR(__xludf.DUMMYFUNCTION("""COMPUTED_VALUE"""),"생신/생일선물")</f>
        <v>생신/생일선물</v>
      </c>
      <c r="AD126" s="214" t="str">
        <f>IFERROR(__xludf.DUMMYFUNCTION("""COMPUTED_VALUE"""),"명절/어버이날")</f>
        <v>명절/어버이날</v>
      </c>
      <c r="AE126" s="214" t="str">
        <f>IFERROR(__xludf.DUMMYFUNCTION("""COMPUTED_VALUE"""),"여행")</f>
        <v>여행</v>
      </c>
      <c r="AF126" s="214" t="str">
        <f>IFERROR(__xludf.DUMMYFUNCTION("""COMPUTED_VALUE"""),"기타")</f>
        <v>기타</v>
      </c>
      <c r="AG126" s="214" t="str">
        <f>IFERROR(__xludf.DUMMYFUNCTION("""COMPUTED_VALUE"""),"출산")</f>
        <v>출산</v>
      </c>
      <c r="AH126" s="214"/>
      <c r="AI126" s="214"/>
      <c r="AJ126" s="215"/>
    </row>
    <row r="127">
      <c r="H127" s="208">
        <v>45672.0</v>
      </c>
      <c r="I127" s="217" t="s">
        <v>52</v>
      </c>
      <c r="J127" s="217" t="s">
        <v>8</v>
      </c>
      <c r="K127" s="218">
        <v>290000.0</v>
      </c>
      <c r="L127" s="211" t="s">
        <v>62</v>
      </c>
      <c r="M127" s="143"/>
      <c r="N127" s="211" t="s">
        <v>217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IFERROR(__xludf.DUMMYFUNCTION("FILTER('설정시트'!$D$7:$L$20,'설정시트'!$C$7:$C$20=I127)"),"축의/부의금")</f>
        <v>축의/부의금</v>
      </c>
      <c r="AC127" s="214" t="str">
        <f>IFERROR(__xludf.DUMMYFUNCTION("""COMPUTED_VALUE"""),"생신/생일선물")</f>
        <v>생신/생일선물</v>
      </c>
      <c r="AD127" s="214" t="str">
        <f>IFERROR(__xludf.DUMMYFUNCTION("""COMPUTED_VALUE"""),"명절/어버이날")</f>
        <v>명절/어버이날</v>
      </c>
      <c r="AE127" s="214" t="str">
        <f>IFERROR(__xludf.DUMMYFUNCTION("""COMPUTED_VALUE"""),"여행")</f>
        <v>여행</v>
      </c>
      <c r="AF127" s="214" t="str">
        <f>IFERROR(__xludf.DUMMYFUNCTION("""COMPUTED_VALUE"""),"기타")</f>
        <v>기타</v>
      </c>
      <c r="AG127" s="214" t="str">
        <f>IFERROR(__xludf.DUMMYFUNCTION("""COMPUTED_VALUE"""),"출산")</f>
        <v>출산</v>
      </c>
      <c r="AH127" s="214"/>
      <c r="AI127" s="214"/>
      <c r="AJ127" s="215"/>
    </row>
    <row r="128">
      <c r="H128" s="208">
        <v>45672.0</v>
      </c>
      <c r="I128" s="217" t="s">
        <v>52</v>
      </c>
      <c r="J128" s="217" t="s">
        <v>8</v>
      </c>
      <c r="K128" s="218">
        <v>900000.0</v>
      </c>
      <c r="L128" s="211" t="s">
        <v>62</v>
      </c>
      <c r="M128" s="143"/>
      <c r="N128" s="211" t="s">
        <v>218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IFERROR(__xludf.DUMMYFUNCTION("FILTER('설정시트'!$D$7:$L$20,'설정시트'!$C$7:$C$20=I128)"),"축의/부의금")</f>
        <v>축의/부의금</v>
      </c>
      <c r="AC128" s="214" t="str">
        <f>IFERROR(__xludf.DUMMYFUNCTION("""COMPUTED_VALUE"""),"생신/생일선물")</f>
        <v>생신/생일선물</v>
      </c>
      <c r="AD128" s="214" t="str">
        <f>IFERROR(__xludf.DUMMYFUNCTION("""COMPUTED_VALUE"""),"명절/어버이날")</f>
        <v>명절/어버이날</v>
      </c>
      <c r="AE128" s="214" t="str">
        <f>IFERROR(__xludf.DUMMYFUNCTION("""COMPUTED_VALUE"""),"여행")</f>
        <v>여행</v>
      </c>
      <c r="AF128" s="214" t="str">
        <f>IFERROR(__xludf.DUMMYFUNCTION("""COMPUTED_VALUE"""),"기타")</f>
        <v>기타</v>
      </c>
      <c r="AG128" s="214" t="str">
        <f>IFERROR(__xludf.DUMMYFUNCTION("""COMPUTED_VALUE"""),"출산")</f>
        <v>출산</v>
      </c>
      <c r="AH128" s="214"/>
      <c r="AI128" s="214"/>
      <c r="AJ128" s="215"/>
    </row>
    <row r="129">
      <c r="H129" s="208">
        <v>45673.0</v>
      </c>
      <c r="I129" s="217" t="s">
        <v>3</v>
      </c>
      <c r="J129" s="217" t="s">
        <v>5</v>
      </c>
      <c r="K129" s="218">
        <v>25000.0</v>
      </c>
      <c r="L129" s="211"/>
      <c r="M129" s="143"/>
      <c r="N129" s="211" t="s">
        <v>219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IFERROR(__xludf.DUMMYFUNCTION("FILTER('설정시트'!$D$7:$L$20,'설정시트'!$C$7:$C$20=I129)"),"🍪 월급")</f>
        <v>🍪 월급</v>
      </c>
      <c r="AC129" s="214" t="str">
        <f>IFERROR(__xludf.DUMMYFUNCTION("""COMPUTED_VALUE"""),"🍪 부수입")</f>
        <v>🍪 부수입</v>
      </c>
      <c r="AD129" s="214" t="str">
        <f>IFERROR(__xludf.DUMMYFUNCTION("""COMPUTED_VALUE"""),"🐻 월급")</f>
        <v>🐻 월급</v>
      </c>
      <c r="AE129" s="214" t="str">
        <f>IFERROR(__xludf.DUMMYFUNCTION("""COMPUTED_VALUE"""),"🐻 부수입")</f>
        <v>🐻 부수입</v>
      </c>
      <c r="AF129" s="214" t="str">
        <f>IFERROR(__xludf.DUMMYFUNCTION("""COMPUTED_VALUE"""),"기타")</f>
        <v>기타</v>
      </c>
      <c r="AG129" s="214"/>
      <c r="AH129" s="214"/>
      <c r="AI129" s="214"/>
      <c r="AJ129" s="215"/>
    </row>
    <row r="130">
      <c r="H130" s="208">
        <v>45673.0</v>
      </c>
      <c r="I130" s="217" t="s">
        <v>22</v>
      </c>
      <c r="J130" s="217" t="s">
        <v>24</v>
      </c>
      <c r="K130" s="218">
        <v>15180.0</v>
      </c>
      <c r="L130" s="211" t="s">
        <v>57</v>
      </c>
      <c r="M130" s="143"/>
      <c r="N130" s="211" t="s">
        <v>220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IFERROR(__xludf.DUMMYFUNCTION("FILTER('설정시트'!$D$7:$L$20,'설정시트'!$C$7:$C$20=I130)"),"주방/욕실")</f>
        <v>주방/욕실</v>
      </c>
      <c r="AC130" s="214" t="str">
        <f>IFERROR(__xludf.DUMMYFUNCTION("""COMPUTED_VALUE"""),"소모품")</f>
        <v>소모품</v>
      </c>
      <c r="AD130" s="214" t="str">
        <f>IFERROR(__xludf.DUMMYFUNCTION("""COMPUTED_VALUE"""),"기타")</f>
        <v>기타</v>
      </c>
      <c r="AE130" s="214"/>
      <c r="AF130" s="214"/>
      <c r="AG130" s="214"/>
      <c r="AH130" s="214"/>
      <c r="AI130" s="214"/>
      <c r="AJ130" s="215"/>
    </row>
    <row r="131">
      <c r="H131" s="208">
        <v>45673.0</v>
      </c>
      <c r="I131" s="217" t="s">
        <v>22</v>
      </c>
      <c r="J131" s="217" t="s">
        <v>24</v>
      </c>
      <c r="K131" s="218">
        <v>19900.0</v>
      </c>
      <c r="L131" s="211" t="s">
        <v>57</v>
      </c>
      <c r="M131" s="143"/>
      <c r="N131" s="211" t="s">
        <v>221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IFERROR(__xludf.DUMMYFUNCTION("FILTER('설정시트'!$D$7:$L$20,'설정시트'!$C$7:$C$20=I131)"),"주방/욕실")</f>
        <v>주방/욕실</v>
      </c>
      <c r="AC131" s="214" t="str">
        <f>IFERROR(__xludf.DUMMYFUNCTION("""COMPUTED_VALUE"""),"소모품")</f>
        <v>소모품</v>
      </c>
      <c r="AD131" s="214" t="str">
        <f>IFERROR(__xludf.DUMMYFUNCTION("""COMPUTED_VALUE"""),"기타")</f>
        <v>기타</v>
      </c>
      <c r="AE131" s="214"/>
      <c r="AF131" s="214"/>
      <c r="AG131" s="214"/>
      <c r="AH131" s="214"/>
      <c r="AI131" s="214"/>
      <c r="AJ131" s="215"/>
    </row>
    <row r="132">
      <c r="H132" s="208">
        <v>45673.0</v>
      </c>
      <c r="I132" s="217" t="s">
        <v>22</v>
      </c>
      <c r="J132" s="217" t="s">
        <v>24</v>
      </c>
      <c r="K132" s="218">
        <v>12700.0</v>
      </c>
      <c r="L132" s="211" t="s">
        <v>57</v>
      </c>
      <c r="M132" s="143"/>
      <c r="N132" s="211" t="s">
        <v>222</v>
      </c>
      <c r="O132" s="212"/>
      <c r="P132" s="212"/>
      <c r="Q132" s="143"/>
      <c r="R132" s="211"/>
      <c r="S132" s="212"/>
      <c r="T132" s="145"/>
      <c r="AB132" s="214" t="str">
        <f>IFERROR(__xludf.DUMMYFUNCTION("FILTER('설정시트'!$D$7:$L$20,'설정시트'!$C$7:$C$20=I132)"),"주방/욕실")</f>
        <v>주방/욕실</v>
      </c>
      <c r="AC132" s="214" t="str">
        <f>IFERROR(__xludf.DUMMYFUNCTION("""COMPUTED_VALUE"""),"소모품")</f>
        <v>소모품</v>
      </c>
      <c r="AD132" s="214" t="str">
        <f>IFERROR(__xludf.DUMMYFUNCTION("""COMPUTED_VALUE"""),"기타")</f>
        <v>기타</v>
      </c>
      <c r="AE132" s="214"/>
      <c r="AF132" s="214"/>
      <c r="AG132" s="214"/>
      <c r="AH132" s="214"/>
      <c r="AI132" s="214"/>
      <c r="AJ132" s="215"/>
    </row>
    <row r="133">
      <c r="H133" s="208">
        <v>45673.0</v>
      </c>
      <c r="I133" s="217" t="s">
        <v>38</v>
      </c>
      <c r="J133" s="217" t="s">
        <v>33</v>
      </c>
      <c r="K133" s="218">
        <v>49142.0</v>
      </c>
      <c r="L133" s="211" t="s">
        <v>64</v>
      </c>
      <c r="M133" s="143"/>
      <c r="N133" s="211" t="s">
        <v>223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IFERROR(__xludf.DUMMYFUNCTION("FILTER('설정시트'!$D$7:$L$20,'설정시트'!$C$7:$C$20=I133)"),"의류/잡화")</f>
        <v>의류/잡화</v>
      </c>
      <c r="AC133" s="214" t="str">
        <f>IFERROR(__xludf.DUMMYFUNCTION("""COMPUTED_VALUE"""),"OTT")</f>
        <v>OTT</v>
      </c>
      <c r="AD133" s="214" t="str">
        <f>IFERROR(__xludf.DUMMYFUNCTION("""COMPUTED_VALUE"""),"문화생활")</f>
        <v>문화생활</v>
      </c>
      <c r="AE133" s="214" t="str">
        <f>IFERROR(__xludf.DUMMYFUNCTION("""COMPUTED_VALUE"""),"자기계발")</f>
        <v>자기계발</v>
      </c>
      <c r="AF133" s="214" t="str">
        <f>IFERROR(__xludf.DUMMYFUNCTION("""COMPUTED_VALUE"""),"미용")</f>
        <v>미용</v>
      </c>
      <c r="AG133" s="214"/>
      <c r="AH133" s="214" t="str">
        <f>IFERROR(__xludf.DUMMYFUNCTION("""COMPUTED_VALUE"""),"기타")</f>
        <v>기타</v>
      </c>
      <c r="AI133" s="214"/>
      <c r="AJ133" s="215"/>
    </row>
    <row r="134">
      <c r="H134" s="208">
        <v>45673.0</v>
      </c>
      <c r="I134" s="217" t="s">
        <v>22</v>
      </c>
      <c r="J134" s="217" t="s">
        <v>23</v>
      </c>
      <c r="K134" s="218">
        <v>15180.0</v>
      </c>
      <c r="L134" s="211" t="s">
        <v>58</v>
      </c>
      <c r="M134" s="143"/>
      <c r="N134" s="211" t="s">
        <v>224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IFERROR(__xludf.DUMMYFUNCTION("FILTER('설정시트'!$D$7:$L$20,'설정시트'!$C$7:$C$20=I134)"),"주방/욕실")</f>
        <v>주방/욕실</v>
      </c>
      <c r="AC134" s="214" t="str">
        <f>IFERROR(__xludf.DUMMYFUNCTION("""COMPUTED_VALUE"""),"소모품")</f>
        <v>소모품</v>
      </c>
      <c r="AD134" s="214" t="str">
        <f>IFERROR(__xludf.DUMMYFUNCTION("""COMPUTED_VALUE"""),"기타")</f>
        <v>기타</v>
      </c>
      <c r="AE134" s="214"/>
      <c r="AF134" s="214"/>
      <c r="AG134" s="214"/>
      <c r="AH134" s="214"/>
      <c r="AI134" s="214"/>
      <c r="AJ134" s="215"/>
    </row>
    <row r="135">
      <c r="H135" s="208">
        <v>45673.0</v>
      </c>
      <c r="I135" s="217" t="s">
        <v>22</v>
      </c>
      <c r="J135" s="217" t="s">
        <v>23</v>
      </c>
      <c r="K135" s="218">
        <v>19900.0</v>
      </c>
      <c r="L135" s="211" t="s">
        <v>58</v>
      </c>
      <c r="M135" s="143"/>
      <c r="N135" s="211" t="s">
        <v>221</v>
      </c>
      <c r="O135" s="212"/>
      <c r="P135" s="212"/>
      <c r="Q135" s="143"/>
      <c r="R135" s="211" t="s">
        <v>225</v>
      </c>
      <c r="S135" s="212"/>
      <c r="T135" s="145"/>
      <c r="AB135" s="214" t="str">
        <f>IFERROR(__xludf.DUMMYFUNCTION("FILTER('설정시트'!$D$7:$L$20,'설정시트'!$C$7:$C$20=I135)"),"주방/욕실")</f>
        <v>주방/욕실</v>
      </c>
      <c r="AC135" s="214" t="str">
        <f>IFERROR(__xludf.DUMMYFUNCTION("""COMPUTED_VALUE"""),"소모품")</f>
        <v>소모품</v>
      </c>
      <c r="AD135" s="214" t="str">
        <f>IFERROR(__xludf.DUMMYFUNCTION("""COMPUTED_VALUE"""),"기타")</f>
        <v>기타</v>
      </c>
      <c r="AE135" s="214"/>
      <c r="AF135" s="214"/>
      <c r="AG135" s="214"/>
      <c r="AH135" s="214"/>
      <c r="AI135" s="214"/>
      <c r="AJ135" s="215"/>
    </row>
    <row r="136">
      <c r="H136" s="208">
        <v>45674.0</v>
      </c>
      <c r="I136" s="217" t="s">
        <v>45</v>
      </c>
      <c r="J136" s="217" t="s">
        <v>8</v>
      </c>
      <c r="K136" s="218">
        <v>25000.0</v>
      </c>
      <c r="L136" s="211" t="s">
        <v>64</v>
      </c>
      <c r="M136" s="143"/>
      <c r="N136" s="211" t="s">
        <v>226</v>
      </c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IFERROR(__xludf.DUMMYFUNCTION("FILTER('설정시트'!$D$7:$L$20,'설정시트'!$C$7:$C$20=I136)"),"약국")</f>
        <v>약국</v>
      </c>
      <c r="AC136" s="214" t="str">
        <f>IFERROR(__xludf.DUMMYFUNCTION("""COMPUTED_VALUE"""),"병원비")</f>
        <v>병원비</v>
      </c>
      <c r="AD136" s="214" t="str">
        <f>IFERROR(__xludf.DUMMYFUNCTION("""COMPUTED_VALUE"""),"영양제")</f>
        <v>영양제</v>
      </c>
      <c r="AE136" s="214" t="str">
        <f>IFERROR(__xludf.DUMMYFUNCTION("""COMPUTED_VALUE"""),"교통비")</f>
        <v>교통비</v>
      </c>
      <c r="AF136" s="214" t="str">
        <f>IFERROR(__xludf.DUMMYFUNCTION("""COMPUTED_VALUE"""),"주유비")</f>
        <v>주유비</v>
      </c>
      <c r="AG136" s="214"/>
      <c r="AH136" s="214" t="str">
        <f>IFERROR(__xludf.DUMMYFUNCTION("""COMPUTED_VALUE"""),"기타")</f>
        <v>기타</v>
      </c>
      <c r="AI136" s="214"/>
      <c r="AJ136" s="215"/>
    </row>
    <row r="137">
      <c r="H137" s="208">
        <v>45674.0</v>
      </c>
      <c r="I137" s="217" t="s">
        <v>31</v>
      </c>
      <c r="J137" s="217" t="s">
        <v>28</v>
      </c>
      <c r="K137" s="218">
        <v>28000.0</v>
      </c>
      <c r="L137" s="211" t="s">
        <v>64</v>
      </c>
      <c r="M137" s="143"/>
      <c r="N137" s="211" t="s">
        <v>227</v>
      </c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IFERROR(__xludf.DUMMYFUNCTION("FILTER('설정시트'!$D$7:$L$20,'설정시트'!$C$7:$C$20=I137)"),"식재료비")</f>
        <v>식재료비</v>
      </c>
      <c r="AC137" s="214" t="str">
        <f>IFERROR(__xludf.DUMMYFUNCTION("""COMPUTED_VALUE"""),"회사점심")</f>
        <v>회사점심</v>
      </c>
      <c r="AD137" s="214" t="str">
        <f>IFERROR(__xludf.DUMMYFUNCTION("""COMPUTED_VALUE"""),"간식/카페")</f>
        <v>간식/카페</v>
      </c>
      <c r="AE137" s="214" t="str">
        <f>IFERROR(__xludf.DUMMYFUNCTION("""COMPUTED_VALUE"""),"외식/배달")</f>
        <v>외식/배달</v>
      </c>
      <c r="AF137" s="214" t="str">
        <f>IFERROR(__xludf.DUMMYFUNCTION("""COMPUTED_VALUE"""),"기타")</f>
        <v>기타</v>
      </c>
      <c r="AG137" s="214"/>
      <c r="AH137" s="214"/>
      <c r="AI137" s="214"/>
      <c r="AJ137" s="215"/>
    </row>
    <row r="138">
      <c r="H138" s="208">
        <v>45674.0</v>
      </c>
      <c r="I138" s="217" t="s">
        <v>31</v>
      </c>
      <c r="J138" s="217" t="s">
        <v>30</v>
      </c>
      <c r="K138" s="218">
        <v>20000.0</v>
      </c>
      <c r="L138" s="211" t="s">
        <v>64</v>
      </c>
      <c r="M138" s="143"/>
      <c r="N138" s="211" t="s">
        <v>228</v>
      </c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IFERROR(__xludf.DUMMYFUNCTION("FILTER('설정시트'!$D$7:$L$20,'설정시트'!$C$7:$C$20=I138)"),"식재료비")</f>
        <v>식재료비</v>
      </c>
      <c r="AC138" s="214" t="str">
        <f>IFERROR(__xludf.DUMMYFUNCTION("""COMPUTED_VALUE"""),"회사점심")</f>
        <v>회사점심</v>
      </c>
      <c r="AD138" s="214" t="str">
        <f>IFERROR(__xludf.DUMMYFUNCTION("""COMPUTED_VALUE"""),"간식/카페")</f>
        <v>간식/카페</v>
      </c>
      <c r="AE138" s="214" t="str">
        <f>IFERROR(__xludf.DUMMYFUNCTION("""COMPUTED_VALUE"""),"외식/배달")</f>
        <v>외식/배달</v>
      </c>
      <c r="AF138" s="214" t="str">
        <f>IFERROR(__xludf.DUMMYFUNCTION("""COMPUTED_VALUE"""),"기타")</f>
        <v>기타</v>
      </c>
      <c r="AG138" s="214"/>
      <c r="AH138" s="214"/>
      <c r="AI138" s="214"/>
      <c r="AJ138" s="215"/>
    </row>
    <row r="139">
      <c r="H139" s="208">
        <v>45674.0</v>
      </c>
      <c r="I139" s="217" t="s">
        <v>25</v>
      </c>
      <c r="J139" s="217" t="s">
        <v>23</v>
      </c>
      <c r="K139" s="218">
        <v>9000.0</v>
      </c>
      <c r="L139" s="211" t="s">
        <v>64</v>
      </c>
      <c r="M139" s="143"/>
      <c r="N139" s="211" t="s">
        <v>229</v>
      </c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IFERROR(__xludf.DUMMYFUNCTION("FILTER('설정시트'!$D$7:$L$20,'설정시트'!$C$7:$C$20=I139)"),"주방/욕실")</f>
        <v>주방/욕실</v>
      </c>
      <c r="AC139" s="214" t="str">
        <f>IFERROR(__xludf.DUMMYFUNCTION("""COMPUTED_VALUE"""),"소모품")</f>
        <v>소모품</v>
      </c>
      <c r="AD139" s="214" t="str">
        <f>IFERROR(__xludf.DUMMYFUNCTION("""COMPUTED_VALUE"""),"기타")</f>
        <v>기타</v>
      </c>
      <c r="AE139" s="214"/>
      <c r="AF139" s="214"/>
      <c r="AG139" s="214"/>
      <c r="AH139" s="214"/>
      <c r="AI139" s="214"/>
      <c r="AJ139" s="215"/>
    </row>
    <row r="140">
      <c r="H140" s="208">
        <v>45674.0</v>
      </c>
      <c r="I140" s="217" t="s">
        <v>26</v>
      </c>
      <c r="J140" s="217" t="s">
        <v>27</v>
      </c>
      <c r="K140" s="218">
        <v>198270.0</v>
      </c>
      <c r="L140" s="211" t="s">
        <v>57</v>
      </c>
      <c r="M140" s="143"/>
      <c r="N140" s="211" t="s">
        <v>230</v>
      </c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IFERROR(__xludf.DUMMYFUNCTION("FILTER('설정시트'!$D$7:$L$20,'설정시트'!$C$7:$C$20=I140)"),"식재료비")</f>
        <v>식재료비</v>
      </c>
      <c r="AC140" s="214" t="str">
        <f>IFERROR(__xludf.DUMMYFUNCTION("""COMPUTED_VALUE"""),"회사점심")</f>
        <v>회사점심</v>
      </c>
      <c r="AD140" s="214" t="str">
        <f>IFERROR(__xludf.DUMMYFUNCTION("""COMPUTED_VALUE"""),"간식/카페")</f>
        <v>간식/카페</v>
      </c>
      <c r="AE140" s="214" t="str">
        <f>IFERROR(__xludf.DUMMYFUNCTION("""COMPUTED_VALUE"""),"외식/배달")</f>
        <v>외식/배달</v>
      </c>
      <c r="AF140" s="214" t="str">
        <f>IFERROR(__xludf.DUMMYFUNCTION("""COMPUTED_VALUE"""),"기타")</f>
        <v>기타</v>
      </c>
      <c r="AG140" s="214"/>
      <c r="AH140" s="214"/>
      <c r="AI140" s="214"/>
      <c r="AJ140" s="215"/>
    </row>
    <row r="141">
      <c r="H141" s="208">
        <v>45674.0</v>
      </c>
      <c r="I141" s="217" t="s">
        <v>32</v>
      </c>
      <c r="J141" s="217" t="s">
        <v>37</v>
      </c>
      <c r="K141" s="218">
        <v>10000.0</v>
      </c>
      <c r="L141" s="211" t="s">
        <v>57</v>
      </c>
      <c r="M141" s="143"/>
      <c r="N141" s="211" t="s">
        <v>231</v>
      </c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IFERROR(__xludf.DUMMYFUNCTION("FILTER('설정시트'!$D$7:$L$20,'설정시트'!$C$7:$C$20=I141)"),"의류/잡화")</f>
        <v>의류/잡화</v>
      </c>
      <c r="AC141" s="214" t="str">
        <f>IFERROR(__xludf.DUMMYFUNCTION("""COMPUTED_VALUE"""),"OTT")</f>
        <v>OTT</v>
      </c>
      <c r="AD141" s="214" t="str">
        <f>IFERROR(__xludf.DUMMYFUNCTION("""COMPUTED_VALUE"""),"문화생활")</f>
        <v>문화생활</v>
      </c>
      <c r="AE141" s="214" t="str">
        <f>IFERROR(__xludf.DUMMYFUNCTION("""COMPUTED_VALUE"""),"자기계발")</f>
        <v>자기계발</v>
      </c>
      <c r="AF141" s="214" t="str">
        <f>IFERROR(__xludf.DUMMYFUNCTION("""COMPUTED_VALUE"""),"미용")</f>
        <v>미용</v>
      </c>
      <c r="AG141" s="214"/>
      <c r="AH141" s="214" t="str">
        <f>IFERROR(__xludf.DUMMYFUNCTION("""COMPUTED_VALUE"""),"기타")</f>
        <v>기타</v>
      </c>
      <c r="AI141" s="214"/>
      <c r="AJ141" s="215"/>
    </row>
    <row r="142">
      <c r="H142" s="208">
        <v>45675.0</v>
      </c>
      <c r="I142" s="217" t="s">
        <v>25</v>
      </c>
      <c r="J142" s="217" t="s">
        <v>23</v>
      </c>
      <c r="K142" s="218">
        <f>21100+2900</f>
        <v>24000</v>
      </c>
      <c r="L142" s="211" t="s">
        <v>64</v>
      </c>
      <c r="M142" s="143"/>
      <c r="N142" s="211" t="s">
        <v>232</v>
      </c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IFERROR(__xludf.DUMMYFUNCTION("FILTER('설정시트'!$D$7:$L$20,'설정시트'!$C$7:$C$20=I142)"),"주방/욕실")</f>
        <v>주방/욕실</v>
      </c>
      <c r="AC142" s="214" t="str">
        <f>IFERROR(__xludf.DUMMYFUNCTION("""COMPUTED_VALUE"""),"소모품")</f>
        <v>소모품</v>
      </c>
      <c r="AD142" s="214" t="str">
        <f>IFERROR(__xludf.DUMMYFUNCTION("""COMPUTED_VALUE"""),"기타")</f>
        <v>기타</v>
      </c>
      <c r="AE142" s="214"/>
      <c r="AF142" s="214"/>
      <c r="AG142" s="214"/>
      <c r="AH142" s="214"/>
      <c r="AI142" s="214"/>
      <c r="AJ142" s="215"/>
    </row>
    <row r="143">
      <c r="H143" s="208">
        <v>45675.0</v>
      </c>
      <c r="I143" s="217" t="s">
        <v>25</v>
      </c>
      <c r="J143" s="217" t="s">
        <v>23</v>
      </c>
      <c r="K143" s="218">
        <v>7500.0</v>
      </c>
      <c r="L143" s="211" t="s">
        <v>64</v>
      </c>
      <c r="M143" s="143"/>
      <c r="N143" s="211" t="s">
        <v>229</v>
      </c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IFERROR(__xludf.DUMMYFUNCTION("FILTER('설정시트'!$D$7:$L$20,'설정시트'!$C$7:$C$20=I143)"),"주방/욕실")</f>
        <v>주방/욕실</v>
      </c>
      <c r="AC143" s="214" t="str">
        <f>IFERROR(__xludf.DUMMYFUNCTION("""COMPUTED_VALUE"""),"소모품")</f>
        <v>소모품</v>
      </c>
      <c r="AD143" s="214" t="str">
        <f>IFERROR(__xludf.DUMMYFUNCTION("""COMPUTED_VALUE"""),"기타")</f>
        <v>기타</v>
      </c>
      <c r="AE143" s="214"/>
      <c r="AF143" s="214"/>
      <c r="AG143" s="214"/>
      <c r="AH143" s="214"/>
      <c r="AI143" s="214"/>
      <c r="AJ143" s="215"/>
    </row>
    <row r="144">
      <c r="H144" s="208">
        <v>45675.0</v>
      </c>
      <c r="I144" s="217" t="s">
        <v>3</v>
      </c>
      <c r="J144" s="217" t="s">
        <v>5</v>
      </c>
      <c r="K144" s="218">
        <v>130000.0</v>
      </c>
      <c r="L144" s="211"/>
      <c r="M144" s="143"/>
      <c r="N144" s="211" t="s">
        <v>233</v>
      </c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IFERROR(__xludf.DUMMYFUNCTION("FILTER('설정시트'!$D$7:$L$20,'설정시트'!$C$7:$C$20=I144)"),"🍪 월급")</f>
        <v>🍪 월급</v>
      </c>
      <c r="AC144" s="214" t="str">
        <f>IFERROR(__xludf.DUMMYFUNCTION("""COMPUTED_VALUE"""),"🍪 부수입")</f>
        <v>🍪 부수입</v>
      </c>
      <c r="AD144" s="214" t="str">
        <f>IFERROR(__xludf.DUMMYFUNCTION("""COMPUTED_VALUE"""),"🐻 월급")</f>
        <v>🐻 월급</v>
      </c>
      <c r="AE144" s="214" t="str">
        <f>IFERROR(__xludf.DUMMYFUNCTION("""COMPUTED_VALUE"""),"🐻 부수입")</f>
        <v>🐻 부수입</v>
      </c>
      <c r="AF144" s="214" t="str">
        <f>IFERROR(__xludf.DUMMYFUNCTION("""COMPUTED_VALUE"""),"기타")</f>
        <v>기타</v>
      </c>
      <c r="AG144" s="214"/>
      <c r="AH144" s="214"/>
      <c r="AI144" s="214"/>
      <c r="AJ144" s="215"/>
    </row>
    <row r="145">
      <c r="H145" s="208">
        <v>45675.0</v>
      </c>
      <c r="I145" s="217" t="s">
        <v>3</v>
      </c>
      <c r="J145" s="217" t="s">
        <v>5</v>
      </c>
      <c r="K145" s="218">
        <v>5000.0</v>
      </c>
      <c r="L145" s="211"/>
      <c r="M145" s="143"/>
      <c r="N145" s="211" t="s">
        <v>234</v>
      </c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IFERROR(__xludf.DUMMYFUNCTION("FILTER('설정시트'!$D$7:$L$20,'설정시트'!$C$7:$C$20=I145)"),"🍪 월급")</f>
        <v>🍪 월급</v>
      </c>
      <c r="AC145" s="214" t="str">
        <f>IFERROR(__xludf.DUMMYFUNCTION("""COMPUTED_VALUE"""),"🍪 부수입")</f>
        <v>🍪 부수입</v>
      </c>
      <c r="AD145" s="214" t="str">
        <f>IFERROR(__xludf.DUMMYFUNCTION("""COMPUTED_VALUE"""),"🐻 월급")</f>
        <v>🐻 월급</v>
      </c>
      <c r="AE145" s="214" t="str">
        <f>IFERROR(__xludf.DUMMYFUNCTION("""COMPUTED_VALUE"""),"🐻 부수입")</f>
        <v>🐻 부수입</v>
      </c>
      <c r="AF145" s="214" t="str">
        <f>IFERROR(__xludf.DUMMYFUNCTION("""COMPUTED_VALUE"""),"기타")</f>
        <v>기타</v>
      </c>
      <c r="AG145" s="214"/>
      <c r="AH145" s="214"/>
      <c r="AI145" s="214"/>
      <c r="AJ145" s="215"/>
    </row>
    <row r="146">
      <c r="H146" s="208">
        <v>45675.0</v>
      </c>
      <c r="I146" s="217" t="s">
        <v>22</v>
      </c>
      <c r="J146" s="217" t="s">
        <v>23</v>
      </c>
      <c r="K146" s="218">
        <v>12700.0</v>
      </c>
      <c r="L146" s="211" t="s">
        <v>58</v>
      </c>
      <c r="M146" s="143"/>
      <c r="N146" s="211" t="s">
        <v>222</v>
      </c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IFERROR(__xludf.DUMMYFUNCTION("FILTER('설정시트'!$D$7:$L$20,'설정시트'!$C$7:$C$20=I146)"),"주방/욕실")</f>
        <v>주방/욕실</v>
      </c>
      <c r="AC146" s="214" t="str">
        <f>IFERROR(__xludf.DUMMYFUNCTION("""COMPUTED_VALUE"""),"소모품")</f>
        <v>소모품</v>
      </c>
      <c r="AD146" s="214" t="str">
        <f>IFERROR(__xludf.DUMMYFUNCTION("""COMPUTED_VALUE"""),"기타")</f>
        <v>기타</v>
      </c>
      <c r="AE146" s="214"/>
      <c r="AF146" s="214"/>
      <c r="AG146" s="214"/>
      <c r="AH146" s="214"/>
      <c r="AI146" s="214"/>
      <c r="AJ146" s="215"/>
    </row>
    <row r="147">
      <c r="H147" s="208">
        <v>45675.0</v>
      </c>
      <c r="I147" s="217" t="s">
        <v>22</v>
      </c>
      <c r="J147" s="217" t="s">
        <v>23</v>
      </c>
      <c r="K147" s="218">
        <v>14940.0</v>
      </c>
      <c r="L147" s="211" t="s">
        <v>58</v>
      </c>
      <c r="M147" s="143"/>
      <c r="N147" s="211" t="s">
        <v>235</v>
      </c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IFERROR(__xludf.DUMMYFUNCTION("FILTER('설정시트'!$D$7:$L$20,'설정시트'!$C$7:$C$20=I147)"),"주방/욕실")</f>
        <v>주방/욕실</v>
      </c>
      <c r="AC147" s="214" t="str">
        <f>IFERROR(__xludf.DUMMYFUNCTION("""COMPUTED_VALUE"""),"소모품")</f>
        <v>소모품</v>
      </c>
      <c r="AD147" s="214" t="str">
        <f>IFERROR(__xludf.DUMMYFUNCTION("""COMPUTED_VALUE"""),"기타")</f>
        <v>기타</v>
      </c>
      <c r="AE147" s="214"/>
      <c r="AF147" s="214"/>
      <c r="AG147" s="214"/>
      <c r="AH147" s="214"/>
      <c r="AI147" s="214"/>
      <c r="AJ147" s="215"/>
    </row>
    <row r="148">
      <c r="H148" s="208">
        <v>45675.0</v>
      </c>
      <c r="I148" s="217" t="s">
        <v>22</v>
      </c>
      <c r="J148" s="217" t="s">
        <v>23</v>
      </c>
      <c r="K148" s="218">
        <v>10610.0</v>
      </c>
      <c r="L148" s="211" t="s">
        <v>58</v>
      </c>
      <c r="M148" s="143"/>
      <c r="N148" s="211" t="s">
        <v>236</v>
      </c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IFERROR(__xludf.DUMMYFUNCTION("FILTER('설정시트'!$D$7:$L$20,'설정시트'!$C$7:$C$20=I148)"),"주방/욕실")</f>
        <v>주방/욕실</v>
      </c>
      <c r="AC148" s="214" t="str">
        <f>IFERROR(__xludf.DUMMYFUNCTION("""COMPUTED_VALUE"""),"소모품")</f>
        <v>소모품</v>
      </c>
      <c r="AD148" s="214" t="str">
        <f>IFERROR(__xludf.DUMMYFUNCTION("""COMPUTED_VALUE"""),"기타")</f>
        <v>기타</v>
      </c>
      <c r="AE148" s="214"/>
      <c r="AF148" s="214"/>
      <c r="AG148" s="214"/>
      <c r="AH148" s="214"/>
      <c r="AI148" s="214"/>
      <c r="AJ148" s="215"/>
    </row>
    <row r="149">
      <c r="H149" s="208">
        <v>45676.0</v>
      </c>
      <c r="I149" s="217" t="s">
        <v>25</v>
      </c>
      <c r="J149" s="217" t="s">
        <v>8</v>
      </c>
      <c r="K149" s="218">
        <v>271100.0</v>
      </c>
      <c r="L149" s="211" t="s">
        <v>64</v>
      </c>
      <c r="M149" s="143"/>
      <c r="N149" s="211" t="s">
        <v>237</v>
      </c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IFERROR(__xludf.DUMMYFUNCTION("FILTER('설정시트'!$D$7:$L$20,'설정시트'!$C$7:$C$20=I149)"),"주방/욕실")</f>
        <v>주방/욕실</v>
      </c>
      <c r="AC149" s="214" t="str">
        <f>IFERROR(__xludf.DUMMYFUNCTION("""COMPUTED_VALUE"""),"소모품")</f>
        <v>소모품</v>
      </c>
      <c r="AD149" s="214" t="str">
        <f>IFERROR(__xludf.DUMMYFUNCTION("""COMPUTED_VALUE"""),"기타")</f>
        <v>기타</v>
      </c>
      <c r="AE149" s="214"/>
      <c r="AF149" s="214"/>
      <c r="AG149" s="214"/>
      <c r="AH149" s="214"/>
      <c r="AI149" s="214"/>
      <c r="AJ149" s="215"/>
    </row>
    <row r="150">
      <c r="H150" s="208">
        <v>45676.0</v>
      </c>
      <c r="I150" s="217" t="s">
        <v>22</v>
      </c>
      <c r="J150" s="217" t="s">
        <v>23</v>
      </c>
      <c r="K150" s="218">
        <v>12640.0</v>
      </c>
      <c r="L150" s="211" t="s">
        <v>58</v>
      </c>
      <c r="M150" s="143"/>
      <c r="N150" s="211" t="s">
        <v>238</v>
      </c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IFERROR(__xludf.DUMMYFUNCTION("FILTER('설정시트'!$D$7:$L$20,'설정시트'!$C$7:$C$20=I150)"),"주방/욕실")</f>
        <v>주방/욕실</v>
      </c>
      <c r="AC150" s="214" t="str">
        <f>IFERROR(__xludf.DUMMYFUNCTION("""COMPUTED_VALUE"""),"소모품")</f>
        <v>소모품</v>
      </c>
      <c r="AD150" s="214" t="str">
        <f>IFERROR(__xludf.DUMMYFUNCTION("""COMPUTED_VALUE"""),"기타")</f>
        <v>기타</v>
      </c>
      <c r="AE150" s="214"/>
      <c r="AF150" s="214"/>
      <c r="AG150" s="214"/>
      <c r="AH150" s="214"/>
      <c r="AI150" s="214"/>
      <c r="AJ150" s="215"/>
    </row>
    <row r="151">
      <c r="H151" s="208">
        <v>45676.0</v>
      </c>
      <c r="I151" s="217" t="s">
        <v>22</v>
      </c>
      <c r="J151" s="217" t="s">
        <v>23</v>
      </c>
      <c r="K151" s="218">
        <v>25000.0</v>
      </c>
      <c r="L151" s="211" t="s">
        <v>55</v>
      </c>
      <c r="M151" s="143"/>
      <c r="N151" s="211" t="s">
        <v>239</v>
      </c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IFERROR(__xludf.DUMMYFUNCTION("FILTER('설정시트'!$D$7:$L$20,'설정시트'!$C$7:$C$20=I151)"),"주방/욕실")</f>
        <v>주방/욕실</v>
      </c>
      <c r="AC151" s="214" t="str">
        <f>IFERROR(__xludf.DUMMYFUNCTION("""COMPUTED_VALUE"""),"소모품")</f>
        <v>소모품</v>
      </c>
      <c r="AD151" s="214" t="str">
        <f>IFERROR(__xludf.DUMMYFUNCTION("""COMPUTED_VALUE"""),"기타")</f>
        <v>기타</v>
      </c>
      <c r="AE151" s="214"/>
      <c r="AF151" s="214"/>
      <c r="AG151" s="214"/>
      <c r="AH151" s="214"/>
      <c r="AI151" s="214"/>
      <c r="AJ151" s="215"/>
    </row>
    <row r="152">
      <c r="H152" s="208">
        <v>45677.0</v>
      </c>
      <c r="I152" s="217" t="s">
        <v>52</v>
      </c>
      <c r="J152" s="217" t="s">
        <v>49</v>
      </c>
      <c r="K152" s="218">
        <v>109800.0</v>
      </c>
      <c r="L152" s="211" t="s">
        <v>64</v>
      </c>
      <c r="M152" s="143"/>
      <c r="N152" s="211" t="s">
        <v>240</v>
      </c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IFERROR(__xludf.DUMMYFUNCTION("FILTER('설정시트'!$D$7:$L$20,'설정시트'!$C$7:$C$20=I152)"),"축의/부의금")</f>
        <v>축의/부의금</v>
      </c>
      <c r="AC152" s="214" t="str">
        <f>IFERROR(__xludf.DUMMYFUNCTION("""COMPUTED_VALUE"""),"생신/생일선물")</f>
        <v>생신/생일선물</v>
      </c>
      <c r="AD152" s="214" t="str">
        <f>IFERROR(__xludf.DUMMYFUNCTION("""COMPUTED_VALUE"""),"명절/어버이날")</f>
        <v>명절/어버이날</v>
      </c>
      <c r="AE152" s="214" t="str">
        <f>IFERROR(__xludf.DUMMYFUNCTION("""COMPUTED_VALUE"""),"여행")</f>
        <v>여행</v>
      </c>
      <c r="AF152" s="214" t="str">
        <f>IFERROR(__xludf.DUMMYFUNCTION("""COMPUTED_VALUE"""),"기타")</f>
        <v>기타</v>
      </c>
      <c r="AG152" s="214" t="str">
        <f>IFERROR(__xludf.DUMMYFUNCTION("""COMPUTED_VALUE"""),"출산")</f>
        <v>출산</v>
      </c>
      <c r="AH152" s="214"/>
      <c r="AI152" s="214"/>
      <c r="AJ152" s="215"/>
    </row>
    <row r="153">
      <c r="H153" s="208">
        <v>45677.0</v>
      </c>
      <c r="I153" s="217" t="s">
        <v>3</v>
      </c>
      <c r="J153" s="217" t="s">
        <v>6</v>
      </c>
      <c r="K153" s="218">
        <v>4310870.0</v>
      </c>
      <c r="L153" s="211"/>
      <c r="M153" s="143"/>
      <c r="N153" s="211" t="s">
        <v>241</v>
      </c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IFERROR(__xludf.DUMMYFUNCTION("FILTER('설정시트'!$D$7:$L$20,'설정시트'!$C$7:$C$20=I153)"),"🍪 월급")</f>
        <v>🍪 월급</v>
      </c>
      <c r="AC153" s="214" t="str">
        <f>IFERROR(__xludf.DUMMYFUNCTION("""COMPUTED_VALUE"""),"🍪 부수입")</f>
        <v>🍪 부수입</v>
      </c>
      <c r="AD153" s="214" t="str">
        <f>IFERROR(__xludf.DUMMYFUNCTION("""COMPUTED_VALUE"""),"🐻 월급")</f>
        <v>🐻 월급</v>
      </c>
      <c r="AE153" s="214" t="str">
        <f>IFERROR(__xludf.DUMMYFUNCTION("""COMPUTED_VALUE"""),"🐻 부수입")</f>
        <v>🐻 부수입</v>
      </c>
      <c r="AF153" s="214" t="str">
        <f>IFERROR(__xludf.DUMMYFUNCTION("""COMPUTED_VALUE"""),"기타")</f>
        <v>기타</v>
      </c>
      <c r="AG153" s="214"/>
      <c r="AH153" s="214"/>
      <c r="AI153" s="214"/>
      <c r="AJ153" s="215"/>
    </row>
    <row r="154">
      <c r="H154" s="208">
        <v>45677.0</v>
      </c>
      <c r="I154" s="217" t="s">
        <v>9</v>
      </c>
      <c r="J154" s="217" t="s">
        <v>12</v>
      </c>
      <c r="K154" s="218">
        <v>3000000.0</v>
      </c>
      <c r="L154" s="211"/>
      <c r="M154" s="143"/>
      <c r="N154" s="211" t="s">
        <v>242</v>
      </c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IFERROR(__xludf.DUMMYFUNCTION("FILTER('설정시트'!$D$7:$L$20,'설정시트'!$C$7:$C$20=I154)"),"주택청약")</f>
        <v>주택청약</v>
      </c>
      <c r="AC154" s="214" t="str">
        <f>IFERROR(__xludf.DUMMYFUNCTION("""COMPUTED_VALUE"""),"우리은행")</f>
        <v>우리은행</v>
      </c>
      <c r="AD154" s="214" t="str">
        <f>IFERROR(__xludf.DUMMYFUNCTION("""COMPUTED_VALUE"""),"케이뱅크")</f>
        <v>케이뱅크</v>
      </c>
      <c r="AE154" s="214" t="str">
        <f>IFERROR(__xludf.DUMMYFUNCTION("""COMPUTED_VALUE"""),"연금저축")</f>
        <v>연금저축</v>
      </c>
      <c r="AF154" s="214"/>
      <c r="AG154" s="214"/>
      <c r="AH154" s="214"/>
      <c r="AI154" s="214"/>
      <c r="AJ154" s="215"/>
    </row>
    <row r="155">
      <c r="H155" s="208">
        <v>45677.0</v>
      </c>
      <c r="I155" s="217" t="s">
        <v>31</v>
      </c>
      <c r="J155" s="217" t="s">
        <v>28</v>
      </c>
      <c r="K155" s="218">
        <v>9000.0</v>
      </c>
      <c r="L155" s="211" t="s">
        <v>64</v>
      </c>
      <c r="M155" s="143"/>
      <c r="N155" s="211" t="s">
        <v>181</v>
      </c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IFERROR(__xludf.DUMMYFUNCTION("FILTER('설정시트'!$D$7:$L$20,'설정시트'!$C$7:$C$20=I155)"),"식재료비")</f>
        <v>식재료비</v>
      </c>
      <c r="AC155" s="214" t="str">
        <f>IFERROR(__xludf.DUMMYFUNCTION("""COMPUTED_VALUE"""),"회사점심")</f>
        <v>회사점심</v>
      </c>
      <c r="AD155" s="214" t="str">
        <f>IFERROR(__xludf.DUMMYFUNCTION("""COMPUTED_VALUE"""),"간식/카페")</f>
        <v>간식/카페</v>
      </c>
      <c r="AE155" s="214" t="str">
        <f>IFERROR(__xludf.DUMMYFUNCTION("""COMPUTED_VALUE"""),"외식/배달")</f>
        <v>외식/배달</v>
      </c>
      <c r="AF155" s="214" t="str">
        <f>IFERROR(__xludf.DUMMYFUNCTION("""COMPUTED_VALUE"""),"기타")</f>
        <v>기타</v>
      </c>
      <c r="AG155" s="214"/>
      <c r="AH155" s="214"/>
      <c r="AI155" s="214"/>
      <c r="AJ155" s="215"/>
    </row>
    <row r="156">
      <c r="H156" s="208">
        <v>45678.0</v>
      </c>
      <c r="I156" s="217" t="s">
        <v>22</v>
      </c>
      <c r="J156" s="217" t="s">
        <v>23</v>
      </c>
      <c r="K156" s="218">
        <v>3000.0</v>
      </c>
      <c r="L156" s="211" t="s">
        <v>55</v>
      </c>
      <c r="M156" s="143"/>
      <c r="N156" s="211" t="s">
        <v>243</v>
      </c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IFERROR(__xludf.DUMMYFUNCTION("FILTER('설정시트'!$D$7:$L$20,'설정시트'!$C$7:$C$20=I156)"),"주방/욕실")</f>
        <v>주방/욕실</v>
      </c>
      <c r="AC156" s="214" t="str">
        <f>IFERROR(__xludf.DUMMYFUNCTION("""COMPUTED_VALUE"""),"소모품")</f>
        <v>소모품</v>
      </c>
      <c r="AD156" s="214" t="str">
        <f>IFERROR(__xludf.DUMMYFUNCTION("""COMPUTED_VALUE"""),"기타")</f>
        <v>기타</v>
      </c>
      <c r="AE156" s="214"/>
      <c r="AF156" s="214"/>
      <c r="AG156" s="214"/>
      <c r="AH156" s="214"/>
      <c r="AI156" s="214"/>
      <c r="AJ156" s="215"/>
    </row>
    <row r="157">
      <c r="H157" s="208">
        <v>45678.0</v>
      </c>
      <c r="I157" s="217" t="s">
        <v>22</v>
      </c>
      <c r="J157" s="217" t="s">
        <v>23</v>
      </c>
      <c r="K157" s="218">
        <v>9000.0</v>
      </c>
      <c r="L157" s="211" t="s">
        <v>55</v>
      </c>
      <c r="M157" s="143"/>
      <c r="N157" s="211" t="s">
        <v>244</v>
      </c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IFERROR(__xludf.DUMMYFUNCTION("FILTER('설정시트'!$D$7:$L$20,'설정시트'!$C$7:$C$20=I157)"),"주방/욕실")</f>
        <v>주방/욕실</v>
      </c>
      <c r="AC157" s="214" t="str">
        <f>IFERROR(__xludf.DUMMYFUNCTION("""COMPUTED_VALUE"""),"소모품")</f>
        <v>소모품</v>
      </c>
      <c r="AD157" s="214" t="str">
        <f>IFERROR(__xludf.DUMMYFUNCTION("""COMPUTED_VALUE"""),"기타")</f>
        <v>기타</v>
      </c>
      <c r="AE157" s="214"/>
      <c r="AF157" s="214"/>
      <c r="AG157" s="214"/>
      <c r="AH157" s="214"/>
      <c r="AI157" s="214"/>
      <c r="AJ157" s="215"/>
    </row>
    <row r="158">
      <c r="H158" s="208">
        <v>45679.0</v>
      </c>
      <c r="I158" s="217" t="s">
        <v>22</v>
      </c>
      <c r="J158" s="217" t="s">
        <v>23</v>
      </c>
      <c r="K158" s="218">
        <v>90000.0</v>
      </c>
      <c r="L158" s="211" t="s">
        <v>55</v>
      </c>
      <c r="M158" s="143"/>
      <c r="N158" s="211" t="s">
        <v>245</v>
      </c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IFERROR(__xludf.DUMMYFUNCTION("FILTER('설정시트'!$D$7:$L$20,'설정시트'!$C$7:$C$20=I158)"),"주방/욕실")</f>
        <v>주방/욕실</v>
      </c>
      <c r="AC158" s="214" t="str">
        <f>IFERROR(__xludf.DUMMYFUNCTION("""COMPUTED_VALUE"""),"소모품")</f>
        <v>소모품</v>
      </c>
      <c r="AD158" s="214" t="str">
        <f>IFERROR(__xludf.DUMMYFUNCTION("""COMPUTED_VALUE"""),"기타")</f>
        <v>기타</v>
      </c>
      <c r="AE158" s="214"/>
      <c r="AF158" s="214"/>
      <c r="AG158" s="214"/>
      <c r="AH158" s="214"/>
      <c r="AI158" s="214"/>
      <c r="AJ158" s="215"/>
    </row>
    <row r="159">
      <c r="H159" s="208">
        <v>45679.0</v>
      </c>
      <c r="I159" s="217" t="s">
        <v>22</v>
      </c>
      <c r="J159" s="217" t="s">
        <v>23</v>
      </c>
      <c r="K159" s="218">
        <v>1600.0</v>
      </c>
      <c r="L159" s="211" t="s">
        <v>58</v>
      </c>
      <c r="M159" s="143"/>
      <c r="N159" s="211" t="s">
        <v>246</v>
      </c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IFERROR(__xludf.DUMMYFUNCTION("FILTER('설정시트'!$D$7:$L$20,'설정시트'!$C$7:$C$20=I159)"),"주방/욕실")</f>
        <v>주방/욕실</v>
      </c>
      <c r="AC159" s="214" t="str">
        <f>IFERROR(__xludf.DUMMYFUNCTION("""COMPUTED_VALUE"""),"소모품")</f>
        <v>소모품</v>
      </c>
      <c r="AD159" s="214" t="str">
        <f>IFERROR(__xludf.DUMMYFUNCTION("""COMPUTED_VALUE"""),"기타")</f>
        <v>기타</v>
      </c>
      <c r="AE159" s="214"/>
      <c r="AF159" s="214"/>
      <c r="AG159" s="214"/>
      <c r="AH159" s="214"/>
      <c r="AI159" s="214"/>
      <c r="AJ159" s="215"/>
    </row>
    <row r="160">
      <c r="H160" s="208">
        <v>45679.0</v>
      </c>
      <c r="I160" s="217" t="s">
        <v>22</v>
      </c>
      <c r="J160" s="217" t="s">
        <v>23</v>
      </c>
      <c r="K160" s="220">
        <f>8720+44160+3390+8550</f>
        <v>64820</v>
      </c>
      <c r="L160" s="211" t="s">
        <v>58</v>
      </c>
      <c r="M160" s="143"/>
      <c r="N160" s="211" t="s">
        <v>247</v>
      </c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IFERROR(__xludf.DUMMYFUNCTION("FILTER('설정시트'!$D$7:$L$20,'설정시트'!$C$7:$C$20=I160)"),"주방/욕실")</f>
        <v>주방/욕실</v>
      </c>
      <c r="AC160" s="214" t="str">
        <f>IFERROR(__xludf.DUMMYFUNCTION("""COMPUTED_VALUE"""),"소모품")</f>
        <v>소모품</v>
      </c>
      <c r="AD160" s="214" t="str">
        <f>IFERROR(__xludf.DUMMYFUNCTION("""COMPUTED_VALUE"""),"기타")</f>
        <v>기타</v>
      </c>
      <c r="AE160" s="214"/>
      <c r="AF160" s="214"/>
      <c r="AG160" s="214"/>
      <c r="AH160" s="214"/>
      <c r="AI160" s="214"/>
      <c r="AJ160" s="215"/>
    </row>
    <row r="161">
      <c r="H161" s="208">
        <v>45680.0</v>
      </c>
      <c r="I161" s="217" t="s">
        <v>32</v>
      </c>
      <c r="J161" s="217" t="s">
        <v>37</v>
      </c>
      <c r="K161" s="220"/>
      <c r="L161" s="213"/>
      <c r="M161" s="143"/>
      <c r="N161" s="211" t="s">
        <v>248</v>
      </c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IFERROR(__xludf.DUMMYFUNCTION("FILTER('설정시트'!$D$7:$L$20,'설정시트'!$C$7:$C$20=I161)"),"의류/잡화")</f>
        <v>의류/잡화</v>
      </c>
      <c r="AC161" s="214" t="str">
        <f>IFERROR(__xludf.DUMMYFUNCTION("""COMPUTED_VALUE"""),"OTT")</f>
        <v>OTT</v>
      </c>
      <c r="AD161" s="214" t="str">
        <f>IFERROR(__xludf.DUMMYFUNCTION("""COMPUTED_VALUE"""),"문화생활")</f>
        <v>문화생활</v>
      </c>
      <c r="AE161" s="214" t="str">
        <f>IFERROR(__xludf.DUMMYFUNCTION("""COMPUTED_VALUE"""),"자기계발")</f>
        <v>자기계발</v>
      </c>
      <c r="AF161" s="214" t="str">
        <f>IFERROR(__xludf.DUMMYFUNCTION("""COMPUTED_VALUE"""),"미용")</f>
        <v>미용</v>
      </c>
      <c r="AG161" s="214"/>
      <c r="AH161" s="214" t="str">
        <f>IFERROR(__xludf.DUMMYFUNCTION("""COMPUTED_VALUE"""),"기타")</f>
        <v>기타</v>
      </c>
      <c r="AI161" s="214"/>
      <c r="AJ161" s="215"/>
    </row>
    <row r="162">
      <c r="H162" s="208">
        <v>45680.0</v>
      </c>
      <c r="I162" s="217" t="s">
        <v>31</v>
      </c>
      <c r="J162" s="217" t="s">
        <v>29</v>
      </c>
      <c r="K162" s="218">
        <v>5500.0</v>
      </c>
      <c r="L162" s="211" t="s">
        <v>64</v>
      </c>
      <c r="M162" s="143"/>
      <c r="N162" s="211" t="s">
        <v>249</v>
      </c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IFERROR(__xludf.DUMMYFUNCTION("FILTER('설정시트'!$D$7:$L$20,'설정시트'!$C$7:$C$20=I162)"),"식재료비")</f>
        <v>식재료비</v>
      </c>
      <c r="AC162" s="214" t="str">
        <f>IFERROR(__xludf.DUMMYFUNCTION("""COMPUTED_VALUE"""),"회사점심")</f>
        <v>회사점심</v>
      </c>
      <c r="AD162" s="214" t="str">
        <f>IFERROR(__xludf.DUMMYFUNCTION("""COMPUTED_VALUE"""),"간식/카페")</f>
        <v>간식/카페</v>
      </c>
      <c r="AE162" s="214" t="str">
        <f>IFERROR(__xludf.DUMMYFUNCTION("""COMPUTED_VALUE"""),"외식/배달")</f>
        <v>외식/배달</v>
      </c>
      <c r="AF162" s="214" t="str">
        <f>IFERROR(__xludf.DUMMYFUNCTION("""COMPUTED_VALUE"""),"기타")</f>
        <v>기타</v>
      </c>
      <c r="AG162" s="214"/>
      <c r="AH162" s="214"/>
      <c r="AI162" s="214"/>
      <c r="AJ162" s="215"/>
    </row>
    <row r="163">
      <c r="H163" s="208">
        <v>45680.0</v>
      </c>
      <c r="I163" s="217" t="s">
        <v>31</v>
      </c>
      <c r="J163" s="217" t="s">
        <v>28</v>
      </c>
      <c r="K163" s="218">
        <v>44000.0</v>
      </c>
      <c r="L163" s="211" t="s">
        <v>64</v>
      </c>
      <c r="M163" s="143"/>
      <c r="N163" s="211" t="s">
        <v>250</v>
      </c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IFERROR(__xludf.DUMMYFUNCTION("FILTER('설정시트'!$D$7:$L$20,'설정시트'!$C$7:$C$20=I163)"),"식재료비")</f>
        <v>식재료비</v>
      </c>
      <c r="AC163" s="214" t="str">
        <f>IFERROR(__xludf.DUMMYFUNCTION("""COMPUTED_VALUE"""),"회사점심")</f>
        <v>회사점심</v>
      </c>
      <c r="AD163" s="214" t="str">
        <f>IFERROR(__xludf.DUMMYFUNCTION("""COMPUTED_VALUE"""),"간식/카페")</f>
        <v>간식/카페</v>
      </c>
      <c r="AE163" s="214" t="str">
        <f>IFERROR(__xludf.DUMMYFUNCTION("""COMPUTED_VALUE"""),"외식/배달")</f>
        <v>외식/배달</v>
      </c>
      <c r="AF163" s="214" t="str">
        <f>IFERROR(__xludf.DUMMYFUNCTION("""COMPUTED_VALUE"""),"기타")</f>
        <v>기타</v>
      </c>
      <c r="AG163" s="214"/>
      <c r="AH163" s="214"/>
      <c r="AI163" s="214"/>
      <c r="AJ163" s="215"/>
    </row>
    <row r="164">
      <c r="H164" s="208">
        <v>45680.0</v>
      </c>
      <c r="I164" s="217" t="s">
        <v>22</v>
      </c>
      <c r="J164" s="217" t="s">
        <v>8</v>
      </c>
      <c r="K164" s="218">
        <v>19800.0</v>
      </c>
      <c r="L164" s="211" t="s">
        <v>58</v>
      </c>
      <c r="M164" s="143"/>
      <c r="N164" s="211" t="s">
        <v>251</v>
      </c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IFERROR(__xludf.DUMMYFUNCTION("FILTER('설정시트'!$D$7:$L$20,'설정시트'!$C$7:$C$20=I164)"),"주방/욕실")</f>
        <v>주방/욕실</v>
      </c>
      <c r="AC164" s="214" t="str">
        <f>IFERROR(__xludf.DUMMYFUNCTION("""COMPUTED_VALUE"""),"소모품")</f>
        <v>소모품</v>
      </c>
      <c r="AD164" s="214" t="str">
        <f>IFERROR(__xludf.DUMMYFUNCTION("""COMPUTED_VALUE"""),"기타")</f>
        <v>기타</v>
      </c>
      <c r="AE164" s="214"/>
      <c r="AF164" s="214"/>
      <c r="AG164" s="214"/>
      <c r="AH164" s="214"/>
      <c r="AI164" s="214"/>
      <c r="AJ164" s="215"/>
    </row>
    <row r="165">
      <c r="H165" s="208">
        <v>45680.0</v>
      </c>
      <c r="I165" s="217" t="s">
        <v>46</v>
      </c>
      <c r="J165" s="217" t="s">
        <v>47</v>
      </c>
      <c r="K165" s="218">
        <v>50000.0</v>
      </c>
      <c r="L165" s="211" t="s">
        <v>55</v>
      </c>
      <c r="M165" s="143"/>
      <c r="N165" s="211" t="s">
        <v>252</v>
      </c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IFERROR(__xludf.DUMMYFUNCTION("FILTER('설정시트'!$D$7:$L$20,'설정시트'!$C$7:$C$20=I165)"),"축의/부의금")</f>
        <v>축의/부의금</v>
      </c>
      <c r="AC165" s="214" t="str">
        <f>IFERROR(__xludf.DUMMYFUNCTION("""COMPUTED_VALUE"""),"생신/생일선물")</f>
        <v>생신/생일선물</v>
      </c>
      <c r="AD165" s="214" t="str">
        <f>IFERROR(__xludf.DUMMYFUNCTION("""COMPUTED_VALUE"""),"명절/어버이날")</f>
        <v>명절/어버이날</v>
      </c>
      <c r="AE165" s="214" t="str">
        <f>IFERROR(__xludf.DUMMYFUNCTION("""COMPUTED_VALUE"""),"여행")</f>
        <v>여행</v>
      </c>
      <c r="AF165" s="214" t="str">
        <f>IFERROR(__xludf.DUMMYFUNCTION("""COMPUTED_VALUE"""),"기타")</f>
        <v>기타</v>
      </c>
      <c r="AG165" s="214" t="str">
        <f>IFERROR(__xludf.DUMMYFUNCTION("""COMPUTED_VALUE"""),"출산")</f>
        <v>출산</v>
      </c>
      <c r="AH165" s="214"/>
      <c r="AI165" s="214"/>
      <c r="AJ165" s="215"/>
    </row>
    <row r="166">
      <c r="H166" s="208">
        <v>45680.0</v>
      </c>
      <c r="I166" s="217" t="s">
        <v>3</v>
      </c>
      <c r="J166" s="217" t="s">
        <v>4</v>
      </c>
      <c r="K166" s="218">
        <v>3257030.0</v>
      </c>
      <c r="L166" s="213"/>
      <c r="M166" s="143"/>
      <c r="N166" s="211" t="s">
        <v>253</v>
      </c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IFERROR(__xludf.DUMMYFUNCTION("FILTER('설정시트'!$D$7:$L$20,'설정시트'!$C$7:$C$20=I166)"),"🍪 월급")</f>
        <v>🍪 월급</v>
      </c>
      <c r="AC166" s="214" t="str">
        <f>IFERROR(__xludf.DUMMYFUNCTION("""COMPUTED_VALUE"""),"🍪 부수입")</f>
        <v>🍪 부수입</v>
      </c>
      <c r="AD166" s="214" t="str">
        <f>IFERROR(__xludf.DUMMYFUNCTION("""COMPUTED_VALUE"""),"🐻 월급")</f>
        <v>🐻 월급</v>
      </c>
      <c r="AE166" s="214" t="str">
        <f>IFERROR(__xludf.DUMMYFUNCTION("""COMPUTED_VALUE"""),"🐻 부수입")</f>
        <v>🐻 부수입</v>
      </c>
      <c r="AF166" s="214" t="str">
        <f>IFERROR(__xludf.DUMMYFUNCTION("""COMPUTED_VALUE"""),"기타")</f>
        <v>기타</v>
      </c>
      <c r="AG166" s="214"/>
      <c r="AH166" s="214"/>
      <c r="AI166" s="214"/>
      <c r="AJ166" s="215"/>
    </row>
    <row r="167">
      <c r="H167" s="208">
        <v>45681.0</v>
      </c>
      <c r="I167" s="217" t="s">
        <v>14</v>
      </c>
      <c r="J167" s="217" t="s">
        <v>20</v>
      </c>
      <c r="K167" s="218">
        <v>20000.0</v>
      </c>
      <c r="L167" s="213"/>
      <c r="M167" s="143"/>
      <c r="N167" s="211" t="s">
        <v>20</v>
      </c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IFERROR(__xludf.DUMMYFUNCTION("FILTER('설정시트'!$D$7:$L$20,'설정시트'!$C$7:$C$20=I167)"),"관리비")</f>
        <v>관리비</v>
      </c>
      <c r="AC167" s="214" t="str">
        <f>IFERROR(__xludf.DUMMYFUNCTION("""COMPUTED_VALUE"""),"월세")</f>
        <v>월세</v>
      </c>
      <c r="AD167" s="214" t="str">
        <f>IFERROR(__xludf.DUMMYFUNCTION("""COMPUTED_VALUE"""),"대출이자")</f>
        <v>대출이자</v>
      </c>
      <c r="AE167" s="214" t="str">
        <f>IFERROR(__xludf.DUMMYFUNCTION("""COMPUTED_VALUE"""),"통신비")</f>
        <v>통신비</v>
      </c>
      <c r="AF167" s="214" t="str">
        <f>IFERROR(__xludf.DUMMYFUNCTION("""COMPUTED_VALUE"""),"보험료")</f>
        <v>보험료</v>
      </c>
      <c r="AG167" s="214"/>
      <c r="AH167" s="214" t="str">
        <f>IFERROR(__xludf.DUMMYFUNCTION("""COMPUTED_VALUE"""),"곗돈")</f>
        <v>곗돈</v>
      </c>
      <c r="AI167" s="214"/>
      <c r="AJ167" s="215"/>
    </row>
    <row r="168">
      <c r="H168" s="208">
        <v>45681.0</v>
      </c>
      <c r="I168" s="217" t="s">
        <v>9</v>
      </c>
      <c r="J168" s="217" t="s">
        <v>13</v>
      </c>
      <c r="K168" s="218">
        <v>100000.0</v>
      </c>
      <c r="L168" s="213"/>
      <c r="M168" s="143"/>
      <c r="N168" s="211" t="s">
        <v>254</v>
      </c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IFERROR(__xludf.DUMMYFUNCTION("FILTER('설정시트'!$D$7:$L$20,'설정시트'!$C$7:$C$20=I168)"),"주택청약")</f>
        <v>주택청약</v>
      </c>
      <c r="AC168" s="214" t="str">
        <f>IFERROR(__xludf.DUMMYFUNCTION("""COMPUTED_VALUE"""),"우리은행")</f>
        <v>우리은행</v>
      </c>
      <c r="AD168" s="214" t="str">
        <f>IFERROR(__xludf.DUMMYFUNCTION("""COMPUTED_VALUE"""),"케이뱅크")</f>
        <v>케이뱅크</v>
      </c>
      <c r="AE168" s="214" t="str">
        <f>IFERROR(__xludf.DUMMYFUNCTION("""COMPUTED_VALUE"""),"연금저축")</f>
        <v>연금저축</v>
      </c>
      <c r="AF168" s="214"/>
      <c r="AG168" s="214"/>
      <c r="AH168" s="214"/>
      <c r="AI168" s="214"/>
      <c r="AJ168" s="215"/>
    </row>
    <row r="169">
      <c r="H169" s="208">
        <v>45681.0</v>
      </c>
      <c r="I169" s="217" t="s">
        <v>14</v>
      </c>
      <c r="J169" s="217" t="s">
        <v>17</v>
      </c>
      <c r="K169" s="218">
        <v>177832.0</v>
      </c>
      <c r="L169" s="211" t="s">
        <v>55</v>
      </c>
      <c r="M169" s="143"/>
      <c r="N169" s="211" t="s">
        <v>255</v>
      </c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IFERROR(__xludf.DUMMYFUNCTION("FILTER('설정시트'!$D$7:$L$20,'설정시트'!$C$7:$C$20=I169)"),"관리비")</f>
        <v>관리비</v>
      </c>
      <c r="AC169" s="214" t="str">
        <f>IFERROR(__xludf.DUMMYFUNCTION("""COMPUTED_VALUE"""),"월세")</f>
        <v>월세</v>
      </c>
      <c r="AD169" s="214" t="str">
        <f>IFERROR(__xludf.DUMMYFUNCTION("""COMPUTED_VALUE"""),"대출이자")</f>
        <v>대출이자</v>
      </c>
      <c r="AE169" s="214" t="str">
        <f>IFERROR(__xludf.DUMMYFUNCTION("""COMPUTED_VALUE"""),"통신비")</f>
        <v>통신비</v>
      </c>
      <c r="AF169" s="214" t="str">
        <f>IFERROR(__xludf.DUMMYFUNCTION("""COMPUTED_VALUE"""),"보험료")</f>
        <v>보험료</v>
      </c>
      <c r="AG169" s="214"/>
      <c r="AH169" s="214" t="str">
        <f>IFERROR(__xludf.DUMMYFUNCTION("""COMPUTED_VALUE"""),"곗돈")</f>
        <v>곗돈</v>
      </c>
      <c r="AI169" s="214"/>
      <c r="AJ169" s="215"/>
    </row>
    <row r="170">
      <c r="H170" s="208">
        <v>45682.0</v>
      </c>
      <c r="I170" s="217" t="s">
        <v>26</v>
      </c>
      <c r="J170" s="217" t="s">
        <v>29</v>
      </c>
      <c r="K170" s="218">
        <v>36500.0</v>
      </c>
      <c r="L170" s="211" t="s">
        <v>58</v>
      </c>
      <c r="M170" s="143"/>
      <c r="N170" s="211" t="s">
        <v>256</v>
      </c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IFERROR(__xludf.DUMMYFUNCTION("FILTER('설정시트'!$D$7:$L$20,'설정시트'!$C$7:$C$20=I170)"),"식재료비")</f>
        <v>식재료비</v>
      </c>
      <c r="AC170" s="214" t="str">
        <f>IFERROR(__xludf.DUMMYFUNCTION("""COMPUTED_VALUE"""),"회사점심")</f>
        <v>회사점심</v>
      </c>
      <c r="AD170" s="214" t="str">
        <f>IFERROR(__xludf.DUMMYFUNCTION("""COMPUTED_VALUE"""),"간식/카페")</f>
        <v>간식/카페</v>
      </c>
      <c r="AE170" s="214" t="str">
        <f>IFERROR(__xludf.DUMMYFUNCTION("""COMPUTED_VALUE"""),"외식/배달")</f>
        <v>외식/배달</v>
      </c>
      <c r="AF170" s="214" t="str">
        <f>IFERROR(__xludf.DUMMYFUNCTION("""COMPUTED_VALUE"""),"기타")</f>
        <v>기타</v>
      </c>
      <c r="AG170" s="214"/>
      <c r="AH170" s="214"/>
      <c r="AI170" s="214"/>
      <c r="AJ170" s="215"/>
    </row>
    <row r="171">
      <c r="H171" s="208">
        <v>45682.0</v>
      </c>
      <c r="I171" s="217" t="s">
        <v>22</v>
      </c>
      <c r="J171" s="217" t="s">
        <v>8</v>
      </c>
      <c r="K171" s="218">
        <v>6400.0</v>
      </c>
      <c r="L171" s="211" t="s">
        <v>58</v>
      </c>
      <c r="M171" s="143"/>
      <c r="N171" s="211" t="s">
        <v>257</v>
      </c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IFERROR(__xludf.DUMMYFUNCTION("FILTER('설정시트'!$D$7:$L$20,'설정시트'!$C$7:$C$20=I171)"),"주방/욕실")</f>
        <v>주방/욕실</v>
      </c>
      <c r="AC171" s="214" t="str">
        <f>IFERROR(__xludf.DUMMYFUNCTION("""COMPUTED_VALUE"""),"소모품")</f>
        <v>소모품</v>
      </c>
      <c r="AD171" s="214" t="str">
        <f>IFERROR(__xludf.DUMMYFUNCTION("""COMPUTED_VALUE"""),"기타")</f>
        <v>기타</v>
      </c>
      <c r="AE171" s="214"/>
      <c r="AF171" s="214"/>
      <c r="AG171" s="214"/>
      <c r="AH171" s="214"/>
      <c r="AI171" s="214"/>
      <c r="AJ171" s="215"/>
    </row>
    <row r="172">
      <c r="H172" s="208">
        <v>45682.0</v>
      </c>
      <c r="I172" s="217" t="s">
        <v>39</v>
      </c>
      <c r="J172" s="217" t="s">
        <v>44</v>
      </c>
      <c r="K172" s="218">
        <v>50000.0</v>
      </c>
      <c r="L172" s="211" t="s">
        <v>58</v>
      </c>
      <c r="M172" s="143"/>
      <c r="N172" s="211" t="s">
        <v>44</v>
      </c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IFERROR(__xludf.DUMMYFUNCTION("FILTER('설정시트'!$D$7:$L$20,'설정시트'!$C$7:$C$20=I172)"),"약국")</f>
        <v>약국</v>
      </c>
      <c r="AC172" s="214" t="str">
        <f>IFERROR(__xludf.DUMMYFUNCTION("""COMPUTED_VALUE"""),"병원비")</f>
        <v>병원비</v>
      </c>
      <c r="AD172" s="214" t="str">
        <f>IFERROR(__xludf.DUMMYFUNCTION("""COMPUTED_VALUE"""),"영양제")</f>
        <v>영양제</v>
      </c>
      <c r="AE172" s="214" t="str">
        <f>IFERROR(__xludf.DUMMYFUNCTION("""COMPUTED_VALUE"""),"교통비")</f>
        <v>교통비</v>
      </c>
      <c r="AF172" s="214" t="str">
        <f>IFERROR(__xludf.DUMMYFUNCTION("""COMPUTED_VALUE"""),"주유비")</f>
        <v>주유비</v>
      </c>
      <c r="AG172" s="214"/>
      <c r="AH172" s="214" t="str">
        <f>IFERROR(__xludf.DUMMYFUNCTION("""COMPUTED_VALUE"""),"기타")</f>
        <v>기타</v>
      </c>
      <c r="AI172" s="214"/>
      <c r="AJ172" s="215"/>
    </row>
    <row r="173">
      <c r="H173" s="208">
        <v>45682.0</v>
      </c>
      <c r="I173" s="217" t="s">
        <v>26</v>
      </c>
      <c r="J173" s="217" t="s">
        <v>30</v>
      </c>
      <c r="K173" s="218">
        <v>22000.0</v>
      </c>
      <c r="L173" s="211" t="s">
        <v>58</v>
      </c>
      <c r="M173" s="143"/>
      <c r="N173" s="211" t="s">
        <v>258</v>
      </c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IFERROR(__xludf.DUMMYFUNCTION("FILTER('설정시트'!$D$7:$L$20,'설정시트'!$C$7:$C$20=I173)"),"식재료비")</f>
        <v>식재료비</v>
      </c>
      <c r="AC173" s="214" t="str">
        <f>IFERROR(__xludf.DUMMYFUNCTION("""COMPUTED_VALUE"""),"회사점심")</f>
        <v>회사점심</v>
      </c>
      <c r="AD173" s="214" t="str">
        <f>IFERROR(__xludf.DUMMYFUNCTION("""COMPUTED_VALUE"""),"간식/카페")</f>
        <v>간식/카페</v>
      </c>
      <c r="AE173" s="214" t="str">
        <f>IFERROR(__xludf.DUMMYFUNCTION("""COMPUTED_VALUE"""),"외식/배달")</f>
        <v>외식/배달</v>
      </c>
      <c r="AF173" s="214" t="str">
        <f>IFERROR(__xludf.DUMMYFUNCTION("""COMPUTED_VALUE"""),"기타")</f>
        <v>기타</v>
      </c>
      <c r="AG173" s="214"/>
      <c r="AH173" s="214"/>
      <c r="AI173" s="214"/>
      <c r="AJ173" s="215"/>
    </row>
    <row r="174">
      <c r="H174" s="208">
        <v>45683.0</v>
      </c>
      <c r="I174" s="217" t="s">
        <v>26</v>
      </c>
      <c r="J174" s="217" t="s">
        <v>29</v>
      </c>
      <c r="K174" s="218">
        <v>2700.0</v>
      </c>
      <c r="L174" s="211" t="s">
        <v>57</v>
      </c>
      <c r="M174" s="143"/>
      <c r="N174" s="211" t="s">
        <v>259</v>
      </c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IFERROR(__xludf.DUMMYFUNCTION("FILTER('설정시트'!$D$7:$L$20,'설정시트'!$C$7:$C$20=I174)"),"식재료비")</f>
        <v>식재료비</v>
      </c>
      <c r="AC174" s="214" t="str">
        <f>IFERROR(__xludf.DUMMYFUNCTION("""COMPUTED_VALUE"""),"회사점심")</f>
        <v>회사점심</v>
      </c>
      <c r="AD174" s="214" t="str">
        <f>IFERROR(__xludf.DUMMYFUNCTION("""COMPUTED_VALUE"""),"간식/카페")</f>
        <v>간식/카페</v>
      </c>
      <c r="AE174" s="214" t="str">
        <f>IFERROR(__xludf.DUMMYFUNCTION("""COMPUTED_VALUE"""),"외식/배달")</f>
        <v>외식/배달</v>
      </c>
      <c r="AF174" s="214" t="str">
        <f>IFERROR(__xludf.DUMMYFUNCTION("""COMPUTED_VALUE"""),"기타")</f>
        <v>기타</v>
      </c>
      <c r="AG174" s="214"/>
      <c r="AH174" s="214"/>
      <c r="AI174" s="214"/>
      <c r="AJ174" s="215"/>
    </row>
    <row r="175">
      <c r="H175" s="208">
        <v>45683.0</v>
      </c>
      <c r="I175" s="217" t="s">
        <v>22</v>
      </c>
      <c r="J175" s="217" t="s">
        <v>23</v>
      </c>
      <c r="K175" s="218">
        <v>17800.0</v>
      </c>
      <c r="L175" s="211" t="s">
        <v>58</v>
      </c>
      <c r="M175" s="143"/>
      <c r="N175" s="211" t="s">
        <v>260</v>
      </c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IFERROR(__xludf.DUMMYFUNCTION("FILTER('설정시트'!$D$7:$L$20,'설정시트'!$C$7:$C$20=I175)"),"주방/욕실")</f>
        <v>주방/욕실</v>
      </c>
      <c r="AC175" s="214" t="str">
        <f>IFERROR(__xludf.DUMMYFUNCTION("""COMPUTED_VALUE"""),"소모품")</f>
        <v>소모품</v>
      </c>
      <c r="AD175" s="214" t="str">
        <f>IFERROR(__xludf.DUMMYFUNCTION("""COMPUTED_VALUE"""),"기타")</f>
        <v>기타</v>
      </c>
      <c r="AE175" s="214"/>
      <c r="AF175" s="214"/>
      <c r="AG175" s="214"/>
      <c r="AH175" s="214"/>
      <c r="AI175" s="214"/>
      <c r="AJ175" s="215"/>
    </row>
    <row r="176">
      <c r="H176" s="208">
        <v>45684.0</v>
      </c>
      <c r="I176" s="217" t="s">
        <v>31</v>
      </c>
      <c r="J176" s="217" t="s">
        <v>27</v>
      </c>
      <c r="K176" s="218">
        <v>10000.0</v>
      </c>
      <c r="L176" s="211" t="s">
        <v>64</v>
      </c>
      <c r="M176" s="143"/>
      <c r="N176" s="211" t="s">
        <v>261</v>
      </c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IFERROR(__xludf.DUMMYFUNCTION("FILTER('설정시트'!$D$7:$L$20,'설정시트'!$C$7:$C$20=I176)"),"식재료비")</f>
        <v>식재료비</v>
      </c>
      <c r="AC176" s="214" t="str">
        <f>IFERROR(__xludf.DUMMYFUNCTION("""COMPUTED_VALUE"""),"회사점심")</f>
        <v>회사점심</v>
      </c>
      <c r="AD176" s="214" t="str">
        <f>IFERROR(__xludf.DUMMYFUNCTION("""COMPUTED_VALUE"""),"간식/카페")</f>
        <v>간식/카페</v>
      </c>
      <c r="AE176" s="214" t="str">
        <f>IFERROR(__xludf.DUMMYFUNCTION("""COMPUTED_VALUE"""),"외식/배달")</f>
        <v>외식/배달</v>
      </c>
      <c r="AF176" s="214" t="str">
        <f>IFERROR(__xludf.DUMMYFUNCTION("""COMPUTED_VALUE"""),"기타")</f>
        <v>기타</v>
      </c>
      <c r="AG176" s="214"/>
      <c r="AH176" s="214"/>
      <c r="AI176" s="214"/>
      <c r="AJ176" s="215"/>
    </row>
    <row r="177">
      <c r="H177" s="208">
        <v>45684.0</v>
      </c>
      <c r="I177" s="217" t="s">
        <v>39</v>
      </c>
      <c r="J177" s="217" t="s">
        <v>41</v>
      </c>
      <c r="K177" s="218">
        <v>52510.0</v>
      </c>
      <c r="L177" s="211" t="s">
        <v>58</v>
      </c>
      <c r="M177" s="143"/>
      <c r="N177" s="211" t="s">
        <v>262</v>
      </c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IFERROR(__xludf.DUMMYFUNCTION("FILTER('설정시트'!$D$7:$L$20,'설정시트'!$C$7:$C$20=I177)"),"약국")</f>
        <v>약국</v>
      </c>
      <c r="AC177" s="214" t="str">
        <f>IFERROR(__xludf.DUMMYFUNCTION("""COMPUTED_VALUE"""),"병원비")</f>
        <v>병원비</v>
      </c>
      <c r="AD177" s="214" t="str">
        <f>IFERROR(__xludf.DUMMYFUNCTION("""COMPUTED_VALUE"""),"영양제")</f>
        <v>영양제</v>
      </c>
      <c r="AE177" s="214" t="str">
        <f>IFERROR(__xludf.DUMMYFUNCTION("""COMPUTED_VALUE"""),"교통비")</f>
        <v>교통비</v>
      </c>
      <c r="AF177" s="214" t="str">
        <f>IFERROR(__xludf.DUMMYFUNCTION("""COMPUTED_VALUE"""),"주유비")</f>
        <v>주유비</v>
      </c>
      <c r="AG177" s="214"/>
      <c r="AH177" s="214" t="str">
        <f>IFERROR(__xludf.DUMMYFUNCTION("""COMPUTED_VALUE"""),"기타")</f>
        <v>기타</v>
      </c>
      <c r="AI177" s="214"/>
      <c r="AJ177" s="215"/>
    </row>
    <row r="178">
      <c r="H178" s="208">
        <v>45684.0</v>
      </c>
      <c r="I178" s="217" t="s">
        <v>26</v>
      </c>
      <c r="J178" s="217" t="s">
        <v>30</v>
      </c>
      <c r="K178" s="218">
        <v>34662.0</v>
      </c>
      <c r="L178" s="211" t="s">
        <v>58</v>
      </c>
      <c r="M178" s="143"/>
      <c r="N178" s="211" t="s">
        <v>263</v>
      </c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IFERROR(__xludf.DUMMYFUNCTION("FILTER('설정시트'!$D$7:$L$20,'설정시트'!$C$7:$C$20=I178)"),"식재료비")</f>
        <v>식재료비</v>
      </c>
      <c r="AC178" s="214" t="str">
        <f>IFERROR(__xludf.DUMMYFUNCTION("""COMPUTED_VALUE"""),"회사점심")</f>
        <v>회사점심</v>
      </c>
      <c r="AD178" s="214" t="str">
        <f>IFERROR(__xludf.DUMMYFUNCTION("""COMPUTED_VALUE"""),"간식/카페")</f>
        <v>간식/카페</v>
      </c>
      <c r="AE178" s="214" t="str">
        <f>IFERROR(__xludf.DUMMYFUNCTION("""COMPUTED_VALUE"""),"외식/배달")</f>
        <v>외식/배달</v>
      </c>
      <c r="AF178" s="214" t="str">
        <f>IFERROR(__xludf.DUMMYFUNCTION("""COMPUTED_VALUE"""),"기타")</f>
        <v>기타</v>
      </c>
      <c r="AG178" s="214"/>
      <c r="AH178" s="214"/>
      <c r="AI178" s="214"/>
      <c r="AJ178" s="215"/>
    </row>
    <row r="179">
      <c r="H179" s="208">
        <v>45684.0</v>
      </c>
      <c r="I179" s="217" t="s">
        <v>22</v>
      </c>
      <c r="J179" s="217" t="s">
        <v>23</v>
      </c>
      <c r="K179" s="218">
        <v>16680.0</v>
      </c>
      <c r="L179" s="211" t="s">
        <v>58</v>
      </c>
      <c r="M179" s="143"/>
      <c r="N179" s="211" t="s">
        <v>264</v>
      </c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IFERROR(__xludf.DUMMYFUNCTION("FILTER('설정시트'!$D$7:$L$20,'설정시트'!$C$7:$C$20=I179)"),"주방/욕실")</f>
        <v>주방/욕실</v>
      </c>
      <c r="AC179" s="214" t="str">
        <f>IFERROR(__xludf.DUMMYFUNCTION("""COMPUTED_VALUE"""),"소모품")</f>
        <v>소모품</v>
      </c>
      <c r="AD179" s="214" t="str">
        <f>IFERROR(__xludf.DUMMYFUNCTION("""COMPUTED_VALUE"""),"기타")</f>
        <v>기타</v>
      </c>
      <c r="AE179" s="214"/>
      <c r="AF179" s="214"/>
      <c r="AG179" s="214"/>
      <c r="AH179" s="214"/>
      <c r="AI179" s="214"/>
      <c r="AJ179" s="215"/>
    </row>
    <row r="180">
      <c r="H180" s="208">
        <v>45684.0</v>
      </c>
      <c r="I180" s="217" t="s">
        <v>22</v>
      </c>
      <c r="J180" s="217" t="s">
        <v>23</v>
      </c>
      <c r="K180" s="218">
        <v>46500.0</v>
      </c>
      <c r="L180" s="211" t="s">
        <v>58</v>
      </c>
      <c r="M180" s="143"/>
      <c r="N180" s="211" t="s">
        <v>265</v>
      </c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IFERROR(__xludf.DUMMYFUNCTION("FILTER('설정시트'!$D$7:$L$20,'설정시트'!$C$7:$C$20=I180)"),"주방/욕실")</f>
        <v>주방/욕실</v>
      </c>
      <c r="AC180" s="214" t="str">
        <f>IFERROR(__xludf.DUMMYFUNCTION("""COMPUTED_VALUE"""),"소모품")</f>
        <v>소모품</v>
      </c>
      <c r="AD180" s="214" t="str">
        <f>IFERROR(__xludf.DUMMYFUNCTION("""COMPUTED_VALUE"""),"기타")</f>
        <v>기타</v>
      </c>
      <c r="AE180" s="214"/>
      <c r="AF180" s="214"/>
      <c r="AG180" s="214"/>
      <c r="AH180" s="214"/>
      <c r="AI180" s="214"/>
      <c r="AJ180" s="215"/>
    </row>
    <row r="181">
      <c r="H181" s="208">
        <v>45685.0</v>
      </c>
      <c r="I181" s="217" t="s">
        <v>31</v>
      </c>
      <c r="J181" s="217" t="s">
        <v>27</v>
      </c>
      <c r="K181" s="218">
        <v>10000.0</v>
      </c>
      <c r="L181" s="211" t="s">
        <v>61</v>
      </c>
      <c r="M181" s="143"/>
      <c r="N181" s="211" t="s">
        <v>266</v>
      </c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IFERROR(__xludf.DUMMYFUNCTION("FILTER('설정시트'!$D$7:$L$20,'설정시트'!$C$7:$C$20=I181)"),"식재료비")</f>
        <v>식재료비</v>
      </c>
      <c r="AC181" s="214" t="str">
        <f>IFERROR(__xludf.DUMMYFUNCTION("""COMPUTED_VALUE"""),"회사점심")</f>
        <v>회사점심</v>
      </c>
      <c r="AD181" s="214" t="str">
        <f>IFERROR(__xludf.DUMMYFUNCTION("""COMPUTED_VALUE"""),"간식/카페")</f>
        <v>간식/카페</v>
      </c>
      <c r="AE181" s="214" t="str">
        <f>IFERROR(__xludf.DUMMYFUNCTION("""COMPUTED_VALUE"""),"외식/배달")</f>
        <v>외식/배달</v>
      </c>
      <c r="AF181" s="214" t="str">
        <f>IFERROR(__xludf.DUMMYFUNCTION("""COMPUTED_VALUE"""),"기타")</f>
        <v>기타</v>
      </c>
      <c r="AG181" s="214"/>
      <c r="AH181" s="214"/>
      <c r="AI181" s="214"/>
      <c r="AJ181" s="215"/>
    </row>
    <row r="182">
      <c r="H182" s="208">
        <v>45685.0</v>
      </c>
      <c r="I182" s="217" t="s">
        <v>31</v>
      </c>
      <c r="J182" s="217" t="s">
        <v>29</v>
      </c>
      <c r="K182" s="218">
        <v>11000.0</v>
      </c>
      <c r="L182" s="211" t="s">
        <v>63</v>
      </c>
      <c r="M182" s="143"/>
      <c r="N182" s="211" t="s">
        <v>267</v>
      </c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IFERROR(__xludf.DUMMYFUNCTION("FILTER('설정시트'!$D$7:$L$20,'설정시트'!$C$7:$C$20=I182)"),"식재료비")</f>
        <v>식재료비</v>
      </c>
      <c r="AC182" s="214" t="str">
        <f>IFERROR(__xludf.DUMMYFUNCTION("""COMPUTED_VALUE"""),"회사점심")</f>
        <v>회사점심</v>
      </c>
      <c r="AD182" s="214" t="str">
        <f>IFERROR(__xludf.DUMMYFUNCTION("""COMPUTED_VALUE"""),"간식/카페")</f>
        <v>간식/카페</v>
      </c>
      <c r="AE182" s="214" t="str">
        <f>IFERROR(__xludf.DUMMYFUNCTION("""COMPUTED_VALUE"""),"외식/배달")</f>
        <v>외식/배달</v>
      </c>
      <c r="AF182" s="214" t="str">
        <f>IFERROR(__xludf.DUMMYFUNCTION("""COMPUTED_VALUE"""),"기타")</f>
        <v>기타</v>
      </c>
      <c r="AG182" s="214"/>
      <c r="AH182" s="214"/>
      <c r="AI182" s="214"/>
      <c r="AJ182" s="215"/>
    </row>
    <row r="183">
      <c r="H183" s="208">
        <v>45685.0</v>
      </c>
      <c r="I183" s="217" t="s">
        <v>31</v>
      </c>
      <c r="J183" s="217" t="s">
        <v>29</v>
      </c>
      <c r="K183" s="218">
        <v>5500.0</v>
      </c>
      <c r="L183" s="211" t="s">
        <v>63</v>
      </c>
      <c r="M183" s="143"/>
      <c r="N183" s="211" t="s">
        <v>268</v>
      </c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IFERROR(__xludf.DUMMYFUNCTION("FILTER('설정시트'!$D$7:$L$20,'설정시트'!$C$7:$C$20=I183)"),"식재료비")</f>
        <v>식재료비</v>
      </c>
      <c r="AC183" s="214" t="str">
        <f>IFERROR(__xludf.DUMMYFUNCTION("""COMPUTED_VALUE"""),"회사점심")</f>
        <v>회사점심</v>
      </c>
      <c r="AD183" s="214" t="str">
        <f>IFERROR(__xludf.DUMMYFUNCTION("""COMPUTED_VALUE"""),"간식/카페")</f>
        <v>간식/카페</v>
      </c>
      <c r="AE183" s="214" t="str">
        <f>IFERROR(__xludf.DUMMYFUNCTION("""COMPUTED_VALUE"""),"외식/배달")</f>
        <v>외식/배달</v>
      </c>
      <c r="AF183" s="214" t="str">
        <f>IFERROR(__xludf.DUMMYFUNCTION("""COMPUTED_VALUE"""),"기타")</f>
        <v>기타</v>
      </c>
      <c r="AG183" s="214"/>
      <c r="AH183" s="214"/>
      <c r="AI183" s="214"/>
      <c r="AJ183" s="215"/>
    </row>
    <row r="184">
      <c r="H184" s="208">
        <v>45685.0</v>
      </c>
      <c r="I184" s="217" t="s">
        <v>31</v>
      </c>
      <c r="J184" s="217" t="s">
        <v>29</v>
      </c>
      <c r="K184" s="218">
        <v>10000.0</v>
      </c>
      <c r="L184" s="211" t="s">
        <v>63</v>
      </c>
      <c r="M184" s="143"/>
      <c r="N184" s="211" t="s">
        <v>269</v>
      </c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IFERROR(__xludf.DUMMYFUNCTION("FILTER('설정시트'!$D$7:$L$20,'설정시트'!$C$7:$C$20=I184)"),"식재료비")</f>
        <v>식재료비</v>
      </c>
      <c r="AC184" s="214" t="str">
        <f>IFERROR(__xludf.DUMMYFUNCTION("""COMPUTED_VALUE"""),"회사점심")</f>
        <v>회사점심</v>
      </c>
      <c r="AD184" s="214" t="str">
        <f>IFERROR(__xludf.DUMMYFUNCTION("""COMPUTED_VALUE"""),"간식/카페")</f>
        <v>간식/카페</v>
      </c>
      <c r="AE184" s="214" t="str">
        <f>IFERROR(__xludf.DUMMYFUNCTION("""COMPUTED_VALUE"""),"외식/배달")</f>
        <v>외식/배달</v>
      </c>
      <c r="AF184" s="214" t="str">
        <f>IFERROR(__xludf.DUMMYFUNCTION("""COMPUTED_VALUE"""),"기타")</f>
        <v>기타</v>
      </c>
      <c r="AG184" s="214"/>
      <c r="AH184" s="214"/>
      <c r="AI184" s="214"/>
      <c r="AJ184" s="215"/>
    </row>
    <row r="185">
      <c r="H185" s="208">
        <v>45685.0</v>
      </c>
      <c r="I185" s="217" t="s">
        <v>52</v>
      </c>
      <c r="J185" s="217" t="s">
        <v>49</v>
      </c>
      <c r="K185" s="218">
        <v>500000.0</v>
      </c>
      <c r="L185" s="211" t="s">
        <v>62</v>
      </c>
      <c r="M185" s="143"/>
      <c r="N185" s="211" t="s">
        <v>270</v>
      </c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IFERROR(__xludf.DUMMYFUNCTION("FILTER('설정시트'!$D$7:$L$20,'설정시트'!$C$7:$C$20=I185)"),"축의/부의금")</f>
        <v>축의/부의금</v>
      </c>
      <c r="AC185" s="214" t="str">
        <f>IFERROR(__xludf.DUMMYFUNCTION("""COMPUTED_VALUE"""),"생신/생일선물")</f>
        <v>생신/생일선물</v>
      </c>
      <c r="AD185" s="214" t="str">
        <f>IFERROR(__xludf.DUMMYFUNCTION("""COMPUTED_VALUE"""),"명절/어버이날")</f>
        <v>명절/어버이날</v>
      </c>
      <c r="AE185" s="214" t="str">
        <f>IFERROR(__xludf.DUMMYFUNCTION("""COMPUTED_VALUE"""),"여행")</f>
        <v>여행</v>
      </c>
      <c r="AF185" s="214" t="str">
        <f>IFERROR(__xludf.DUMMYFUNCTION("""COMPUTED_VALUE"""),"기타")</f>
        <v>기타</v>
      </c>
      <c r="AG185" s="214" t="str">
        <f>IFERROR(__xludf.DUMMYFUNCTION("""COMPUTED_VALUE"""),"출산")</f>
        <v>출산</v>
      </c>
      <c r="AH185" s="214"/>
      <c r="AI185" s="214"/>
      <c r="AJ185" s="215"/>
    </row>
    <row r="186">
      <c r="H186" s="208">
        <v>45685.0</v>
      </c>
      <c r="I186" s="217" t="s">
        <v>26</v>
      </c>
      <c r="J186" s="217" t="s">
        <v>27</v>
      </c>
      <c r="K186" s="218">
        <v>21394.0</v>
      </c>
      <c r="L186" s="211" t="s">
        <v>56</v>
      </c>
      <c r="M186" s="143"/>
      <c r="N186" s="211" t="s">
        <v>271</v>
      </c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IFERROR(__xludf.DUMMYFUNCTION("FILTER('설정시트'!$D$7:$L$20,'설정시트'!$C$7:$C$20=I186)"),"식재료비")</f>
        <v>식재료비</v>
      </c>
      <c r="AC186" s="214" t="str">
        <f>IFERROR(__xludf.DUMMYFUNCTION("""COMPUTED_VALUE"""),"회사점심")</f>
        <v>회사점심</v>
      </c>
      <c r="AD186" s="214" t="str">
        <f>IFERROR(__xludf.DUMMYFUNCTION("""COMPUTED_VALUE"""),"간식/카페")</f>
        <v>간식/카페</v>
      </c>
      <c r="AE186" s="214" t="str">
        <f>IFERROR(__xludf.DUMMYFUNCTION("""COMPUTED_VALUE"""),"외식/배달")</f>
        <v>외식/배달</v>
      </c>
      <c r="AF186" s="214" t="str">
        <f>IFERROR(__xludf.DUMMYFUNCTION("""COMPUTED_VALUE"""),"기타")</f>
        <v>기타</v>
      </c>
      <c r="AG186" s="214"/>
      <c r="AH186" s="214"/>
      <c r="AI186" s="214"/>
      <c r="AJ186" s="215"/>
    </row>
    <row r="187">
      <c r="H187" s="208">
        <v>45686.0</v>
      </c>
      <c r="I187" s="217" t="s">
        <v>45</v>
      </c>
      <c r="J187" s="217" t="s">
        <v>41</v>
      </c>
      <c r="K187" s="218">
        <v>62010.0</v>
      </c>
      <c r="L187" s="211" t="s">
        <v>64</v>
      </c>
      <c r="M187" s="143"/>
      <c r="N187" s="211" t="s">
        <v>272</v>
      </c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IFERROR(__xludf.DUMMYFUNCTION("FILTER('설정시트'!$D$7:$L$20,'설정시트'!$C$7:$C$20=I187)"),"약국")</f>
        <v>약국</v>
      </c>
      <c r="AC187" s="214" t="str">
        <f>IFERROR(__xludf.DUMMYFUNCTION("""COMPUTED_VALUE"""),"병원비")</f>
        <v>병원비</v>
      </c>
      <c r="AD187" s="214" t="str">
        <f>IFERROR(__xludf.DUMMYFUNCTION("""COMPUTED_VALUE"""),"영양제")</f>
        <v>영양제</v>
      </c>
      <c r="AE187" s="214" t="str">
        <f>IFERROR(__xludf.DUMMYFUNCTION("""COMPUTED_VALUE"""),"교통비")</f>
        <v>교통비</v>
      </c>
      <c r="AF187" s="214" t="str">
        <f>IFERROR(__xludf.DUMMYFUNCTION("""COMPUTED_VALUE"""),"주유비")</f>
        <v>주유비</v>
      </c>
      <c r="AG187" s="214"/>
      <c r="AH187" s="214" t="str">
        <f>IFERROR(__xludf.DUMMYFUNCTION("""COMPUTED_VALUE"""),"기타")</f>
        <v>기타</v>
      </c>
      <c r="AI187" s="214"/>
      <c r="AJ187" s="215"/>
    </row>
    <row r="188">
      <c r="H188" s="208">
        <v>45686.0</v>
      </c>
      <c r="I188" s="217" t="s">
        <v>22</v>
      </c>
      <c r="J188" s="217" t="s">
        <v>8</v>
      </c>
      <c r="K188" s="218">
        <v>11880.0</v>
      </c>
      <c r="L188" s="211" t="s">
        <v>58</v>
      </c>
      <c r="M188" s="143"/>
      <c r="N188" s="211" t="s">
        <v>273</v>
      </c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IFERROR(__xludf.DUMMYFUNCTION("FILTER('설정시트'!$D$7:$L$20,'설정시트'!$C$7:$C$20=I188)"),"주방/욕실")</f>
        <v>주방/욕실</v>
      </c>
      <c r="AC188" s="214" t="str">
        <f>IFERROR(__xludf.DUMMYFUNCTION("""COMPUTED_VALUE"""),"소모품")</f>
        <v>소모품</v>
      </c>
      <c r="AD188" s="214" t="str">
        <f>IFERROR(__xludf.DUMMYFUNCTION("""COMPUTED_VALUE"""),"기타")</f>
        <v>기타</v>
      </c>
      <c r="AE188" s="214"/>
      <c r="AF188" s="214"/>
      <c r="AG188" s="214"/>
      <c r="AH188" s="214"/>
      <c r="AI188" s="214"/>
      <c r="AJ188" s="215"/>
    </row>
    <row r="189">
      <c r="H189" s="208">
        <v>45687.0</v>
      </c>
      <c r="I189" s="217" t="s">
        <v>26</v>
      </c>
      <c r="J189" s="217" t="s">
        <v>27</v>
      </c>
      <c r="K189" s="218">
        <v>79450.0</v>
      </c>
      <c r="L189" s="211" t="s">
        <v>57</v>
      </c>
      <c r="M189" s="143"/>
      <c r="N189" s="211" t="s">
        <v>274</v>
      </c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IFERROR(__xludf.DUMMYFUNCTION("FILTER('설정시트'!$D$7:$L$20,'설정시트'!$C$7:$C$20=I189)"),"식재료비")</f>
        <v>식재료비</v>
      </c>
      <c r="AC189" s="214" t="str">
        <f>IFERROR(__xludf.DUMMYFUNCTION("""COMPUTED_VALUE"""),"회사점심")</f>
        <v>회사점심</v>
      </c>
      <c r="AD189" s="214" t="str">
        <f>IFERROR(__xludf.DUMMYFUNCTION("""COMPUTED_VALUE"""),"간식/카페")</f>
        <v>간식/카페</v>
      </c>
      <c r="AE189" s="214" t="str">
        <f>IFERROR(__xludf.DUMMYFUNCTION("""COMPUTED_VALUE"""),"외식/배달")</f>
        <v>외식/배달</v>
      </c>
      <c r="AF189" s="214" t="str">
        <f>IFERROR(__xludf.DUMMYFUNCTION("""COMPUTED_VALUE"""),"기타")</f>
        <v>기타</v>
      </c>
      <c r="AG189" s="214"/>
      <c r="AH189" s="214"/>
      <c r="AI189" s="214"/>
      <c r="AJ189" s="215"/>
    </row>
    <row r="190">
      <c r="H190" s="208">
        <v>45687.0</v>
      </c>
      <c r="I190" s="217" t="s">
        <v>26</v>
      </c>
      <c r="J190" s="217" t="s">
        <v>29</v>
      </c>
      <c r="K190" s="218">
        <v>7200.0</v>
      </c>
      <c r="L190" s="211" t="s">
        <v>58</v>
      </c>
      <c r="M190" s="143"/>
      <c r="N190" s="211" t="s">
        <v>275</v>
      </c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IFERROR(__xludf.DUMMYFUNCTION("FILTER('설정시트'!$D$7:$L$20,'설정시트'!$C$7:$C$20=I190)"),"식재료비")</f>
        <v>식재료비</v>
      </c>
      <c r="AC190" s="214" t="str">
        <f>IFERROR(__xludf.DUMMYFUNCTION("""COMPUTED_VALUE"""),"회사점심")</f>
        <v>회사점심</v>
      </c>
      <c r="AD190" s="214" t="str">
        <f>IFERROR(__xludf.DUMMYFUNCTION("""COMPUTED_VALUE"""),"간식/카페")</f>
        <v>간식/카페</v>
      </c>
      <c r="AE190" s="214" t="str">
        <f>IFERROR(__xludf.DUMMYFUNCTION("""COMPUTED_VALUE"""),"외식/배달")</f>
        <v>외식/배달</v>
      </c>
      <c r="AF190" s="214" t="str">
        <f>IFERROR(__xludf.DUMMYFUNCTION("""COMPUTED_VALUE"""),"기타")</f>
        <v>기타</v>
      </c>
      <c r="AG190" s="214"/>
      <c r="AH190" s="214"/>
      <c r="AI190" s="214"/>
      <c r="AJ190" s="215"/>
    </row>
    <row r="191">
      <c r="H191" s="208">
        <v>45688.0</v>
      </c>
      <c r="I191" s="217" t="s">
        <v>21</v>
      </c>
      <c r="J191" s="217" t="s">
        <v>20</v>
      </c>
      <c r="K191" s="218">
        <v>20000.0</v>
      </c>
      <c r="L191" s="211" t="s">
        <v>62</v>
      </c>
      <c r="M191" s="143"/>
      <c r="N191" s="211" t="s">
        <v>276</v>
      </c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IFERROR(__xludf.DUMMYFUNCTION("FILTER('설정시트'!$D$7:$L$20,'설정시트'!$C$7:$C$20=I191)"),"관리비")</f>
        <v>관리비</v>
      </c>
      <c r="AC191" s="214" t="str">
        <f>IFERROR(__xludf.DUMMYFUNCTION("""COMPUTED_VALUE"""),"대출이자")</f>
        <v>대출이자</v>
      </c>
      <c r="AD191" s="214" t="str">
        <f>IFERROR(__xludf.DUMMYFUNCTION("""COMPUTED_VALUE"""),"통신비")</f>
        <v>통신비</v>
      </c>
      <c r="AE191" s="214" t="str">
        <f>IFERROR(__xludf.DUMMYFUNCTION("""COMPUTED_VALUE"""),"보험료")</f>
        <v>보험료</v>
      </c>
      <c r="AF191" s="214" t="str">
        <f>IFERROR(__xludf.DUMMYFUNCTION("""COMPUTED_VALUE"""),"곗돈")</f>
        <v>곗돈</v>
      </c>
      <c r="AG191" s="214"/>
      <c r="AH191" s="214"/>
      <c r="AI191" s="214"/>
      <c r="AJ191" s="215"/>
    </row>
    <row r="192">
      <c r="H192" s="208">
        <v>45688.0</v>
      </c>
      <c r="I192" s="217" t="s">
        <v>9</v>
      </c>
      <c r="J192" s="217" t="s">
        <v>13</v>
      </c>
      <c r="K192" s="218">
        <v>100000.0</v>
      </c>
      <c r="L192" s="213"/>
      <c r="M192" s="143"/>
      <c r="N192" s="211" t="s">
        <v>277</v>
      </c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IFERROR(__xludf.DUMMYFUNCTION("FILTER('설정시트'!$D$7:$L$20,'설정시트'!$C$7:$C$20=I192)"),"주택청약")</f>
        <v>주택청약</v>
      </c>
      <c r="AC192" s="214" t="str">
        <f>IFERROR(__xludf.DUMMYFUNCTION("""COMPUTED_VALUE"""),"우리은행")</f>
        <v>우리은행</v>
      </c>
      <c r="AD192" s="214" t="str">
        <f>IFERROR(__xludf.DUMMYFUNCTION("""COMPUTED_VALUE"""),"케이뱅크")</f>
        <v>케이뱅크</v>
      </c>
      <c r="AE192" s="214" t="str">
        <f>IFERROR(__xludf.DUMMYFUNCTION("""COMPUTED_VALUE"""),"연금저축")</f>
        <v>연금저축</v>
      </c>
      <c r="AF192" s="214"/>
      <c r="AG192" s="214"/>
      <c r="AH192" s="214"/>
      <c r="AI192" s="214"/>
      <c r="AJ192" s="215"/>
    </row>
    <row r="193">
      <c r="H193" s="208">
        <v>45688.0</v>
      </c>
      <c r="I193" s="217" t="s">
        <v>32</v>
      </c>
      <c r="J193" s="217" t="s">
        <v>34</v>
      </c>
      <c r="K193" s="218">
        <v>7890.0</v>
      </c>
      <c r="L193" s="211" t="s">
        <v>58</v>
      </c>
      <c r="M193" s="143"/>
      <c r="N193" s="211" t="s">
        <v>278</v>
      </c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IFERROR(__xludf.DUMMYFUNCTION("FILTER('설정시트'!$D$7:$L$20,'설정시트'!$C$7:$C$20=I193)"),"의류/잡화")</f>
        <v>의류/잡화</v>
      </c>
      <c r="AC193" s="214" t="str">
        <f>IFERROR(__xludf.DUMMYFUNCTION("""COMPUTED_VALUE"""),"OTT")</f>
        <v>OTT</v>
      </c>
      <c r="AD193" s="214" t="str">
        <f>IFERROR(__xludf.DUMMYFUNCTION("""COMPUTED_VALUE"""),"문화생활")</f>
        <v>문화생활</v>
      </c>
      <c r="AE193" s="214" t="str">
        <f>IFERROR(__xludf.DUMMYFUNCTION("""COMPUTED_VALUE"""),"자기계발")</f>
        <v>자기계발</v>
      </c>
      <c r="AF193" s="214" t="str">
        <f>IFERROR(__xludf.DUMMYFUNCTION("""COMPUTED_VALUE"""),"미용")</f>
        <v>미용</v>
      </c>
      <c r="AG193" s="214"/>
      <c r="AH193" s="214" t="str">
        <f>IFERROR(__xludf.DUMMYFUNCTION("""COMPUTED_VALUE"""),"기타")</f>
        <v>기타</v>
      </c>
      <c r="AI193" s="214"/>
      <c r="AJ193" s="215"/>
    </row>
    <row r="194">
      <c r="H194" s="208">
        <v>45688.0</v>
      </c>
      <c r="I194" s="217" t="s">
        <v>39</v>
      </c>
      <c r="J194" s="217" t="s">
        <v>43</v>
      </c>
      <c r="K194" s="220">
        <f>4200+1600</f>
        <v>5800</v>
      </c>
      <c r="L194" s="211" t="s">
        <v>57</v>
      </c>
      <c r="M194" s="143"/>
      <c r="N194" s="211" t="s">
        <v>43</v>
      </c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IFERROR(__xludf.DUMMYFUNCTION("FILTER('설정시트'!$D$7:$L$20,'설정시트'!$C$7:$C$20=I194)"),"약국")</f>
        <v>약국</v>
      </c>
      <c r="AC194" s="214" t="str">
        <f>IFERROR(__xludf.DUMMYFUNCTION("""COMPUTED_VALUE"""),"병원비")</f>
        <v>병원비</v>
      </c>
      <c r="AD194" s="214" t="str">
        <f>IFERROR(__xludf.DUMMYFUNCTION("""COMPUTED_VALUE"""),"영양제")</f>
        <v>영양제</v>
      </c>
      <c r="AE194" s="214" t="str">
        <f>IFERROR(__xludf.DUMMYFUNCTION("""COMPUTED_VALUE"""),"교통비")</f>
        <v>교통비</v>
      </c>
      <c r="AF194" s="214" t="str">
        <f>IFERROR(__xludf.DUMMYFUNCTION("""COMPUTED_VALUE"""),"주유비")</f>
        <v>주유비</v>
      </c>
      <c r="AG194" s="214"/>
      <c r="AH194" s="214" t="str">
        <f>IFERROR(__xludf.DUMMYFUNCTION("""COMPUTED_VALUE"""),"기타")</f>
        <v>기타</v>
      </c>
      <c r="AI194" s="214"/>
      <c r="AJ194" s="215"/>
    </row>
    <row r="195">
      <c r="H195" s="208">
        <v>45688.0</v>
      </c>
      <c r="I195" s="217" t="s">
        <v>39</v>
      </c>
      <c r="J195" s="217" t="s">
        <v>43</v>
      </c>
      <c r="K195" s="220">
        <f>4450</f>
        <v>4450</v>
      </c>
      <c r="L195" s="211" t="s">
        <v>58</v>
      </c>
      <c r="M195" s="143"/>
      <c r="N195" s="211" t="s">
        <v>43</v>
      </c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IFERROR(__xludf.DUMMYFUNCTION("FILTER('설정시트'!$D$7:$L$20,'설정시트'!$C$7:$C$20=I195)"),"약국")</f>
        <v>약국</v>
      </c>
      <c r="AC195" s="214" t="str">
        <f>IFERROR(__xludf.DUMMYFUNCTION("""COMPUTED_VALUE"""),"병원비")</f>
        <v>병원비</v>
      </c>
      <c r="AD195" s="214" t="str">
        <f>IFERROR(__xludf.DUMMYFUNCTION("""COMPUTED_VALUE"""),"영양제")</f>
        <v>영양제</v>
      </c>
      <c r="AE195" s="214" t="str">
        <f>IFERROR(__xludf.DUMMYFUNCTION("""COMPUTED_VALUE"""),"교통비")</f>
        <v>교통비</v>
      </c>
      <c r="AF195" s="214" t="str">
        <f>IFERROR(__xludf.DUMMYFUNCTION("""COMPUTED_VALUE"""),"주유비")</f>
        <v>주유비</v>
      </c>
      <c r="AG195" s="214"/>
      <c r="AH195" s="214" t="str">
        <f>IFERROR(__xludf.DUMMYFUNCTION("""COMPUTED_VALUE"""),"기타")</f>
        <v>기타</v>
      </c>
      <c r="AI195" s="214"/>
      <c r="AJ195" s="215"/>
    </row>
    <row r="196">
      <c r="H196" s="208">
        <v>45688.0</v>
      </c>
      <c r="I196" s="217" t="s">
        <v>32</v>
      </c>
      <c r="J196" s="217" t="s">
        <v>34</v>
      </c>
      <c r="K196" s="218">
        <v>5500.0</v>
      </c>
      <c r="L196" s="211" t="s">
        <v>57</v>
      </c>
      <c r="M196" s="143"/>
      <c r="N196" s="211" t="s">
        <v>279</v>
      </c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IFERROR(__xludf.DUMMYFUNCTION("FILTER('설정시트'!$D$7:$L$20,'설정시트'!$C$7:$C$20=I196)"),"의류/잡화")</f>
        <v>의류/잡화</v>
      </c>
      <c r="AC196" s="214" t="str">
        <f>IFERROR(__xludf.DUMMYFUNCTION("""COMPUTED_VALUE"""),"OTT")</f>
        <v>OTT</v>
      </c>
      <c r="AD196" s="214" t="str">
        <f>IFERROR(__xludf.DUMMYFUNCTION("""COMPUTED_VALUE"""),"문화생활")</f>
        <v>문화생활</v>
      </c>
      <c r="AE196" s="214" t="str">
        <f>IFERROR(__xludf.DUMMYFUNCTION("""COMPUTED_VALUE"""),"자기계발")</f>
        <v>자기계발</v>
      </c>
      <c r="AF196" s="214" t="str">
        <f>IFERROR(__xludf.DUMMYFUNCTION("""COMPUTED_VALUE"""),"미용")</f>
        <v>미용</v>
      </c>
      <c r="AG196" s="214"/>
      <c r="AH196" s="214" t="str">
        <f>IFERROR(__xludf.DUMMYFUNCTION("""COMPUTED_VALUE"""),"기타")</f>
        <v>기타</v>
      </c>
      <c r="AI196" s="214"/>
      <c r="AJ196" s="215"/>
    </row>
    <row r="197">
      <c r="H197" s="208">
        <v>45686.0</v>
      </c>
      <c r="I197" s="217" t="s">
        <v>38</v>
      </c>
      <c r="J197" s="217" t="s">
        <v>34</v>
      </c>
      <c r="K197" s="218">
        <v>5194.0</v>
      </c>
      <c r="L197" s="211" t="s">
        <v>64</v>
      </c>
      <c r="M197" s="143"/>
      <c r="N197" s="211" t="s">
        <v>280</v>
      </c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IFERROR(__xludf.DUMMYFUNCTION("FILTER('설정시트'!$D$7:$L$20,'설정시트'!$C$7:$C$20=I197)"),"의류/잡화")</f>
        <v>의류/잡화</v>
      </c>
      <c r="AC197" s="214" t="str">
        <f>IFERROR(__xludf.DUMMYFUNCTION("""COMPUTED_VALUE"""),"OTT")</f>
        <v>OTT</v>
      </c>
      <c r="AD197" s="214" t="str">
        <f>IFERROR(__xludf.DUMMYFUNCTION("""COMPUTED_VALUE"""),"문화생활")</f>
        <v>문화생활</v>
      </c>
      <c r="AE197" s="214" t="str">
        <f>IFERROR(__xludf.DUMMYFUNCTION("""COMPUTED_VALUE"""),"자기계발")</f>
        <v>자기계발</v>
      </c>
      <c r="AF197" s="214" t="str">
        <f>IFERROR(__xludf.DUMMYFUNCTION("""COMPUTED_VALUE"""),"미용")</f>
        <v>미용</v>
      </c>
      <c r="AG197" s="214"/>
      <c r="AH197" s="214" t="str">
        <f>IFERROR(__xludf.DUMMYFUNCTION("""COMPUTED_VALUE"""),"기타")</f>
        <v>기타</v>
      </c>
      <c r="AI197" s="214"/>
      <c r="AJ197" s="215"/>
    </row>
    <row r="198">
      <c r="H198" s="208">
        <v>45688.0</v>
      </c>
      <c r="I198" s="217" t="s">
        <v>31</v>
      </c>
      <c r="J198" s="217" t="s">
        <v>29</v>
      </c>
      <c r="K198" s="218">
        <v>4000.0</v>
      </c>
      <c r="L198" s="211" t="s">
        <v>64</v>
      </c>
      <c r="M198" s="143"/>
      <c r="N198" s="211" t="s">
        <v>281</v>
      </c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IFERROR(__xludf.DUMMYFUNCTION("FILTER('설정시트'!$D$7:$L$20,'설정시트'!$C$7:$C$20=I198)"),"식재료비")</f>
        <v>식재료비</v>
      </c>
      <c r="AC198" s="214" t="str">
        <f>IFERROR(__xludf.DUMMYFUNCTION("""COMPUTED_VALUE"""),"회사점심")</f>
        <v>회사점심</v>
      </c>
      <c r="AD198" s="214" t="str">
        <f>IFERROR(__xludf.DUMMYFUNCTION("""COMPUTED_VALUE"""),"간식/카페")</f>
        <v>간식/카페</v>
      </c>
      <c r="AE198" s="214" t="str">
        <f>IFERROR(__xludf.DUMMYFUNCTION("""COMPUTED_VALUE"""),"외식/배달")</f>
        <v>외식/배달</v>
      </c>
      <c r="AF198" s="214" t="str">
        <f>IFERROR(__xludf.DUMMYFUNCTION("""COMPUTED_VALUE"""),"기타")</f>
        <v>기타</v>
      </c>
      <c r="AG198" s="214"/>
      <c r="AH198" s="214"/>
      <c r="AI198" s="214"/>
      <c r="AJ198" s="215"/>
    </row>
    <row r="199">
      <c r="H199" s="208">
        <v>45688.0</v>
      </c>
      <c r="I199" s="217" t="s">
        <v>21</v>
      </c>
      <c r="J199" s="217" t="s">
        <v>19</v>
      </c>
      <c r="K199" s="218">
        <v>88010.0</v>
      </c>
      <c r="L199" s="211" t="s">
        <v>61</v>
      </c>
      <c r="M199" s="143"/>
      <c r="N199" s="211" t="s">
        <v>282</v>
      </c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IFERROR(__xludf.DUMMYFUNCTION("FILTER('설정시트'!$D$7:$L$20,'설정시트'!$C$7:$C$20=I199)"),"관리비")</f>
        <v>관리비</v>
      </c>
      <c r="AC199" s="214" t="str">
        <f>IFERROR(__xludf.DUMMYFUNCTION("""COMPUTED_VALUE"""),"대출이자")</f>
        <v>대출이자</v>
      </c>
      <c r="AD199" s="214" t="str">
        <f>IFERROR(__xludf.DUMMYFUNCTION("""COMPUTED_VALUE"""),"통신비")</f>
        <v>통신비</v>
      </c>
      <c r="AE199" s="214" t="str">
        <f>IFERROR(__xludf.DUMMYFUNCTION("""COMPUTED_VALUE"""),"보험료")</f>
        <v>보험료</v>
      </c>
      <c r="AF199" s="214" t="str">
        <f>IFERROR(__xludf.DUMMYFUNCTION("""COMPUTED_VALUE"""),"곗돈")</f>
        <v>곗돈</v>
      </c>
      <c r="AG199" s="214"/>
      <c r="AH199" s="214"/>
      <c r="AI199" s="214"/>
      <c r="AJ199" s="215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48029EEC-043B-4596-BD82-4885B5601D90}" filter="1" showAutoFilter="1">
      <autoFilter ref="$I$61:$L$500"/>
    </customSheetView>
    <customSheetView guid="{1306F103-82DB-4721-A081-DFC677B29403}" filter="1" showAutoFilter="1">
      <autoFilter ref="$H$61:$J$15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264">
      <formula1>'1월'!$AB$264:$AI$264</formula1>
    </dataValidation>
    <dataValidation type="list" allowBlank="1" showErrorMessage="1" sqref="J500">
      <formula1>'1월'!$AB$500:$AI$500</formula1>
    </dataValidation>
    <dataValidation type="list" allowBlank="1" showErrorMessage="1" sqref="J170">
      <formula1>'1월'!$AB$170:$AI$170</formula1>
    </dataValidation>
    <dataValidation type="list" allowBlank="1" showErrorMessage="1" sqref="J155">
      <formula1>'1월'!$AB$155:$AI$155</formula1>
    </dataValidation>
    <dataValidation type="list" allowBlank="1" showErrorMessage="1" sqref="J358">
      <formula1>'1월'!$AB$358:$AI$358</formula1>
    </dataValidation>
    <dataValidation type="list" allowBlank="1" showErrorMessage="1" sqref="J373">
      <formula1>'1월'!$AB$373:$AI$373</formula1>
    </dataValidation>
    <dataValidation type="list" allowBlank="1" showErrorMessage="1" sqref="J467">
      <formula1>'1월'!$AB$467:$AI$467</formula1>
    </dataValidation>
    <dataValidation type="list" allowBlank="1" showErrorMessage="1" sqref="J353">
      <formula1>'1월'!$AB$353:$AI$353</formula1>
    </dataValidation>
    <dataValidation type="list" allowBlank="1" showErrorMessage="1" sqref="J482">
      <formula1>'1월'!$AB$482:$AI$482</formula1>
    </dataValidation>
    <dataValidation type="list" allowBlank="1" showErrorMessage="1" sqref="J175">
      <formula1>'1월'!$AB$175:$AI$175</formula1>
    </dataValidation>
    <dataValidation type="list" allowBlank="1" showErrorMessage="1" sqref="J284">
      <formula1>'1월'!$AB$284:$AI$284</formula1>
    </dataValidation>
    <dataValidation type="list" allowBlank="1" showErrorMessage="1" sqref="J249">
      <formula1>'1월'!$AB$249:$AI$249</formula1>
    </dataValidation>
    <dataValidation type="list" allowBlank="1" showErrorMessage="1" sqref="J244">
      <formula1>'1월'!$AB$244:$AI$244</formula1>
    </dataValidation>
    <dataValidation type="list" allowBlank="1" showErrorMessage="1" sqref="J307">
      <formula1>'1월'!$AB$307:$AI$307</formula1>
    </dataValidation>
    <dataValidation type="list" allowBlank="1" showErrorMessage="1" sqref="J213">
      <formula1>'1월'!$AB$213:$AI$213</formula1>
    </dataValidation>
    <dataValidation type="list" allowBlank="1" showErrorMessage="1" sqref="J487">
      <formula1>'1월'!$AB$487:$AI$487</formula1>
    </dataValidation>
    <dataValidation type="list" allowBlank="1" showErrorMessage="1" sqref="J104">
      <formula1>'1월'!$AB$104:$AI$104</formula1>
    </dataValidation>
    <dataValidation type="list" allowBlank="1" showErrorMessage="1" sqref="J378">
      <formula1>'1월'!$AB$378:$AI$378</formula1>
    </dataValidation>
    <dataValidation type="list" allowBlank="1" showErrorMessage="1" sqref="J67">
      <formula1>'1월'!$AB$67:$AI$67</formula1>
    </dataValidation>
    <dataValidation type="list" allowBlank="1" showErrorMessage="1" sqref="J79">
      <formula1>'1월'!$AB$79:$AI$79</formula1>
    </dataValidation>
    <dataValidation type="list" allowBlank="1" showErrorMessage="1" sqref="J109">
      <formula1>'1월'!$AB$109:$AI$109</formula1>
    </dataValidation>
    <dataValidation type="list" allowBlank="1" showErrorMessage="1" sqref="J462">
      <formula1>'1월'!$AB$462:$AI$462</formula1>
    </dataValidation>
    <dataValidation type="list" allowBlank="1" showErrorMessage="1" sqref="J411">
      <formula1>'1월'!$AB$411:$AI$411</formula1>
    </dataValidation>
    <dataValidation type="list" allowBlank="1" showErrorMessage="1" sqref="J302">
      <formula1>'1월'!$AB$302:$AI$302</formula1>
    </dataValidation>
    <dataValidation type="list" allowBlank="1" showErrorMessage="1" sqref="J150">
      <formula1>'1월'!$AB$150:$AI$150</formula1>
    </dataValidation>
    <dataValidation type="list" allowBlank="1" showErrorMessage="1" sqref="J269">
      <formula1>'1월'!$AB$269:$AI$269</formula1>
    </dataValidation>
    <dataValidation type="list" allowBlank="1" showErrorMessage="1" sqref="J96">
      <formula1>'1월'!$AB$96:$AI$96</formula1>
    </dataValidation>
    <dataValidation type="list" allowBlank="1" showErrorMessage="1" sqref="J416">
      <formula1>'1월'!$AB$416:$AI$416</formula1>
    </dataValidation>
    <dataValidation type="list" allowBlank="1" showErrorMessage="1" sqref="J186">
      <formula1>'1월'!$AB$186:$AI$186</formula1>
    </dataValidation>
    <dataValidation type="list" allowBlank="1" showErrorMessage="1" sqref="J436">
      <formula1>'1월'!$AB$436:$AI$436</formula1>
    </dataValidation>
    <dataValidation type="list" allowBlank="1" showErrorMessage="1" sqref="J209">
      <formula1>'1월'!$AB$209:$AI$209</formula1>
    </dataValidation>
    <dataValidation type="list" allowBlank="1" showErrorMessage="1" sqref="J129">
      <formula1>'1월'!$AB$129:$AI$129</formula1>
    </dataValidation>
    <dataValidation type="list" allowBlank="1" showErrorMessage="1" sqref="J218">
      <formula1>'1월'!$AB$218:$AI$218</formula1>
    </dataValidation>
    <dataValidation type="list" allowBlank="1" showErrorMessage="1" sqref="J295">
      <formula1>'1월'!$AB$295:$AI$295</formula1>
    </dataValidation>
    <dataValidation type="list" allowBlank="1" showErrorMessage="1" sqref="J427">
      <formula1>'1월'!$AB$427:$AI$427</formula1>
    </dataValidation>
    <dataValidation type="list" allowBlank="1" showErrorMessage="1" sqref="J65">
      <formula1>'1월'!$AB$65:$AI$65</formula1>
    </dataValidation>
    <dataValidation type="list" allowBlank="1" showErrorMessage="1" sqref="J130">
      <formula1>'1월'!$AB$130:$AI$130</formula1>
    </dataValidation>
    <dataValidation type="list" allowBlank="1" showErrorMessage="1" sqref="J166">
      <formula1>'1월'!$AB$166:$AI$166</formula1>
    </dataValidation>
    <dataValidation type="list" allowBlank="1" showErrorMessage="1" sqref="J318">
      <formula1>'1월'!$AB$318:$AI$318</formula1>
    </dataValidation>
    <dataValidation type="list" allowBlank="1" showErrorMessage="1" sqref="J327">
      <formula1>'1월'!$AB$327:$AI$327</formula1>
    </dataValidation>
    <dataValidation type="list" allowBlank="1" showErrorMessage="1" sqref="J70">
      <formula1>'1월'!$AB$70:$AI$70</formula1>
    </dataValidation>
    <dataValidation type="list" allowBlank="1" showErrorMessage="1" sqref="J393">
      <formula1>'1월'!$AB$393:$AI$393</formula1>
    </dataValidation>
    <dataValidation type="list" allowBlank="1" showErrorMessage="1" sqref="J94">
      <formula1>'1월'!$AB$94:$AI$94</formula1>
    </dataValidation>
    <dataValidation type="list" allowBlank="1" showErrorMessage="1" sqref="J229">
      <formula1>'1월'!$AB$229:$AI$229</formula1>
    </dataValidation>
    <dataValidation type="list" allowBlank="1" showErrorMessage="1" sqref="J338">
      <formula1>'1월'!$AB$338:$AI$338</formula1>
    </dataValidation>
    <dataValidation type="list" allowBlank="1" showErrorMessage="1" sqref="J456">
      <formula1>'1월'!$AB$456:$AI$456</formula1>
    </dataValidation>
    <dataValidation type="list" allowBlank="1" showErrorMessage="1" sqref="J258">
      <formula1>'1월'!$AB$258:$AI$258</formula1>
    </dataValidation>
    <dataValidation type="list" allowBlank="1" showErrorMessage="1" sqref="J275">
      <formula1>'1월'!$AB$275:$AI$275</formula1>
    </dataValidation>
    <dataValidation type="list" allowBlank="1" showErrorMessage="1" sqref="J149">
      <formula1>'1월'!$AB$149:$AI$149</formula1>
    </dataValidation>
    <dataValidation type="list" allowBlank="1" showErrorMessage="1" sqref="J447">
      <formula1>'1월'!$AB$447:$AI$447</formula1>
    </dataValidation>
    <dataValidation type="list" allowBlank="1" showErrorMessage="1" sqref="J384">
      <formula1>'1월'!$AB$384:$AI$384</formula1>
    </dataValidation>
    <dataValidation type="list" allowBlank="1" showErrorMessage="1" sqref="J238">
      <formula1>'1월'!$AB$238:$AI$238</formula1>
    </dataValidation>
    <dataValidation type="list" allowBlank="1" showErrorMessage="1" sqref="J110">
      <formula1>'1월'!$AB$110:$AI$110</formula1>
    </dataValidation>
    <dataValidation type="list" allowBlank="1" showErrorMessage="1" sqref="J347">
      <formula1>'1월'!$AB$347:$AI$347</formula1>
    </dataValidation>
    <dataValidation type="list" allowBlank="1" showErrorMessage="1" sqref="J493">
      <formula1>'1월'!$AB$493:$AI$493</formula1>
    </dataValidation>
    <dataValidation type="list" allowBlank="1" showErrorMessage="1" sqref="J453">
      <formula1>'1월'!$AB$453:$AI$453</formula1>
    </dataValidation>
    <dataValidation type="list" allowBlank="1" showErrorMessage="1" sqref="J250">
      <formula1>'1월'!$AB$250:$AI$250</formula1>
    </dataValidation>
    <dataValidation type="list" allowBlank="1" showErrorMessage="1" sqref="J69">
      <formula1>'1월'!$AB$69:$AI$69</formula1>
    </dataValidation>
    <dataValidation type="list" allowBlank="1" showErrorMessage="1" sqref="J92">
      <formula1>'1월'!$AB$92:$AI$92</formula1>
    </dataValidation>
    <dataValidation type="list" allowBlank="1" showErrorMessage="1" sqref="J184">
      <formula1>'1월'!$AB$184:$AI$184</formula1>
    </dataValidation>
    <dataValidation type="list" allowBlank="1" showErrorMessage="1" sqref="J491">
      <formula1>'1월'!$AB$491:$AI$491</formula1>
    </dataValidation>
    <dataValidation type="list" allowBlank="1" showErrorMessage="1" sqref="J344">
      <formula1>'1월'!$AB$344:$AI$344</formula1>
    </dataValidation>
    <dataValidation type="list" allowBlank="1" showErrorMessage="1" sqref="J161">
      <formula1>'1월'!$AB$161:$AI$161</formula1>
    </dataValidation>
    <dataValidation type="list" allowBlank="1" showErrorMessage="1" sqref="J77">
      <formula1>'1월'!$AB$77:$AI$77</formula1>
    </dataValidation>
    <dataValidation type="list" allowBlank="1" showErrorMessage="1" sqref="J235">
      <formula1>'1월'!$AB$235:$AI$235</formula1>
    </dataValidation>
    <dataValidation type="list" allowBlank="1" showErrorMessage="1" sqref="J293">
      <formula1>'1월'!$AB$293:$AI$293</formula1>
    </dataValidation>
    <dataValidation type="list" allowBlank="1" showErrorMessage="1" sqref="J473">
      <formula1>'1월'!$AB$473:$AI$473</formula1>
    </dataValidation>
    <dataValidation type="list" allowBlank="1" showErrorMessage="1" sqref="J126">
      <formula1>'1월'!$AB$126:$AI$126</formula1>
    </dataValidation>
    <dataValidation type="list" allowBlank="1" showErrorMessage="1" sqref="J471">
      <formula1>'1월'!$AB$471:$AI$471</formula1>
    </dataValidation>
    <dataValidation type="list" allowBlank="1" showErrorMessage="1" sqref="J230">
      <formula1>'1월'!$AB$230:$AI$230</formula1>
    </dataValidation>
    <dataValidation type="list" allowBlank="1" showErrorMessage="1" sqref="J364">
      <formula1>'1월'!$AB$364:$AI$364</formula1>
    </dataValidation>
    <dataValidation type="list" allowBlank="1" showErrorMessage="1" sqref="J164">
      <formula1>'1월'!$AB$164:$AI$164</formula1>
    </dataValidation>
    <dataValidation type="list" allowBlank="1" showErrorMessage="1" sqref="J197">
      <formula1>'1월'!$AB$197:$AI$197</formula1>
    </dataValidation>
    <dataValidation type="list" allowBlank="1" showErrorMessage="1" sqref="J255">
      <formula1>'1월'!$AB$255:$AI$255</formula1>
    </dataValidation>
    <dataValidation type="list" allowBlank="1" showErrorMessage="1" sqref="J273">
      <formula1>'1월'!$AB$273:$AI$273</formula1>
    </dataValidation>
    <dataValidation type="list" allowBlank="1" showErrorMessage="1" sqref="J72">
      <formula1>'1월'!$AB$72:$AI$72</formula1>
    </dataValidation>
    <dataValidation type="list" allowBlank="1" showErrorMessage="1" sqref="J84">
      <formula1>'1월'!$AB$84:$AI$84</formula1>
    </dataValidation>
    <dataValidation type="list" allowBlank="1" showErrorMessage="1" sqref="J141">
      <formula1>'1월'!$AB$141:$AI$141</formula1>
    </dataValidation>
    <dataValidation type="list" allowBlank="1" showErrorMessage="1" sqref="J382">
      <formula1>'1월'!$AB$382:$AI$382</formula1>
    </dataValidation>
    <dataValidation type="list" allowBlank="1" showErrorMessage="1" sqref="J146">
      <formula1>'1월'!$AB$146:$AI$146</formula1>
    </dataValidation>
    <dataValidation type="list" allowBlank="1" showErrorMessage="1" sqref="J469">
      <formula1>'1월'!$AB$469:$AI$469</formula1>
    </dataValidation>
    <dataValidation type="list" allowBlank="1" showErrorMessage="1" sqref="J233">
      <formula1>'1월'!$AB$233:$AI$233</formula1>
    </dataValidation>
    <dataValidation type="list" allowBlank="1" showErrorMessage="1" sqref="J80">
      <formula1>'1월'!$AB$80:$AI$80</formula1>
    </dataValidation>
    <dataValidation type="list" allowBlank="1" showErrorMessage="1" sqref="J451">
      <formula1>'1월'!$AB$451:$AI$451</formula1>
    </dataValidation>
    <dataValidation type="list" allowBlank="1" showErrorMessage="1" sqref="J304">
      <formula1>'1월'!$AB$304:$AI$304</formula1>
    </dataValidation>
    <dataValidation type="list" allowBlank="1" showErrorMessage="1" sqref="J124">
      <formula1>'1월'!$AB$124:$AI$124</formula1>
    </dataValidation>
    <dataValidation type="list" allowBlank="1" showErrorMessage="1" sqref="J290">
      <formula1>'1월'!$AB$290:$AI$290</formula1>
    </dataValidation>
    <dataValidation type="list" allowBlank="1" showErrorMessage="1" sqref="J289">
      <formula1>'1월'!$AB$289:$AI$289</formula1>
    </dataValidation>
    <dataValidation type="list" allowBlank="1" showErrorMessage="1" sqref="J398">
      <formula1>'1월'!$AB$398:$AI$398</formula1>
    </dataValidation>
    <dataValidation type="list" allowBlank="1" showErrorMessage="1" sqref="J431">
      <formula1>'1월'!$AB$431:$AI$431</formula1>
    </dataValidation>
    <dataValidation type="list" allowBlank="1" showErrorMessage="1" sqref="J253">
      <formula1>'1월'!$AB$253:$AI$253</formula1>
    </dataValidation>
    <dataValidation type="list" allowBlank="1" showErrorMessage="1" sqref="J322">
      <formula1>'1월'!$AB$322:$AI$322</formula1>
    </dataValidation>
    <dataValidation type="list" allowBlank="1" showErrorMessage="1" sqref="J362">
      <formula1>'1월'!$AB$362:$AI$362</formula1>
    </dataValidation>
    <dataValidation type="list" allowBlank="1" showErrorMessage="1" sqref="J82">
      <formula1>'1월'!$AB$82:$AI$82</formula1>
    </dataValidation>
    <dataValidation type="list" allowBlank="1" showErrorMessage="1" sqref="J215">
      <formula1>'1월'!$AB$215:$AI$215</formula1>
    </dataValidation>
    <dataValidation type="list" allowBlank="1" showErrorMessage="1" sqref="J305">
      <formula1>'1월'!$AB$305:$AI$305</formula1>
    </dataValidation>
    <dataValidation type="list" allowBlank="1" showErrorMessage="1" sqref="J433">
      <formula1>'1월'!$AB$433:$AI$433</formula1>
    </dataValidation>
    <dataValidation type="list" allowBlank="1" showErrorMessage="1" sqref="J270">
      <formula1>'1월'!$AB$270:$AI$270</formula1>
    </dataValidation>
    <dataValidation type="list" allowBlank="1" showErrorMessage="1" sqref="J324">
      <formula1>'1월'!$AB$324:$AI$324</formula1>
    </dataValidation>
    <dataValidation type="list" allowBlank="1" showErrorMessage="1" sqref="J414">
      <formula1>'1월'!$AB$414:$AI$414</formula1>
    </dataValidation>
    <dataValidation type="list" allowBlank="1" showErrorMessage="1" sqref="J144">
      <formula1>'1월'!$AB$144:$AI$144</formula1>
    </dataValidation>
    <dataValidation type="list" allowBlank="1" showErrorMessage="1" sqref="J413">
      <formula1>'1월'!$AB$413:$AI$413</formula1>
    </dataValidation>
    <dataValidation type="list" allowBlank="1" showErrorMessage="1" sqref="J181">
      <formula1>'1월'!$AB$181:$AI$181</formula1>
    </dataValidation>
    <dataValidation type="list" allowBlank="1" showErrorMessage="1" sqref="J106">
      <formula1>'1월'!$AB$106:$AI$106</formula1>
    </dataValidation>
    <dataValidation type="list" allowBlank="1" showErrorMessage="1" sqref="J489">
      <formula1>'1월'!$AB$489:$AI$489</formula1>
    </dataValidation>
    <dataValidation type="list" allowBlank="1" showErrorMessage="1" sqref="J75">
      <formula1>'1월'!$AB$75:$AI$75</formula1>
    </dataValidation>
    <dataValidation type="list" allowBlank="1" showErrorMessage="1" sqref="J342">
      <formula1>'1월'!$AB$342:$AI$342</formula1>
    </dataValidation>
    <dataValidation type="list" allowBlank="1" showErrorMessage="1" sqref="J325">
      <formula1>'1월'!$AB$325:$AI$325</formula1>
    </dataValidation>
    <dataValidation type="list" allowBlank="1" showErrorMessage="1" sqref="J122">
      <formula1>'1월'!$AB$122:$AI$122</formula1>
    </dataValidation>
    <dataValidation type="list" allowBlank="1" showErrorMessage="1" sqref="J188">
      <formula1>'1월'!$AB$188:$AI$188</formula1>
    </dataValidation>
    <dataValidation type="list" allowBlank="1" showErrorMessage="1" sqref="J132">
      <formula1>'1월'!$AB$132:$AI$132</formula1>
    </dataValidation>
    <dataValidation type="list" allowBlank="1" showErrorMessage="1" sqref="J340">
      <formula1>'1월'!$AB$340:$AI$340</formula1>
    </dataValidation>
    <dataValidation type="list" allowBlank="1" showErrorMessage="1" sqref="J221">
      <formula1>'1월'!$AB$221:$AI$221</formula1>
    </dataValidation>
    <dataValidation type="list" allowBlank="1" showErrorMessage="1" sqref="J419">
      <formula1>'1월'!$AB$419:$AI$419</formula1>
    </dataValidation>
    <dataValidation type="list" allowBlank="1" showErrorMessage="1" sqref="J226">
      <formula1>'1월'!$AB$226:$AI$226</formula1>
    </dataValidation>
    <dataValidation type="list" allowBlank="1" showErrorMessage="1" sqref="J74">
      <formula1>'1월'!$AB$74:$AI$74</formula1>
    </dataValidation>
    <dataValidation type="list" allowBlank="1" showErrorMessage="1" sqref="J107">
      <formula1>'1월'!$AB$107:$AI$107</formula1>
    </dataValidation>
    <dataValidation type="list" allowBlank="1" showErrorMessage="1" sqref="J178">
      <formula1>'1월'!$AB$178:$AI$178</formula1>
    </dataValidation>
    <dataValidation type="list" allowBlank="1" showErrorMessage="1" sqref="J315">
      <formula1>'1월'!$AB$315:$AI$315</formula1>
    </dataValidation>
    <dataValidation type="list" allowBlank="1" showErrorMessage="1" sqref="J211">
      <formula1>'1월'!$AB$211:$AI$211</formula1>
    </dataValidation>
    <dataValidation type="list" allowBlank="1" showErrorMessage="1" sqref="J350">
      <formula1>'1월'!$AB$350:$AI$350</formula1>
    </dataValidation>
    <dataValidation type="list" allowBlank="1" showErrorMessage="1" sqref="J277">
      <formula1>'1월'!$AB$277:$AI$277</formula1>
    </dataValidation>
    <dataValidation type="list" allowBlank="1" showErrorMessage="1" sqref="J485">
      <formula1>'1월'!$AB$485:$AI$485</formula1>
    </dataValidation>
    <dataValidation type="list" allowBlank="1" showErrorMessage="1" sqref="J73">
      <formula1>'1월'!$AB$73:$AI$73</formula1>
    </dataValidation>
    <dataValidation type="list" allowBlank="1" showErrorMessage="1" sqref="J490">
      <formula1>'1월'!$AB$490:$AI$490</formula1>
    </dataValidation>
    <dataValidation type="list" allowBlank="1" showErrorMessage="1" sqref="J454">
      <formula1>'1월'!$AB$454:$AI$454</formula1>
    </dataValidation>
    <dataValidation type="list" allowBlank="1" showErrorMessage="1" sqref="J137">
      <formula1>'1월'!$AB$137:$AI$137</formula1>
    </dataValidation>
    <dataValidation type="list" allowBlank="1" showErrorMessage="1" sqref="J173">
      <formula1>'1월'!$AB$173:$AI$173</formula1>
    </dataValidation>
    <dataValidation type="list" allowBlank="1" showErrorMessage="1" sqref="J495">
      <formula1>'1월'!$AB$495:$AI$495</formula1>
    </dataValidation>
    <dataValidation type="list" allowBlank="1" showErrorMessage="1" sqref="J444">
      <formula1>'1월'!$AB$444:$AI$444</formula1>
    </dataValidation>
    <dataValidation type="list" allowBlank="1" showErrorMessage="1" sqref="J183">
      <formula1>'1월'!$AB$183:$AI$183</formula1>
    </dataValidation>
    <dataValidation type="list" allowBlank="1" showErrorMessage="1" sqref="J396">
      <formula1>'1월'!$AB$396:$AI$396</formula1>
    </dataValidation>
    <dataValidation type="list" allowBlank="1" showErrorMessage="1" sqref="J391">
      <formula1>'1월'!$AB$391:$AI$391</formula1>
    </dataValidation>
    <dataValidation type="list" allowBlank="1" showErrorMessage="1" sqref="J236">
      <formula1>'1월'!$AB$236:$AI$236</formula1>
    </dataValidation>
    <dataValidation type="list" allowBlank="1" showErrorMessage="1" sqref="J449">
      <formula1>'1월'!$AB$449:$AI$449</formula1>
    </dataValidation>
    <dataValidation type="list" allowBlank="1" showErrorMessage="1" sqref="J266">
      <formula1>'1월'!$AB$266:$AI$266</formula1>
    </dataValidation>
    <dataValidation type="list" allowBlank="1" showErrorMessage="1" sqref="J356">
      <formula1>'1월'!$AB$356:$AI$356</formula1>
    </dataValidation>
    <dataValidation type="list" allowBlank="1" showErrorMessage="1" sqref="J484">
      <formula1>'1월'!$AB$484:$AI$484</formula1>
    </dataValidation>
    <dataValidation type="list" allowBlank="1" showErrorMessage="1" sqref="J148">
      <formula1>'1월'!$AB$148:$AI$148</formula1>
    </dataValidation>
    <dataValidation type="list" allowBlank="1" showErrorMessage="1" sqref="J365">
      <formula1>'1월'!$AB$365:$AI$365</formula1>
    </dataValidation>
    <dataValidation type="list" allowBlank="1" showErrorMessage="1" sqref="J455">
      <formula1>'1월'!$AB$455:$AI$455</formula1>
    </dataValidation>
    <dataValidation type="list" allowBlank="1" showErrorMessage="1" sqref="J86">
      <formula1>'1월'!$AB$86:$AI$86</formula1>
    </dataValidation>
    <dataValidation type="list" allowBlank="1" showErrorMessage="1" sqref="J237">
      <formula1>'1월'!$AB$237:$AI$237</formula1>
    </dataValidation>
    <dataValidation type="list" allowBlank="1" showErrorMessage="1" sqref="J408">
      <formula1>'1월'!$AB$408:$AI$408</formula1>
    </dataValidation>
    <dataValidation type="list" allowBlank="1" showErrorMessage="1" sqref="J445">
      <formula1>'1월'!$AB$445:$AI$445</formula1>
    </dataValidation>
    <dataValidation type="list" allowBlank="1" showErrorMessage="1" sqref="J220">
      <formula1>'1월'!$AB$220:$AI$220</formula1>
    </dataValidation>
    <dataValidation type="list" allowBlank="1" showErrorMessage="1" sqref="J494">
      <formula1>'1월'!$AB$494:$AI$494</formula1>
    </dataValidation>
    <dataValidation type="list" allowBlank="1" showErrorMessage="1" sqref="J89">
      <formula1>'1월'!$AB$89:$AI$89</formula1>
    </dataValidation>
    <dataValidation type="list" allowBlank="1" showErrorMessage="1" sqref="J147">
      <formula1>'1월'!$AB$147:$AI$147</formula1>
    </dataValidation>
    <dataValidation type="list" allowBlank="1" showErrorMessage="1" sqref="J138">
      <formula1>'1월'!$AB$138:$AI$138</formula1>
    </dataValidation>
    <dataValidation type="list" allowBlank="1" showErrorMessage="1" sqref="J355">
      <formula1>'1월'!$AB$355:$AI$355</formula1>
    </dataValidation>
    <dataValidation type="list" allowBlank="1" showErrorMessage="1" sqref="J187">
      <formula1>'1월'!$AB$187:$AI$187</formula1>
    </dataValidation>
    <dataValidation type="list" allowBlank="1" showErrorMessage="1" sqref="J121">
      <formula1>'1월'!$AB$121:$AI$121</formula1>
    </dataValidation>
    <dataValidation type="list" allowBlank="1" showErrorMessage="1" sqref="J395">
      <formula1>'1월'!$AB$395:$AI$395</formula1>
    </dataValidation>
    <dataValidation type="list" allowBlank="1" showErrorMessage="1" sqref="J310">
      <formula1>'1월'!$AB$310:$AI$310</formula1>
    </dataValidation>
    <dataValidation type="list" allowBlank="1" showErrorMessage="1" sqref="J418">
      <formula1>'1월'!$AB$418:$AI$418</formula1>
    </dataValidation>
    <dataValidation type="list" allowBlank="1" showErrorMessage="1" sqref="J267">
      <formula1>'1월'!$AB$267:$AI$267</formula1>
    </dataValidation>
    <dataValidation type="list" allowBlank="1" showErrorMessage="1" sqref="J88">
      <formula1>'1월'!$AB$88:$AI$88</formula1>
    </dataValidation>
    <dataValidation type="list" allowBlank="1" showErrorMessage="1" sqref="J409">
      <formula1>'1월'!$AB$409:$AI$409</formula1>
    </dataValidation>
    <dataValidation type="list" allowBlank="1" showErrorMessage="1" sqref="J177">
      <formula1>'1월'!$AB$177:$AI$177</formula1>
    </dataValidation>
    <dataValidation type="list" allowBlank="1" showErrorMessage="1" sqref="J366">
      <formula1>'1월'!$AB$366:$AI$366</formula1>
    </dataValidation>
    <dataValidation type="list" allowBlank="1" showErrorMessage="1" sqref="J210">
      <formula1>'1월'!$AB$210:$AI$210</formula1>
    </dataValidation>
    <dataValidation type="list" allowBlank="1" showErrorMessage="1" sqref="J300">
      <formula1>'1월'!$AB$300:$AI$300</formula1>
    </dataValidation>
    <dataValidation type="list" allowBlank="1" showErrorMessage="1" sqref="J319">
      <formula1>'1월'!$AB$319:$AI$319</formula1>
    </dataValidation>
    <dataValidation type="list" allowBlank="1" showErrorMessage="1" sqref="J276">
      <formula1>'1월'!$AB$276:$AI$276</formula1>
    </dataValidation>
    <dataValidation type="list" allowBlank="1" showErrorMessage="1" sqref="J87">
      <formula1>'1월'!$AB$87:$AI$87</formula1>
    </dataValidation>
    <dataValidation type="list" allowBlank="1" showErrorMessage="1" sqref="J392">
      <formula1>'1월'!$AB$392:$AI$392</formula1>
    </dataValidation>
    <dataValidation type="list" allowBlank="1" showErrorMessage="1" sqref="J278">
      <formula1>'1월'!$AB$278:$AI$278</formula1>
    </dataValidation>
    <dataValidation type="list" allowBlank="1" showErrorMessage="1" sqref="J405">
      <formula1>'1월'!$AB$405:$AI$405</formula1>
    </dataValidation>
    <dataValidation type="list" allowBlank="1" showErrorMessage="1" sqref="J311">
      <formula1>'1월'!$AB$311:$AI$311</formula1>
    </dataValidation>
    <dataValidation type="list" allowBlank="1" showErrorMessage="1" sqref="J329">
      <formula1>'1월'!$AB$329:$AI$329</formula1>
    </dataValidation>
    <dataValidation type="list" allowBlank="1" showErrorMessage="1" sqref="J136">
      <formula1>'1월'!$AB$136:$AI$136</formula1>
    </dataValidation>
    <dataValidation type="list" allowBlank="1" showErrorMessage="1" sqref="J443">
      <formula1>'1월'!$AB$443:$AI$443</formula1>
    </dataValidation>
    <dataValidation type="list" allowBlank="1" showErrorMessage="1" sqref="J225">
      <formula1>'1월'!$AB$225:$AI$225</formula1>
    </dataValidation>
    <dataValidation type="list" allowBlank="1" showErrorMessage="1" sqref="J400">
      <formula1>'1월'!$AB$400:$AI$400</formula1>
    </dataValidation>
    <dataValidation type="list" allowBlank="1" showErrorMessage="1" sqref="J260">
      <formula1>'1월'!$AB$260:$AI$260</formula1>
    </dataValidation>
    <dataValidation type="list" allowBlank="1" showErrorMessage="1" sqref="J440">
      <formula1>'1월'!$AB$440:$AI$440</formula1>
    </dataValidation>
    <dataValidation type="list" allowBlank="1" showErrorMessage="1" sqref="J367">
      <formula1>'1월'!$AB$367:$AI$367</formula1>
    </dataValidation>
    <dataValidation type="list" allowBlank="1" showErrorMessage="1" sqref="J265">
      <formula1>'1월'!$AB$265:$AI$265</formula1>
    </dataValidation>
    <dataValidation type="list" allowBlank="1" showErrorMessage="1" sqref="J402">
      <formula1>'1월'!$AB$402:$AI$402</formula1>
    </dataValidation>
    <dataValidation type="list" allowBlank="1" showErrorMessage="1" sqref="J263">
      <formula1>'1월'!$AB$263:$AI$263</formula1>
    </dataValidation>
    <dataValidation type="list" allowBlank="1" showErrorMessage="1" sqref="J227">
      <formula1>'1월'!$AB$227:$AI$227</formula1>
    </dataValidation>
    <dataValidation type="list" allowBlank="1" showErrorMessage="1" sqref="J189">
      <formula1>'1월'!$AB$189:$AI$189</formula1>
    </dataValidation>
    <dataValidation type="list" allowBlank="1" showErrorMessage="1" sqref="J369">
      <formula1>'1월'!$AB$369:$AI$369</formula1>
    </dataValidation>
    <dataValidation type="list" allowBlank="1" showErrorMessage="1" sqref="J131">
      <formula1>'1월'!$AB$131:$AI$131</formula1>
    </dataValidation>
    <dataValidation type="list" allowBlank="1" showErrorMessage="1" sqref="J316">
      <formula1>'1월'!$AB$316:$AI$316</formula1>
    </dataValidation>
    <dataValidation type="list" allowBlank="1" showErrorMessage="1" sqref="J222">
      <formula1>'1월'!$AB$222:$AI$222</formula1>
    </dataValidation>
    <dataValidation type="list" allowBlank="1" showErrorMessage="1" sqref="J481">
      <formula1>'1월'!$AB$481:$AI$481</formula1>
    </dataValidation>
    <dataValidation type="list" allowBlank="1" showErrorMessage="1" sqref="J496">
      <formula1>'1월'!$AB$496:$AI$496</formula1>
    </dataValidation>
    <dataValidation type="list" allowBlank="1" showErrorMessage="1" sqref="J458">
      <formula1>'1월'!$AB$458:$AI$458</formula1>
    </dataValidation>
    <dataValidation type="list" allowBlank="1" showErrorMessage="1" sqref="J407">
      <formula1>'1월'!$AB$407:$AI$407</formula1>
    </dataValidation>
    <dataValidation type="list" allowBlank="1" showErrorMessage="1" sqref="J174">
      <formula1>'1월'!$AB$174:$AI$174</formula1>
    </dataValidation>
    <dataValidation type="list" allowBlank="1" showErrorMessage="1" sqref="J354">
      <formula1>'1월'!$AB$354:$AI$354</formula1>
    </dataValidation>
    <dataValidation type="list" allowBlank="1" showErrorMessage="1" sqref="J403">
      <formula1>'1월'!$AB$403:$AI$403</formula1>
    </dataValidation>
    <dataValidation type="list" allowBlank="1" showErrorMessage="1" sqref="J441">
      <formula1>'1월'!$AB$441:$AI$441</formula1>
    </dataValidation>
    <dataValidation type="list" allowBlank="1" showErrorMessage="1" sqref="J172">
      <formula1>'1월'!$AB$172:$AI$172</formula1>
    </dataValidation>
    <dataValidation type="list" allowBlank="1" showErrorMessage="1" sqref="J262">
      <formula1>'1월'!$AB$262:$AI$262</formula1>
    </dataValidation>
    <dataValidation type="list" allowBlank="1" showErrorMessage="1" sqref="J352">
      <formula1>'1월'!$AB$352:$AI$352</formula1>
    </dataValidation>
    <dataValidation type="list" allowBlank="1" showErrorMessage="1" sqref="J480">
      <formula1>'1월'!$AB$480:$AI$480</formula1>
    </dataValidation>
    <dataValidation type="list" allowBlank="1" showErrorMessage="1" sqref="J459">
      <formula1>'1월'!$AB$459:$AI$459</formula1>
    </dataValidation>
    <dataValidation type="list" allowBlank="1" showErrorMessage="1" sqref="J223">
      <formula1>'1월'!$AB$223:$AI$223</formula1>
    </dataValidation>
    <dataValidation type="list" allowBlank="1" showErrorMessage="1" sqref="J313">
      <formula1>'1월'!$AB$313:$AI$313</formula1>
    </dataValidation>
    <dataValidation type="list" allowBlank="1" showErrorMessage="1" sqref="J390">
      <formula1>'1월'!$AB$390:$AI$390</formula1>
    </dataValidation>
    <dataValidation type="list" allowBlank="1" showErrorMessage="1" sqref="J133">
      <formula1>'1월'!$AB$133:$AI$133</formula1>
    </dataValidation>
    <dataValidation type="list" allowBlank="1" showErrorMessage="1" sqref="J497">
      <formula1>'1월'!$AB$497:$AI$497</formula1>
    </dataValidation>
    <dataValidation type="list" allowBlank="1" showErrorMessage="1" sqref="J171">
      <formula1>'1월'!$AB$171:$AI$171</formula1>
    </dataValidation>
    <dataValidation type="list" allowBlank="1" showErrorMessage="1" sqref="J135">
      <formula1>'1월'!$AB$135:$AI$135</formula1>
    </dataValidation>
    <dataValidation type="list" allowBlank="1" showErrorMessage="1" sqref="J499">
      <formula1>'1월'!$AB$499:$AI$499</formula1>
    </dataValidation>
    <dataValidation type="list" allowBlank="1" showErrorMessage="1" sqref="J261">
      <formula1>'1월'!$AB$261:$AI$261</formula1>
    </dataValidation>
    <dataValidation type="list" allowBlank="1" showErrorMessage="1" sqref="J442">
      <formula1>'1월'!$AB$442:$AI$442</formula1>
    </dataValidation>
    <dataValidation type="list" allowBlank="1" showErrorMessage="1" sqref="J351">
      <formula1>'1월'!$AB$351:$AI$351</formula1>
    </dataValidation>
    <dataValidation type="list" allowBlank="1" showErrorMessage="1" sqref="J498">
      <formula1>'1월'!$AB$498:$AI$498</formula1>
    </dataValidation>
    <dataValidation type="list" allowBlank="1" showErrorMessage="1" sqref="J134">
      <formula1>'1월'!$AB$134:$AI$134</formula1>
    </dataValidation>
    <dataValidation type="list" allowBlank="1" showErrorMessage="1" sqref="J224">
      <formula1>'1월'!$AB$224:$AI$224</formula1>
    </dataValidation>
    <dataValidation type="list" allowBlank="1" showErrorMessage="1" sqref="J314">
      <formula1>'1월'!$AB$314:$AI$314</formula1>
    </dataValidation>
    <dataValidation type="list" allowBlank="1" showErrorMessage="1" sqref="J404">
      <formula1>'1월'!$AB$404:$AI$404</formula1>
    </dataValidation>
    <dataValidation type="list" allowBlank="1" showErrorMessage="1" sqref="J66">
      <formula1>'1월'!$AB$66:$AI$66</formula1>
    </dataValidation>
    <dataValidation type="list" allowBlank="1" showErrorMessage="1" sqref="J472">
      <formula1>'1월'!$AB$472:$AI$472</formula1>
    </dataValidation>
    <dataValidation type="list" allowBlank="1" showErrorMessage="1" sqref="J165">
      <formula1>'1월'!$AB$165:$AI$165</formula1>
    </dataValidation>
    <dataValidation type="list" allowBlank="1" showErrorMessage="1" sqref="J160">
      <formula1>'1월'!$AB$160:$AI$160</formula1>
    </dataValidation>
    <dataValidation type="list" allowBlank="1" showErrorMessage="1" sqref="J401">
      <formula1>'1월'!$AB$401:$AI$401</formula1>
    </dataValidation>
    <dataValidation type="list" allowBlank="1" showErrorMessage="1" sqref="J254">
      <formula1>'1월'!$AB$254:$AI$254</formula1>
    </dataValidation>
    <dataValidation type="list" allowBlank="1" showErrorMessage="1" sqref="J95">
      <formula1>'1월'!$AB$95:$AI$95</formula1>
    </dataValidation>
    <dataValidation type="list" allowBlank="1" showErrorMessage="1" sqref="J259">
      <formula1>'1월'!$AB$259:$AI$259</formula1>
    </dataValidation>
    <dataValidation type="list" allowBlank="1" showErrorMessage="1" sqref="J180">
      <formula1>'1월'!$AB$180:$AI$180</formula1>
    </dataValidation>
    <dataValidation type="list" allowBlank="1" showErrorMessage="1" sqref="J274">
      <formula1>'1월'!$AB$274:$AI$274</formula1>
    </dataValidation>
    <dataValidation type="list" allowBlank="1" showErrorMessage="1" sqref="J383">
      <formula1>'1월'!$AB$383:$AI$383</formula1>
    </dataValidation>
    <dataValidation type="list" allowBlank="1" showErrorMessage="1" sqref="J348">
      <formula1>'1월'!$AB$348:$AI$348</formula1>
    </dataValidation>
    <dataValidation type="list" allowBlank="1" showErrorMessage="1" sqref="J145">
      <formula1>'1월'!$AB$145:$AI$145</formula1>
    </dataValidation>
    <dataValidation type="list" allowBlank="1" showErrorMessage="1" sqref="J492">
      <formula1>'1월'!$AB$492:$AI$492</formula1>
    </dataValidation>
    <dataValidation type="list" allowBlank="1" showErrorMessage="1" sqref="J452">
      <formula1>'1월'!$AB$452:$AI$452</formula1>
    </dataValidation>
    <dataValidation type="list" allowBlank="1" showErrorMessage="1" sqref="J457">
      <formula1>'1월'!$AB$457:$AI$457</formula1>
    </dataValidation>
    <dataValidation type="list" allowBlank="1" showErrorMessage="1" sqref="J421">
      <formula1>'1월'!$AB$421:$AI$421</formula1>
    </dataValidation>
    <dataValidation type="list" allowBlank="1" showErrorMessage="1" sqref="J279">
      <formula1>'1월'!$AB$279:$AI$279</formula1>
    </dataValidation>
    <dataValidation type="list" allowBlank="1" showErrorMessage="1" sqref="J140">
      <formula1>'1월'!$AB$140:$AI$140</formula1>
    </dataValidation>
    <dataValidation type="list" allowBlank="1" showErrorMessage="1" sqref="J406">
      <formula1>'1월'!$AB$406:$AI$406</formula1>
    </dataValidation>
    <dataValidation type="list" allowBlank="1" showErrorMessage="1" sqref="J312">
      <formula1>'1월'!$AB$312:$AI$312</formula1>
    </dataValidation>
    <dataValidation type="list" allowBlank="1" showErrorMessage="1" sqref="J477">
      <formula1>'1월'!$AB$477:$AI$477</formula1>
    </dataValidation>
    <dataValidation type="list" allowBlank="1" showErrorMessage="1" sqref="J368">
      <formula1>'1월'!$AB$368:$AI$368</formula1>
    </dataValidation>
    <dataValidation type="list" allowBlank="1" showErrorMessage="1" sqref="J317">
      <formula1>'1월'!$AB$317:$AI$317</formula1>
    </dataValidation>
    <dataValidation type="list" allowBlank="1" showErrorMessage="1" sqref="J208">
      <formula1>'1월'!$AB$208:$AI$208</formula1>
    </dataValidation>
    <dataValidation type="list" allowBlank="1" showErrorMessage="1" sqref="J363">
      <formula1>'1월'!$AB$363:$AI$363</formula1>
    </dataValidation>
    <dataValidation type="list" allowBlank="1" showErrorMessage="1" sqref="J203">
      <formula1>'1월'!$AB$203:$AI$203</formula1>
    </dataValidation>
    <dataValidation type="list" allowBlank="1" showErrorMessage="1" sqref="J228">
      <formula1>'1월'!$AB$228:$AI$228</formula1>
    </dataValidation>
    <dataValidation type="list" allowBlank="1" showErrorMessage="1" sqref="J417">
      <formula1>'1월'!$AB$417:$AI$417</formula1>
    </dataValidation>
    <dataValidation type="list" allowBlank="1" showErrorMessage="1" sqref="J119">
      <formula1>'1월'!$AB$119:$AI$119</formula1>
    </dataValidation>
    <dataValidation type="list" allowBlank="1" showErrorMessage="1" sqref="J120">
      <formula1>'1월'!$AB$120:$AI$120</formula1>
    </dataValidation>
    <dataValidation type="list" allowBlank="1" showErrorMessage="1" sqref="J394">
      <formula1>'1월'!$AB$394:$AI$394</formula1>
    </dataValidation>
    <dataValidation type="list" allowBlank="1" showErrorMessage="1" sqref="J337">
      <formula1>'1월'!$AB$337:$AI$337</formula1>
    </dataValidation>
    <dataValidation type="list" allowBlank="1" showErrorMessage="1" sqref="J308">
      <formula1>'1월'!$AB$308:$AI$308</formula1>
    </dataValidation>
    <dataValidation type="list" allowBlank="1" showErrorMessage="1" sqref="J219">
      <formula1>'1월'!$AB$219:$AI$219</formula1>
    </dataValidation>
    <dataValidation type="list" allowBlank="1" showErrorMessage="1" sqref="J426">
      <formula1>'1월'!$AB$426:$AI$426</formula1>
    </dataValidation>
    <dataValidation type="list" allowBlank="1" showErrorMessage="1" sqref="J196">
      <formula1>'1월'!$AB$196:$AI$196</formula1>
    </dataValidation>
    <dataValidation type="list" allowBlank="1" showErrorMessage="1" sqref="J100">
      <formula1>'1월'!$AB$100:$AI$100</formula1>
    </dataValidation>
    <dataValidation type="list" allowBlank="1" showErrorMessage="1" sqref="J357">
      <formula1>'1월'!$AB$357:$AI$357</formula1>
    </dataValidation>
    <dataValidation type="list" allowBlank="1" showErrorMessage="1" sqref="J185">
      <formula1>'1월'!$AB$185:$AI$185</formula1>
    </dataValidation>
    <dataValidation type="list" allowBlank="1" showErrorMessage="1" sqref="J248">
      <formula1>'1월'!$AB$248:$AI$248</formula1>
    </dataValidation>
    <dataValidation type="list" allowBlank="1" showErrorMessage="1" sqref="J374">
      <formula1>'1월'!$AB$374:$AI$374</formula1>
    </dataValidation>
    <dataValidation type="list" allowBlank="1" showErrorMessage="1" sqref="J64">
      <formula1>'1월'!$AB$64:$AI$64</formula1>
    </dataValidation>
    <dataValidation type="list" allowBlank="1" showErrorMessage="1" sqref="J466">
      <formula1>'1월'!$AB$466:$AI$466</formula1>
    </dataValidation>
    <dataValidation type="list" allowBlank="1" showErrorMessage="1" sqref="J294">
      <formula1>'1월'!$AB$294:$AI$294</formula1>
    </dataValidation>
    <dataValidation type="list" allowBlank="1" showErrorMessage="1" sqref="J483">
      <formula1>'1월'!$AB$483:$AI$483</formula1>
    </dataValidation>
    <dataValidation type="list" allowBlank="1" showErrorMessage="1" sqref="J328">
      <formula1>'1월'!$AB$328:$AI$328</formula1>
    </dataValidation>
    <dataValidation type="list" allowBlank="1" showErrorMessage="1" sqref="J239">
      <formula1>'1월'!$AB$239:$AI$239</formula1>
    </dataValidation>
    <dataValidation type="list" allowBlank="1" showErrorMessage="1" sqref="J176">
      <formula1>'1월'!$AB$176:$AI$176</formula1>
    </dataValidation>
    <dataValidation type="list" allowBlank="1" showErrorMessage="1" sqref="J446">
      <formula1>'1월'!$AB$446:$AI$446</formula1>
    </dataValidation>
    <dataValidation type="list" allowBlank="1" showErrorMessage="1" sqref="J93">
      <formula1>'1월'!$AB$93:$AI$93</formula1>
    </dataValidation>
    <dataValidation type="list" allowBlank="1" showErrorMessage="1" sqref="J285">
      <formula1>'1월'!$AB$285:$AI$285</formula1>
    </dataValidation>
    <dataValidation type="list" allowBlank="1" showErrorMessage="1" sqref="J139">
      <formula1>'1월'!$AB$139:$AI$139</formula1>
    </dataValidation>
    <dataValidation type="list" allowBlank="1" showErrorMessage="1" sqref="J437">
      <formula1>'1월'!$AB$437:$AI$437</formula1>
    </dataValidation>
    <dataValidation type="list" allowBlank="1" showErrorMessage="1" sqref="J103">
      <formula1>'1월'!$AB$103:$AI$103</formula1>
    </dataValidation>
    <dataValidation type="list" allowBlank="1" showErrorMessage="1" sqref="J486">
      <formula1>'1월'!$AB$486:$AI$486</formula1>
    </dataValidation>
    <dataValidation type="list" allowBlank="1" showErrorMessage="1" sqref="J212">
      <formula1>'1월'!$AB$212:$AI$212</formula1>
    </dataValidation>
    <dataValidation type="list" allowBlank="1" showErrorMessage="1" sqref="J448">
      <formula1>'1월'!$AB$448:$AI$448</formula1>
    </dataValidation>
    <dataValidation type="list" allowBlank="1" showErrorMessage="1" sqref="J415">
      <formula1>'1월'!$AB$415:$AI$415</formula1>
    </dataValidation>
    <dataValidation type="list" allowBlank="1" showErrorMessage="1" sqref="J71">
      <formula1>'1월'!$AB$71:$AI$71</formula1>
    </dataValidation>
    <dataValidation type="list" allowBlank="1" showErrorMessage="1" sqref="J377">
      <formula1>'1월'!$AB$377:$AI$377</formula1>
    </dataValidation>
    <dataValidation type="list" allowBlank="1" showErrorMessage="1" sqref="J301">
      <formula1>'1월'!$AB$301:$AI$301</formula1>
    </dataValidation>
    <dataValidation type="list" allowBlank="1" showErrorMessage="1" sqref="J159">
      <formula1>'1월'!$AB$159:$AI$159</formula1>
    </dataValidation>
    <dataValidation type="list" allowBlank="1" showErrorMessage="1" sqref="J410">
      <formula1>'1월'!$AB$410:$AI$410</formula1>
    </dataValidation>
    <dataValidation type="list" allowBlank="1" showErrorMessage="1" sqref="J268">
      <formula1>'1월'!$AB$268:$AI$268</formula1>
    </dataValidation>
    <dataValidation type="list" allowBlank="1" showErrorMessage="1" sqref="J339">
      <formula1>'1월'!$AB$339:$AI$339</formula1>
    </dataValidation>
    <dataValidation type="list" allowBlank="1" showErrorMessage="1" sqref="J306">
      <formula1>'1월'!$AB$306:$AI$306</formula1>
    </dataValidation>
    <dataValidation type="list" allowBlank="1" showErrorMessage="1" sqref="J468">
      <formula1>'1월'!$AB$468:$AI$468</formula1>
    </dataValidation>
    <dataValidation type="list" allowBlank="1" showErrorMessage="1" sqref="J435">
      <formula1>'1월'!$AB$435:$AI$435</formula1>
    </dataValidation>
    <dataValidation type="list" allowBlank="1" showErrorMessage="1" sqref="J232">
      <formula1>'1월'!$AB$232:$AI$232</formula1>
    </dataValidation>
    <dataValidation type="list" allowBlank="1" showErrorMessage="1" sqref="J85">
      <formula1>'1월'!$AB$85:$AI$85</formula1>
    </dataValidation>
    <dataValidation type="list" allowBlank="1" showErrorMessage="1" sqref="J123">
      <formula1>'1월'!$AB$123:$AI$123</formula1>
    </dataValidation>
    <dataValidation type="list" allowBlank="1" showErrorMessage="1" sqref="J397">
      <formula1>'1월'!$AB$397:$AI$397</formula1>
    </dataValidation>
    <dataValidation type="list" allowBlank="1" showErrorMessage="1" sqref="J303">
      <formula1>'1월'!$AB$303:$AI$303</formula1>
    </dataValidation>
    <dataValidation type="list" allowBlank="1" showErrorMessage="1" sqref="J128">
      <formula1>'1월'!$AB$128:$AI$128</formula1>
    </dataValidation>
    <dataValidation type="list" allowBlank="1" showErrorMessage="1" sqref="J108">
      <formula1>'1월'!$AB$108:$AI$108</formula1>
    </dataValidation>
    <dataValidation type="list" allowBlank="1" showErrorMessage="1" sqref="J288">
      <formula1>'1월'!$AB$288:$AI$288</formula1>
    </dataValidation>
    <dataValidation type="list" allowBlank="1" showErrorMessage="1" sqref="J430">
      <formula1>'1월'!$AB$430:$AI$430</formula1>
    </dataValidation>
    <dataValidation type="list" allowBlank="1" showErrorMessage="1" sqref="J217">
      <formula1>'1월'!$AB$217:$AI$217</formula1>
    </dataValidation>
    <dataValidation type="list" allowBlank="1" showErrorMessage="1" sqref="J321">
      <formula1>'1월'!$AB$321:$AI$321</formula1>
    </dataValidation>
    <dataValidation type="list" allowBlank="1" showErrorMessage="1" sqref="J359">
      <formula1>'1월'!$AB$359:$AI$359</formula1>
    </dataValidation>
    <dataValidation type="list" allowBlank="1" showErrorMessage="1" sqref="J326">
      <formula1>'1월'!$AB$326:$AI$326</formula1>
    </dataValidation>
    <dataValidation type="list" allowBlank="1" showErrorMessage="1" sqref="J179">
      <formula1>'1월'!$AB$179:$AI$179</formula1>
    </dataValidation>
    <dataValidation type="list" allowBlank="1" showErrorMessage="1" sqref="J214">
      <formula1>'1월'!$AB$214:$AI$214</formula1>
    </dataValidation>
    <dataValidation type="list" allowBlank="1" showErrorMessage="1" sqref="J78">
      <formula1>'1월'!$AB$78:$AI$78</formula1>
    </dataValidation>
    <dataValidation type="list" allowBlank="1" showErrorMessage="1" sqref="J323">
      <formula1>'1월'!$AB$323:$AI$323</formula1>
    </dataValidation>
    <dataValidation type="list" allowBlank="1" showErrorMessage="1" sqref="J361">
      <formula1>'1월'!$AB$361:$AI$361</formula1>
    </dataValidation>
    <dataValidation type="list" allowBlank="1" showErrorMessage="1" sqref="J488">
      <formula1>'1월'!$AB$488:$AI$488</formula1>
    </dataValidation>
    <dataValidation type="list" allowBlank="1" showErrorMessage="1" sqref="J83">
      <formula1>'1월'!$AB$83:$AI$83</formula1>
    </dataValidation>
    <dataValidation type="list" allowBlank="1" showErrorMessage="1" sqref="J470">
      <formula1>'1월'!$AB$470:$AI$470</formula1>
    </dataValidation>
    <dataValidation type="list" allowBlank="1" showErrorMessage="1" sqref="J380">
      <formula1>'1월'!$AB$380:$AI$380</formula1>
    </dataValidation>
    <dataValidation type="list" allowBlank="1" showErrorMessage="1" sqref="J291">
      <formula1>'1월'!$AB$291:$AI$291</formula1>
    </dataValidation>
    <dataValidation type="list" allowBlank="1" showErrorMessage="1" sqref="J412">
      <formula1>'1월'!$AB$412:$AI$412</formula1>
    </dataValidation>
    <dataValidation type="list" allowBlank="1" showErrorMessage="1" sqref="J163">
      <formula1>'1월'!$AB$163:$AI$163</formula1>
    </dataValidation>
    <dataValidation type="list" allowBlank="1" showErrorMessage="1" sqref="J68">
      <formula1>'1월'!$AB$68:$AI$68</formula1>
    </dataValidation>
    <dataValidation type="list" allowBlank="1" showErrorMessage="1" sqref="J105">
      <formula1>'1월'!$AB$105:$AI$105</formula1>
    </dataValidation>
    <dataValidation type="list" allowBlank="1" showErrorMessage="1" sqref="J379">
      <formula1>'1월'!$AB$379:$AI$379</formula1>
    </dataValidation>
    <dataValidation type="list" allowBlank="1" showErrorMessage="1" sqref="J199">
      <formula1>'1월'!$AB$199:$AI$199</formula1>
    </dataValidation>
    <dataValidation type="list" allowBlank="1" showErrorMessage="1" sqref="J182">
      <formula1>'1월'!$AB$182:$AI$182</formula1>
    </dataValidation>
    <dataValidation type="list" allowBlank="1" showErrorMessage="1" sqref="J272">
      <formula1>'1월'!$AB$272:$AI$272</formula1>
    </dataValidation>
    <dataValidation type="list" allowBlank="1" showErrorMessage="1" sqref="J360">
      <formula1>'1월'!$AB$360:$AI$360</formula1>
    </dataValidation>
    <dataValidation type="list" allowBlank="1" showErrorMessage="1" sqref="J251">
      <formula1>'1월'!$AB$251:$AI$251</formula1>
    </dataValidation>
    <dataValidation type="list" allowBlank="1" showErrorMessage="1" sqref="J341">
      <formula1>'1월'!$AB$341:$AI$341</formula1>
    </dataValidation>
    <dataValidation type="list" allowBlank="1" showErrorMessage="1" sqref="J343">
      <formula1>'1월'!$AB$343:$AI$343</formula1>
    </dataValidation>
    <dataValidation type="list" allowBlank="1" showErrorMessage="1" sqref="J76">
      <formula1>'1월'!$AB$76:$AI$76</formula1>
    </dataValidation>
    <dataValidation type="list" allowBlank="1" showErrorMessage="1" sqref="J234">
      <formula1>'1월'!$AB$234:$AI$234</formula1>
    </dataValidation>
    <dataValidation type="list" allowBlank="1" showErrorMessage="1" sqref="J450">
      <formula1>'1월'!$AB$450:$AI$450</formula1>
    </dataValidation>
    <dataValidation type="list" allowBlank="1" showErrorMessage="1" sqref="J399">
      <formula1>'1월'!$AB$399:$AI$399</formula1>
    </dataValidation>
    <dataValidation type="list" allowBlank="1" showErrorMessage="1" sqref="J162">
      <formula1>'1월'!$AB$162:$AI$162</formula1>
    </dataValidation>
    <dataValidation type="list" allowBlank="1" showErrorMessage="1" sqref="J81">
      <formula1>'1월'!$AB$81:$AI$81</formula1>
    </dataValidation>
    <dataValidation type="list" allowBlank="1" showErrorMessage="1" sqref="J143">
      <formula1>'1월'!$AB$143:$AI$143</formula1>
    </dataValidation>
    <dataValidation type="list" allowBlank="1" showErrorMessage="1" sqref="J125">
      <formula1>'1월'!$AB$125:$AI$125</formula1>
    </dataValidation>
    <dataValidation type="list" allowBlank="1" showErrorMessage="1" sqref="J271">
      <formula1>'1월'!$AB$271:$AI$271</formula1>
    </dataValidation>
    <dataValidation type="list" allowBlank="1" showErrorMessage="1" sqref="J252">
      <formula1>'1월'!$AB$252:$AI$252</formula1>
    </dataValidation>
    <dataValidation type="list" allowBlank="1" showErrorMessage="1" sqref="J432">
      <formula1>'1월'!$AB$432:$AI$432</formula1>
    </dataValidation>
    <dataValidation type="list" allowBlank="1" showErrorMessage="1" sqref="J297">
      <formula1>'1월'!$AB$297:$AI$297</formula1>
    </dataValidation>
    <dataValidation type="list" allowBlank="1" showErrorMessage="1" sqref="J231">
      <formula1>'1월'!$AB$231:$AI$231</formula1>
    </dataValidation>
    <dataValidation type="list" allowBlank="1" showErrorMessage="1" sqref="J117">
      <formula1>'1월'!$AB$117:$AI$117</formula1>
    </dataValidation>
    <dataValidation type="list" allowBlank="1" showErrorMessage="1" sqref="J198">
      <formula1>'1월'!$AB$198:$AI$198</formula1>
    </dataValidation>
    <dataValidation type="list" allowBlank="1" showErrorMessage="1" sqref="J434">
      <formula1>'1월'!$AB$434:$AI$434</formula1>
    </dataValidation>
    <dataValidation type="list" allowBlank="1" showErrorMessage="1" sqref="J287">
      <formula1>'1월'!$AB$287:$AI$287</formula1>
    </dataValidation>
    <dataValidation type="list" allowBlank="1" showErrorMessage="1" sqref="J112">
      <formula1>'1월'!$AB$112:$AI$112</formula1>
    </dataValidation>
    <dataValidation type="list" allowBlank="1" showErrorMessage="1" sqref="J241">
      <formula1>'1월'!$AB$241:$AI$241</formula1>
    </dataValidation>
    <dataValidation type="list" allowBlank="1" showErrorMessage="1" sqref="J320">
      <formula1>'1월'!$AB$320:$AI$320</formula1>
    </dataValidation>
    <dataValidation type="list" allowBlank="1" showErrorMessage="1" sqref="J386">
      <formula1>'1월'!$AB$386:$AI$386</formula1>
    </dataValidation>
    <dataValidation type="list" allowBlank="1" showErrorMessage="1" sqref="J424">
      <formula1>'1월'!$AB$424:$AI$424</formula1>
    </dataValidation>
    <dataValidation type="list" allowBlank="1" showErrorMessage="1" sqref="J142">
      <formula1>'1월'!$AB$142:$AI$142</formula1>
    </dataValidation>
    <dataValidation type="list" allowBlank="1" showErrorMessage="1" sqref="J216">
      <formula1>'1월'!$AB$216:$AI$216</formula1>
    </dataValidation>
    <dataValidation type="list" allowBlank="1" showErrorMessage="1" sqref="J429">
      <formula1>'1월'!$AB$429:$AI$429</formula1>
    </dataValidation>
    <dataValidation type="list" allowBlank="1" showErrorMessage="1" sqref="J282">
      <formula1>'1월'!$AB$282:$AI$282</formula1>
    </dataValidation>
    <dataValidation type="list" allowBlank="1" showErrorMessage="1" sqref="J246">
      <formula1>'1월'!$AB$246:$AI$246</formula1>
    </dataValidation>
    <dataValidation type="list" allowBlank="1" showErrorMessage="1" sqref="J381">
      <formula1>'1월'!$AB$381:$AI$381</formula1>
    </dataValidation>
    <dataValidation type="list" allowBlank="1" showErrorMessage="1" sqref="J345">
      <formula1>'1월'!$AB$345:$AI$345</formula1>
    </dataValidation>
    <dataValidation type="list" allowBlank="1" showErrorMessage="1" sqref="J439">
      <formula1>'1월'!$AB$439:$AI$439</formula1>
    </dataValidation>
    <dataValidation type="list" allowBlank="1" showErrorMessage="1" sqref="J90">
      <formula1>'1월'!$AB$90:$AI$90</formula1>
    </dataValidation>
    <dataValidation type="list" allowBlank="1" showErrorMessage="1" sqref="J292">
      <formula1>'1월'!$AB$292:$AI$292</formula1>
    </dataValidation>
    <dataValidation type="list" allowBlank="1" showErrorMessage="1" sqref="J193">
      <formula1>'1월'!$AB$193:$AI$193</formula1>
    </dataValidation>
    <dataValidation type="list" allowBlank="1" showErrorMessage="1" sqref="J335">
      <formula1>'1월'!$AB$335:$AI$335</formula1>
    </dataValidation>
    <dataValidation type="list" allowBlank="1" showErrorMessage="1" sqref="J127">
      <formula1>'1월'!$AB$127:$AI$127</formula1>
    </dataValidation>
    <dataValidation type="list" allowBlank="1" showErrorMessage="1" sqref="J330">
      <formula1>'1월'!$AB$330:$AI$330</formula1>
    </dataValidation>
    <dataValidation type="list" allowBlank="1" showErrorMessage="1" sqref="J375">
      <formula1>'1월'!$AB$375:$AI$375</formula1>
    </dataValidation>
    <dataValidation type="list" allowBlank="1" showErrorMessage="1" sqref="J247">
      <formula1>'1월'!$AB$247:$AI$247</formula1>
    </dataValidation>
    <dataValidation type="list" allowBlank="1" showErrorMessage="1" sqref="J200">
      <formula1>'1월'!$AB$200:$AI$200</formula1>
    </dataValidation>
    <dataValidation type="list" allowBlank="1" showErrorMessage="1" sqref="J474">
      <formula1>'1월'!$AB$474:$AI$474</formula1>
    </dataValidation>
    <dataValidation type="list" allowBlank="1" showErrorMessage="1" sqref="J157">
      <formula1>'1월'!$AB$157:$AI$157</formula1>
    </dataValidation>
    <dataValidation type="list" allowBlank="1" showErrorMessage="1" sqref="J62">
      <formula1>'1월'!$AB$62:$AI$62</formula1>
    </dataValidation>
    <dataValidation type="list" allowBlank="1" showErrorMessage="1" sqref="J385">
      <formula1>'1월'!$AB$385:$AI$385</formula1>
    </dataValidation>
    <dataValidation type="list" allowBlank="1" showErrorMessage="1" sqref="J256">
      <formula1>'1월'!$AB$256:$AI$256</formula1>
    </dataValidation>
    <dataValidation type="list" allowBlank="1" showErrorMessage="1" sqref="J464">
      <formula1>'1월'!$AB$464:$AI$464</formula1>
    </dataValidation>
    <dataValidation type="list" allowBlank="1" showErrorMessage="1" sqref="J286">
      <formula1>'1월'!$AB$286:$AI$286</formula1>
    </dataValidation>
    <dataValidation type="list" allowBlank="1" showErrorMessage="1" sqref="J346">
      <formula1>'1월'!$AB$346:$AI$346</formula1>
    </dataValidation>
    <dataValidation type="list" allowBlank="1" showErrorMessage="1" sqref="J91">
      <formula1>'1월'!$AB$91:$AI$91</formula1>
    </dataValidation>
    <dataValidation type="list" allowBlank="1" showErrorMessage="1" sqref="J168">
      <formula1>'1월'!$AB$168:$AI$168</formula1>
    </dataValidation>
    <dataValidation type="list" allowBlank="1" showErrorMessage="1" sqref="J102">
      <formula1>'1월'!$AB$102:$AI$102</formula1>
    </dataValidation>
    <dataValidation type="list" allowBlank="1" showErrorMessage="1" sqref="J376">
      <formula1>'1월'!$AB$376:$AI$376</formula1>
    </dataValidation>
    <dataValidation type="list" allowBlank="1" showErrorMessage="1" sqref="J309">
      <formula1>'1월'!$AB$309:$AI$309</formula1>
    </dataValidation>
    <dataValidation type="list" allowBlank="1" showErrorMessage="1" sqref="J111">
      <formula1>'1월'!$AB$111:$AI$111</formula1>
    </dataValidation>
    <dataValidation type="list" allowBlank="1" showErrorMessage="1" sqref="J475">
      <formula1>'1월'!$AB$475:$AI$475</formula1>
    </dataValidation>
    <dataValidation type="list" allowBlank="1" showErrorMessage="1" sqref="J201">
      <formula1>'1월'!$AB$201:$AI$201</formula1>
    </dataValidation>
    <dataValidation type="list" allowBlank="1" showErrorMessage="1" sqref="J158">
      <formula1>'1월'!$AB$158:$AI$158</formula1>
    </dataValidation>
    <dataValidation type="list" allowBlank="1" showErrorMessage="1" sqref="J428">
      <formula1>'1월'!$AB$428:$AI$428</formula1>
    </dataValidation>
    <dataValidation type="list" allowBlank="1" showErrorMessage="1" sqref="J465">
      <formula1>'1월'!$AB$465:$AI$465</formula1>
    </dataValidation>
    <dataValidation type="list" allowBlank="1" showErrorMessage="1" sqref="J63">
      <formula1>'1월'!$AB$63:$AI$63</formula1>
    </dataValidation>
    <dataValidation type="list" allowBlank="1" showErrorMessage="1" sqref="J167">
      <formula1>'1월'!$AB$167:$AI$167</formula1>
    </dataValidation>
    <dataValidation type="list" allowBlank="1" showErrorMessage="1" sqref="J257">
      <formula1>'1월'!$AB$257:$AI$257</formula1>
    </dataValidation>
    <dataValidation type="list" allowBlank="1" showErrorMessage="1" sqref="J101">
      <formula1>'1월'!$AB$101:$AI$101</formula1>
    </dataValidation>
    <dataValidation type="list" allowBlank="1" showErrorMessage="1" sqref="J283">
      <formula1>'1월'!$AB$283:$AI$283</formula1>
    </dataValidation>
    <dataValidation type="list" allowBlank="1" showErrorMessage="1" sqref="J420">
      <formula1>'1월'!$AB$420:$AI$420</formula1>
    </dataValidation>
    <dataValidation type="list" allowBlank="1" showErrorMessage="1" sqref="J245">
      <formula1>'1월'!$AB$245:$AI$245</formula1>
    </dataValidation>
    <dataValidation type="list" allowBlank="1" showErrorMessage="1" sqref="J438">
      <formula1>'1월'!$AB$438:$AI$438</formula1>
    </dataValidation>
    <dataValidation type="list" allowBlank="1" showErrorMessage="1" sqref="J202">
      <formula1>'1월'!$AB$202:$AI$202</formula1>
    </dataValidation>
    <dataValidation type="list" allowBlank="1" showErrorMessage="1" sqref="J151">
      <formula1>'1월'!$AB$151:$AI$151</formula1>
    </dataValidation>
    <dataValidation type="list" allowBlank="1" showErrorMessage="1" sqref="J169">
      <formula1>'1월'!$AB$169:$AI$169</formula1>
    </dataValidation>
    <dataValidation type="list" allowBlank="1" showErrorMessage="1" sqref="J349">
      <formula1>'1월'!$AB$349:$AI$349</formula1>
    </dataValidation>
    <dataValidation type="list" allowBlank="1" showErrorMessage="1" sqref="J194:J195">
      <formula1>'1월'!$AB$194:$AI$194</formula1>
    </dataValidation>
    <dataValidation type="list" allowBlank="1" showErrorMessage="1" sqref="J98">
      <formula1>'1월'!$AB$98:$AI$98</formula1>
    </dataValidation>
    <dataValidation type="list" allowBlank="1" showErrorMessage="1" sqref="J476">
      <formula1>'1월'!$AB$476:$AI$476</formula1>
    </dataValidation>
    <dataValidation type="list" allowBlank="1" showErrorMessage="1" sqref="J207">
      <formula1>'1월'!$AB$207:$AI$207</formula1>
    </dataValidation>
    <dataValidation type="list" allowBlank="1" showErrorMessage="1" sqref="J334">
      <formula1>'1월'!$AB$334:$AI$334</formula1>
    </dataValidation>
    <dataValidation type="list" allowBlank="1" showErrorMessage="1" sqref="J298">
      <formula1>'1월'!$AB$298:$AI$298</formula1>
    </dataValidation>
    <dataValidation type="list" allowBlank="1" showErrorMessage="1" sqref="J296">
      <formula1>'1월'!$AB$296:$AI$296</formula1>
    </dataValidation>
    <dataValidation type="list" allowBlank="1" showErrorMessage="1" sqref="J97">
      <formula1>'1월'!$AB$97:$AI$97</formula1>
    </dataValidation>
    <dataValidation type="list" allowBlank="1" showErrorMessage="1" sqref="J192">
      <formula1>'1월'!$AB$192:$AI$192</formula1>
    </dataValidation>
    <dataValidation type="list" allowBlank="1" showErrorMessage="1" sqref="J156">
      <formula1>'1월'!$AB$156:$AI$156</formula1>
    </dataValidation>
    <dataValidation type="list" allowBlank="1" showErrorMessage="1" sqref="J372">
      <formula1>'1월'!$AB$372:$AI$372</formula1>
    </dataValidation>
    <dataValidation type="list" allowBlank="1" showErrorMessage="1" sqref="J336">
      <formula1>'1월'!$AB$336:$AI$336</formula1>
    </dataValidation>
    <dataValidation type="list" allowBlank="1" showErrorMessage="1" sqref="J331">
      <formula1>'1월'!$AB$331:$AI$331</formula1>
    </dataValidation>
    <dataValidation type="list" allowBlank="1" showErrorMessage="1" sqref="J240">
      <formula1>'1월'!$AB$240:$AI$240</formula1>
    </dataValidation>
    <dataValidation type="list" allowBlank="1" showErrorMessage="1" sqref="J463">
      <formula1>'1월'!$AB$463:$AI$463</formula1>
    </dataValidation>
    <dataValidation type="list" allowBlank="1" showErrorMessage="1" sqref="J425">
      <formula1>'1월'!$AB$425:$AI$425</formula1>
    </dataValidation>
    <dataValidation type="list" allowBlank="1" showErrorMessage="1" sqref="J387">
      <formula1>'1월'!$AB$387:$AI$387</formula1>
    </dataValidation>
    <dataValidation type="list" allowBlank="1" showErrorMessage="1" sqref="J113">
      <formula1>'1월'!$AB$113:$AI$113</formula1>
    </dataValidation>
    <dataValidation type="list" allowBlank="1" showErrorMessage="1" sqref="J118">
      <formula1>'1월'!$AB$118:$AI$118</formula1>
    </dataValidation>
    <dataValidation type="list" allowBlank="1" showErrorMessage="1" sqref="J153">
      <formula1>'1월'!$AB$153:$AI$153</formula1>
    </dataValidation>
    <dataValidation type="list" allowBlank="1" showErrorMessage="1" sqref="J99">
      <formula1>'1월'!$AB$99:$AI$99</formula1>
    </dataValidation>
    <dataValidation type="list" allowBlank="1" showErrorMessage="1" sqref="J389">
      <formula1>'1월'!$AB$389:$AI$389</formula1>
    </dataValidation>
    <dataValidation type="list" allowBlank="1" showErrorMessage="1" sqref="J191">
      <formula1>'1월'!$AB$191:$AI$191</formula1>
    </dataValidation>
    <dataValidation type="list" allowBlank="1" showErrorMessage="1" sqref="J281">
      <formula1>'1월'!$AB$281:$AI$281</formula1>
    </dataValidation>
    <dataValidation type="list" allowBlank="1" showErrorMessage="1" sqref="L62:L500">
      <formula1>'설정시트'!$D$23:$O$23</formula1>
    </dataValidation>
    <dataValidation type="list" allowBlank="1" showErrorMessage="1" sqref="J115">
      <formula1>'1월'!$AB$115:$AI$115</formula1>
    </dataValidation>
    <dataValidation type="list" allowBlank="1" showErrorMessage="1" sqref="J299">
      <formula1>'1월'!$AB$299:$AI$299</formula1>
    </dataValidation>
    <dataValidation type="list" allowBlank="1" showErrorMessage="1" sqref="J332">
      <formula1>'1월'!$AB$332:$AI$332</formula1>
    </dataValidation>
    <dataValidation type="list" allowBlank="1" showErrorMessage="1" sqref="J422">
      <formula1>'1월'!$AB$422:$AI$422</formula1>
    </dataValidation>
    <dataValidation type="list" allowBlank="1" showErrorMessage="1" sqref="J478">
      <formula1>'1월'!$AB$478:$AI$478</formula1>
    </dataValidation>
    <dataValidation type="list" allowBlank="1" showErrorMessage="1" sqref="J204">
      <formula1>'1월'!$AB$204:$AI$204</formula1>
    </dataValidation>
    <dataValidation type="list" allowBlank="1" showErrorMessage="1" sqref="J371">
      <formula1>'1월'!$AB$371:$AI$371</formula1>
    </dataValidation>
    <dataValidation type="list" allowBlank="1" showErrorMessage="1" sqref="J461">
      <formula1>'1월'!$AB$461:$AI$461</formula1>
    </dataValidation>
    <dataValidation type="list" allowBlank="1" showErrorMessage="1" sqref="J114">
      <formula1>'1월'!$AB$114:$AI$114</formula1>
    </dataValidation>
    <dataValidation type="list" allowBlank="1" showErrorMessage="1" sqref="J388">
      <formula1>'1월'!$AB$388:$AI$388</formula1>
    </dataValidation>
    <dataValidation type="list" allowBlank="1" showErrorMessage="1" sqref="J154">
      <formula1>'1월'!$AB$154:$AI$154</formula1>
    </dataValidation>
    <dataValidation type="list" allowBlank="1" showErrorMessage="1" sqref="J423">
      <formula1>'1월'!$AB$423:$AI$423</formula1>
    </dataValidation>
    <dataValidation type="list" allowBlank="1" showErrorMessage="1" sqref="J152">
      <formula1>'1월'!$AB$152:$AI$152</formula1>
    </dataValidation>
    <dataValidation type="list" allowBlank="1" showErrorMessage="1" sqref="J242">
      <formula1>'1월'!$AB$242:$AI$242</formula1>
    </dataValidation>
    <dataValidation type="list" allowBlank="1" showErrorMessage="1" sqref="J116">
      <formula1>'1월'!$AB$116:$AI$116</formula1>
    </dataValidation>
    <dataValidation type="list" allowBlank="1" showErrorMessage="1" sqref="J206">
      <formula1>'1월'!$AB$206:$AI$206</formula1>
    </dataValidation>
    <dataValidation type="list" allowBlank="1" showErrorMessage="1" sqref="J205">
      <formula1>'1월'!$AB$205:$AI$205</formula1>
    </dataValidation>
    <dataValidation type="list" allowBlank="1" showErrorMessage="1" sqref="J479">
      <formula1>'1월'!$AB$479:$AI$479</formula1>
    </dataValidation>
    <dataValidation type="list" allowBlank="1" showErrorMessage="1" sqref="J243">
      <formula1>'1월'!$AB$243:$AI$243</formula1>
    </dataValidation>
    <dataValidation type="list" allowBlank="1" showErrorMessage="1" sqref="J333">
      <formula1>'1월'!$AB$333:$AI$333</formula1>
    </dataValidation>
    <dataValidation type="list" allowBlank="1" showErrorMessage="1" sqref="I62:I500">
      <formula1>'설정시트'!$C$7:$C$20</formula1>
    </dataValidation>
    <dataValidation type="list" allowBlank="1" showErrorMessage="1" sqref="J190">
      <formula1>'1월'!$AB$190:$AI$190</formula1>
    </dataValidation>
    <dataValidation type="list" allowBlank="1" showErrorMessage="1" sqref="J280">
      <formula1>'1월'!$AB$280:$AI$280</formula1>
    </dataValidation>
    <dataValidation type="list" allowBlank="1" showErrorMessage="1" sqref="J370">
      <formula1>'1월'!$AB$370:$AI$370</formula1>
    </dataValidation>
    <dataValidation type="list" allowBlank="1" showErrorMessage="1" sqref="J460">
      <formula1>'1월'!$AB$460:$AI$460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2.0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45683</v>
      </c>
      <c r="S9" s="117">
        <f t="shared" ref="S9:X9" si="1">R9 + 1</f>
        <v>45684</v>
      </c>
      <c r="T9" s="118">
        <f t="shared" si="1"/>
        <v>45685</v>
      </c>
      <c r="U9" s="118">
        <f t="shared" si="1"/>
        <v>45686</v>
      </c>
      <c r="V9" s="118">
        <f t="shared" si="1"/>
        <v>45687</v>
      </c>
      <c r="W9" s="118">
        <f t="shared" si="1"/>
        <v>45688</v>
      </c>
      <c r="X9" s="119">
        <f t="shared" si="1"/>
        <v>45689</v>
      </c>
      <c r="Y9" s="120"/>
      <c r="AB9" s="121" t="str">
        <f>$H$25</f>
        <v>🍪고정비</v>
      </c>
      <c r="AC9" s="122">
        <f>$K$31</f>
        <v>2155212</v>
      </c>
      <c r="AD9" s="123">
        <f t="shared" ref="AD9:AD20" si="4">_xlfn.RANK.EQ(AC9,$AB$9:$AC$20,0) + ROW(AB1)/10000</f>
        <v>2.0001</v>
      </c>
      <c r="AE9" s="123">
        <f t="shared" ref="AE9:AE20" si="5">SMALL($AD$9:$AD$20, ROW(AB1))</f>
        <v>1.0011</v>
      </c>
      <c r="AF9" s="123" t="str">
        <f t="shared" ref="AF9:AF20" si="6">INDEX($AB$9:$AB$20,MATCH(AE9,$AD$9:$AD$20,0))</f>
        <v>🍪이벤트성</v>
      </c>
      <c r="AG9" s="122">
        <f t="shared" ref="AG9:AG20" si="7">INDEX($AC$9:$AC$20,MATCH(AE9,$AD$9:$AD$20,0))</f>
        <v>42387013</v>
      </c>
    </row>
    <row r="10">
      <c r="E10" s="114" t="s">
        <v>55</v>
      </c>
      <c r="F10" s="115">
        <f t="shared" si="2"/>
        <v>1129143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0</v>
      </c>
      <c r="V10" s="126">
        <f t="shared" si="3"/>
        <v>0</v>
      </c>
      <c r="W10" s="126">
        <f t="shared" si="3"/>
        <v>0</v>
      </c>
      <c r="X10" s="126">
        <f t="shared" si="3"/>
        <v>213490</v>
      </c>
      <c r="Y10" s="126">
        <f>SUM(R10:X10)</f>
        <v>213490</v>
      </c>
      <c r="AB10" s="121" t="str">
        <f>$H$33</f>
        <v>🐻고정비</v>
      </c>
      <c r="AC10" s="122">
        <f>$K$39</f>
        <v>694550</v>
      </c>
      <c r="AD10" s="123">
        <f t="shared" si="4"/>
        <v>5.0002</v>
      </c>
      <c r="AE10" s="123">
        <f t="shared" si="5"/>
        <v>2.0001</v>
      </c>
      <c r="AF10" s="123" t="str">
        <f t="shared" si="6"/>
        <v>🍪고정비</v>
      </c>
      <c r="AG10" s="122">
        <f t="shared" si="7"/>
        <v>2155212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45690</v>
      </c>
      <c r="S11" s="128">
        <f t="shared" si="8"/>
        <v>45691</v>
      </c>
      <c r="T11" s="117">
        <f t="shared" si="8"/>
        <v>45692</v>
      </c>
      <c r="U11" s="117">
        <f t="shared" si="8"/>
        <v>45693</v>
      </c>
      <c r="V11" s="118">
        <f t="shared" si="8"/>
        <v>45694</v>
      </c>
      <c r="W11" s="129">
        <f t="shared" si="8"/>
        <v>45695</v>
      </c>
      <c r="X11" s="130">
        <f t="shared" si="8"/>
        <v>45696</v>
      </c>
      <c r="Y11" s="131"/>
      <c r="AB11" s="121" t="str">
        <f>$H$41</f>
        <v>🍪생필품</v>
      </c>
      <c r="AC11" s="122">
        <f>$K$47</f>
        <v>284480</v>
      </c>
      <c r="AD11" s="123">
        <f t="shared" si="4"/>
        <v>8.0003</v>
      </c>
      <c r="AE11" s="123">
        <f t="shared" si="5"/>
        <v>3.0008</v>
      </c>
      <c r="AF11" s="123" t="str">
        <f t="shared" si="6"/>
        <v>🐻여가비</v>
      </c>
      <c r="AG11" s="122">
        <f t="shared" si="7"/>
        <v>1364967</v>
      </c>
    </row>
    <row r="12">
      <c r="C12" s="132" t="s">
        <v>136</v>
      </c>
      <c r="D12" s="133">
        <f>F33</f>
        <v>5488395</v>
      </c>
      <c r="E12" s="114" t="s">
        <v>57</v>
      </c>
      <c r="F12" s="115">
        <f t="shared" si="2"/>
        <v>1487200</v>
      </c>
      <c r="R12" s="134">
        <f t="shared" ref="R12:X12" si="9">SUMIFS($K$62:$K$500,$H$62:$H$500,R11,$I$62:$I$500,"&lt;&gt;수입",$I$62:$I$500,"&lt;&gt;저축")</f>
        <v>68920</v>
      </c>
      <c r="S12" s="135">
        <f t="shared" si="9"/>
        <v>19200</v>
      </c>
      <c r="T12" s="136">
        <f t="shared" si="9"/>
        <v>38575843</v>
      </c>
      <c r="U12" s="136">
        <f t="shared" si="9"/>
        <v>1367170</v>
      </c>
      <c r="V12" s="134">
        <f t="shared" si="9"/>
        <v>22400</v>
      </c>
      <c r="W12" s="137">
        <f t="shared" si="9"/>
        <v>440400</v>
      </c>
      <c r="X12" s="137">
        <f t="shared" si="9"/>
        <v>3692090</v>
      </c>
      <c r="Y12" s="137">
        <f>SUM(R12:X12)</f>
        <v>44186023</v>
      </c>
      <c r="AB12" s="121" t="str">
        <f>$H$49</f>
        <v>🐻생필품</v>
      </c>
      <c r="AC12" s="122">
        <f>$K$55</f>
        <v>333748</v>
      </c>
      <c r="AD12" s="123">
        <f t="shared" si="4"/>
        <v>7.0004</v>
      </c>
      <c r="AE12" s="123">
        <f t="shared" si="5"/>
        <v>4.0005</v>
      </c>
      <c r="AF12" s="123" t="str">
        <f t="shared" si="6"/>
        <v>🍪식비</v>
      </c>
      <c r="AG12" s="122">
        <f t="shared" si="7"/>
        <v>984951</v>
      </c>
    </row>
    <row r="13">
      <c r="C13" s="46"/>
      <c r="D13" s="138"/>
      <c r="E13" s="114" t="s">
        <v>58</v>
      </c>
      <c r="F13" s="115">
        <f t="shared" si="2"/>
        <v>839200</v>
      </c>
      <c r="I13" s="94"/>
      <c r="J13" s="94"/>
      <c r="R13" s="127">
        <f t="shared" ref="R13:X13" si="10">R11+7</f>
        <v>45697</v>
      </c>
      <c r="S13" s="128">
        <f t="shared" si="10"/>
        <v>45698</v>
      </c>
      <c r="T13" s="117">
        <f t="shared" si="10"/>
        <v>45699</v>
      </c>
      <c r="U13" s="117">
        <f t="shared" si="10"/>
        <v>45700</v>
      </c>
      <c r="V13" s="118">
        <f t="shared" si="10"/>
        <v>45701</v>
      </c>
      <c r="W13" s="129">
        <f t="shared" si="10"/>
        <v>45702</v>
      </c>
      <c r="X13" s="130">
        <f t="shared" si="10"/>
        <v>45703</v>
      </c>
      <c r="Y13" s="131"/>
      <c r="AB13" s="121" t="str">
        <f>$M$25</f>
        <v>🍪식비</v>
      </c>
      <c r="AC13" s="122">
        <f>$P$31</f>
        <v>984951</v>
      </c>
      <c r="AD13" s="123">
        <f t="shared" si="4"/>
        <v>4.0005</v>
      </c>
      <c r="AE13" s="123">
        <f t="shared" si="5"/>
        <v>5.0002</v>
      </c>
      <c r="AF13" s="123" t="str">
        <f t="shared" si="6"/>
        <v>🐻고정비</v>
      </c>
      <c r="AG13" s="122">
        <f t="shared" si="7"/>
        <v>694550</v>
      </c>
    </row>
    <row r="14">
      <c r="C14" s="132" t="s">
        <v>137</v>
      </c>
      <c r="D14" s="133">
        <f>SUM($K$31+$K$39+$K$47+$K$55+$P$31+$P$39+$P$47+$P$55+X31+X39+X47+X55)</f>
        <v>49045021</v>
      </c>
      <c r="E14" s="114" t="s">
        <v>59</v>
      </c>
      <c r="F14" s="115">
        <f t="shared" si="2"/>
        <v>322280</v>
      </c>
      <c r="I14" s="139"/>
      <c r="J14" s="94"/>
      <c r="R14" s="134">
        <f t="shared" ref="R14:X14" si="11">SUMIFS($K$62:$K$500,$H$62:$H$500,R13,$I$62:$I$500,"&lt;&gt;수입",$I$62:$I$500,"&lt;&gt;저축")</f>
        <v>0</v>
      </c>
      <c r="S14" s="135">
        <f t="shared" si="11"/>
        <v>244550</v>
      </c>
      <c r="T14" s="136">
        <f t="shared" si="11"/>
        <v>0</v>
      </c>
      <c r="U14" s="136">
        <f t="shared" si="11"/>
        <v>42600</v>
      </c>
      <c r="V14" s="134">
        <f t="shared" si="11"/>
        <v>305380</v>
      </c>
      <c r="W14" s="137">
        <f t="shared" si="11"/>
        <v>253200</v>
      </c>
      <c r="X14" s="137">
        <f t="shared" si="11"/>
        <v>179200</v>
      </c>
      <c r="Y14" s="137">
        <f>SUM(R14:X14)</f>
        <v>1024930</v>
      </c>
      <c r="AB14" s="121" t="str">
        <f>$M$33</f>
        <v>🐻식비</v>
      </c>
      <c r="AC14" s="122">
        <f>$P$39</f>
        <v>140200</v>
      </c>
      <c r="AD14" s="123">
        <f t="shared" si="4"/>
        <v>10.0006</v>
      </c>
      <c r="AE14" s="123">
        <f t="shared" si="5"/>
        <v>6.0012</v>
      </c>
      <c r="AF14" s="123" t="str">
        <f t="shared" si="6"/>
        <v>🐻 이벤트성</v>
      </c>
      <c r="AG14" s="122">
        <f t="shared" si="7"/>
        <v>409700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45704</v>
      </c>
      <c r="S15" s="128">
        <f t="shared" si="12"/>
        <v>45705</v>
      </c>
      <c r="T15" s="117">
        <f t="shared" si="12"/>
        <v>45706</v>
      </c>
      <c r="U15" s="117">
        <f t="shared" si="12"/>
        <v>45707</v>
      </c>
      <c r="V15" s="118">
        <f t="shared" si="12"/>
        <v>45708</v>
      </c>
      <c r="W15" s="129">
        <f t="shared" si="12"/>
        <v>45709</v>
      </c>
      <c r="X15" s="130">
        <f t="shared" si="12"/>
        <v>45710</v>
      </c>
      <c r="Y15" s="131"/>
      <c r="AB15" s="121" t="str">
        <f>$M$41</f>
        <v>🍪여가비</v>
      </c>
      <c r="AC15" s="122">
        <f>$P$47</f>
        <v>84920</v>
      </c>
      <c r="AD15" s="123">
        <f t="shared" si="4"/>
        <v>11.0007</v>
      </c>
      <c r="AE15" s="123">
        <f t="shared" si="5"/>
        <v>7.0004</v>
      </c>
      <c r="AF15" s="123" t="str">
        <f t="shared" si="6"/>
        <v>🐻생필품</v>
      </c>
      <c r="AG15" s="122">
        <f t="shared" si="7"/>
        <v>333748</v>
      </c>
    </row>
    <row r="16">
      <c r="C16" s="132" t="s">
        <v>138</v>
      </c>
      <c r="D16" s="133">
        <f>F43</f>
        <v>0</v>
      </c>
      <c r="E16" s="114" t="s">
        <v>61</v>
      </c>
      <c r="F16" s="115">
        <f t="shared" si="2"/>
        <v>1187680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3000</v>
      </c>
      <c r="S16" s="135">
        <f t="shared" si="13"/>
        <v>908050</v>
      </c>
      <c r="T16" s="136">
        <f t="shared" si="13"/>
        <v>109781</v>
      </c>
      <c r="U16" s="136">
        <f t="shared" si="13"/>
        <v>367808</v>
      </c>
      <c r="V16" s="134">
        <f t="shared" si="13"/>
        <v>93600</v>
      </c>
      <c r="W16" s="137">
        <f t="shared" si="13"/>
        <v>283760</v>
      </c>
      <c r="X16" s="137">
        <f t="shared" si="13"/>
        <v>768930</v>
      </c>
      <c r="Y16" s="137">
        <f>SUM(R16:X16)</f>
        <v>2534929</v>
      </c>
      <c r="AB16" s="121" t="str">
        <f>$M$49</f>
        <v>🐻여가비</v>
      </c>
      <c r="AC16" s="122">
        <f>$P$55</f>
        <v>1364967</v>
      </c>
      <c r="AD16" s="123">
        <f t="shared" si="4"/>
        <v>3.0008</v>
      </c>
      <c r="AE16" s="123">
        <f t="shared" si="5"/>
        <v>8.0003</v>
      </c>
      <c r="AF16" s="123" t="str">
        <f t="shared" si="6"/>
        <v>🍪생필품</v>
      </c>
      <c r="AG16" s="122">
        <f t="shared" si="7"/>
        <v>284480</v>
      </c>
    </row>
    <row r="17">
      <c r="C17" s="46"/>
      <c r="D17" s="138"/>
      <c r="E17" s="114" t="s">
        <v>62</v>
      </c>
      <c r="F17" s="115">
        <f t="shared" si="2"/>
        <v>627500</v>
      </c>
      <c r="H17" s="229" t="s">
        <v>283</v>
      </c>
      <c r="I17" s="143"/>
      <c r="J17" s="144"/>
      <c r="K17" s="145"/>
      <c r="R17" s="127">
        <f t="shared" ref="R17:X17" si="14">R15+7</f>
        <v>45711</v>
      </c>
      <c r="S17" s="128">
        <f t="shared" si="14"/>
        <v>45712</v>
      </c>
      <c r="T17" s="117">
        <f t="shared" si="14"/>
        <v>45713</v>
      </c>
      <c r="U17" s="117">
        <f t="shared" si="14"/>
        <v>45714</v>
      </c>
      <c r="V17" s="118">
        <f t="shared" si="14"/>
        <v>45715</v>
      </c>
      <c r="W17" s="129">
        <f t="shared" si="14"/>
        <v>45716</v>
      </c>
      <c r="X17" s="130">
        <f t="shared" si="14"/>
        <v>45717</v>
      </c>
      <c r="Y17" s="131"/>
      <c r="AB17" s="121" t="str">
        <f>$R$25</f>
        <v>🍪기타</v>
      </c>
      <c r="AC17" s="122">
        <f>$X$31</f>
        <v>36080</v>
      </c>
      <c r="AD17" s="123">
        <f t="shared" si="4"/>
        <v>12.0009</v>
      </c>
      <c r="AE17" s="123">
        <f t="shared" si="5"/>
        <v>9.001</v>
      </c>
      <c r="AF17" s="123" t="str">
        <f t="shared" si="6"/>
        <v>🐻기타</v>
      </c>
      <c r="AG17" s="122">
        <f t="shared" si="7"/>
        <v>169200</v>
      </c>
    </row>
    <row r="18">
      <c r="C18" s="146" t="s">
        <v>140</v>
      </c>
      <c r="D18" s="147">
        <f>D12-D14-D16</f>
        <v>-43556626</v>
      </c>
      <c r="E18" s="114" t="s">
        <v>63</v>
      </c>
      <c r="F18" s="115">
        <f t="shared" si="2"/>
        <v>342300</v>
      </c>
      <c r="H18" s="229" t="s">
        <v>284</v>
      </c>
      <c r="I18" s="143"/>
      <c r="J18" s="144"/>
      <c r="K18" s="145"/>
      <c r="R18" s="126">
        <f t="shared" ref="R18:X18" si="15">SUMIFS($K$62:$K$500,$H$62:$H$500,R17,$I$62:$I$500,"&lt;&gt;수입",$I$62:$I$500,"&lt;&gt;저축")</f>
        <v>18000</v>
      </c>
      <c r="S18" s="148">
        <f t="shared" si="15"/>
        <v>183312</v>
      </c>
      <c r="T18" s="149">
        <f t="shared" si="15"/>
        <v>268480</v>
      </c>
      <c r="U18" s="149">
        <f t="shared" si="15"/>
        <v>297880</v>
      </c>
      <c r="V18" s="126">
        <f t="shared" si="15"/>
        <v>124287</v>
      </c>
      <c r="W18" s="150">
        <f t="shared" si="15"/>
        <v>194890</v>
      </c>
      <c r="X18" s="150">
        <f t="shared" si="15"/>
        <v>0</v>
      </c>
      <c r="Y18" s="150">
        <f>SUM(R18:X18)</f>
        <v>1086849</v>
      </c>
      <c r="AB18" s="121" t="str">
        <f>$R$33</f>
        <v>🐻기타</v>
      </c>
      <c r="AC18" s="122">
        <f>$X$39</f>
        <v>169200</v>
      </c>
      <c r="AD18" s="123">
        <f t="shared" si="4"/>
        <v>9.001</v>
      </c>
      <c r="AE18" s="123">
        <f t="shared" si="5"/>
        <v>10.0006</v>
      </c>
      <c r="AF18" s="123" t="str">
        <f t="shared" si="6"/>
        <v>🐻식비</v>
      </c>
      <c r="AG18" s="122">
        <f t="shared" si="7"/>
        <v>140200</v>
      </c>
    </row>
    <row r="19">
      <c r="C19" s="151" t="s">
        <v>141</v>
      </c>
      <c r="D19" s="152">
        <f>(D16+D18)/D12</f>
        <v>-7.936131784</v>
      </c>
      <c r="E19" s="114" t="s">
        <v>64</v>
      </c>
      <c r="F19" s="115">
        <f t="shared" si="2"/>
        <v>956085</v>
      </c>
      <c r="H19" s="142"/>
      <c r="I19" s="143"/>
      <c r="J19" s="144"/>
      <c r="K19" s="145"/>
      <c r="R19" s="153">
        <f t="shared" ref="R19:X19" si="16">R17+7</f>
        <v>45718</v>
      </c>
      <c r="S19" s="154">
        <f t="shared" si="16"/>
        <v>45719</v>
      </c>
      <c r="T19" s="155">
        <f t="shared" si="16"/>
        <v>45720</v>
      </c>
      <c r="U19" s="155">
        <f t="shared" si="16"/>
        <v>45721</v>
      </c>
      <c r="V19" s="156">
        <f t="shared" si="16"/>
        <v>45722</v>
      </c>
      <c r="W19" s="157">
        <f t="shared" si="16"/>
        <v>45723</v>
      </c>
      <c r="X19" s="158">
        <f t="shared" si="16"/>
        <v>45724</v>
      </c>
      <c r="Y19" s="159"/>
      <c r="AB19" s="121" t="str">
        <f>$R$41</f>
        <v>🍪이벤트성</v>
      </c>
      <c r="AC19" s="122">
        <f>$X$47</f>
        <v>42387013</v>
      </c>
      <c r="AD19" s="123">
        <f t="shared" si="4"/>
        <v>1.0011</v>
      </c>
      <c r="AE19" s="123">
        <f t="shared" si="5"/>
        <v>11.0007</v>
      </c>
      <c r="AF19" s="123" t="str">
        <f t="shared" si="6"/>
        <v>🍪여가비</v>
      </c>
      <c r="AG19" s="122">
        <f t="shared" si="7"/>
        <v>84920</v>
      </c>
    </row>
    <row r="20">
      <c r="C20" s="160" t="s">
        <v>142</v>
      </c>
      <c r="D20" s="161">
        <f>D18/D12</f>
        <v>-7.936131784</v>
      </c>
      <c r="E20" s="162" t="s">
        <v>65</v>
      </c>
      <c r="F20" s="163">
        <f>SUM($F$14:$F$19)</f>
        <v>3435845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409700</v>
      </c>
      <c r="AD20" s="123">
        <f t="shared" si="4"/>
        <v>6.0012</v>
      </c>
      <c r="AE20" s="123">
        <f t="shared" si="5"/>
        <v>12.0009</v>
      </c>
      <c r="AF20" s="123" t="str">
        <f t="shared" si="6"/>
        <v>🍪기타</v>
      </c>
      <c r="AG20" s="122">
        <f t="shared" si="7"/>
        <v>36080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3257030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279251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3500</v>
      </c>
      <c r="Y25" s="145"/>
    </row>
    <row r="26">
      <c r="C26" s="45"/>
      <c r="D26" s="41" t="s">
        <v>5</v>
      </c>
      <c r="E26" s="179"/>
      <c r="F26" s="115">
        <f t="shared" si="18"/>
        <v>872670</v>
      </c>
      <c r="H26" s="45"/>
      <c r="I26" s="41" t="s">
        <v>16</v>
      </c>
      <c r="J26" s="179"/>
      <c r="K26" s="115">
        <f t="shared" si="19"/>
        <v>800000</v>
      </c>
      <c r="M26" s="45"/>
      <c r="N26" s="41" t="s">
        <v>28</v>
      </c>
      <c r="O26" s="179"/>
      <c r="P26" s="115">
        <f t="shared" si="20"/>
        <v>248000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9300</v>
      </c>
      <c r="Y26" s="145"/>
    </row>
    <row r="27">
      <c r="C27" s="45"/>
      <c r="D27" s="41" t="s">
        <v>6</v>
      </c>
      <c r="E27" s="179"/>
      <c r="F27" s="115">
        <f t="shared" si="18"/>
        <v>0</v>
      </c>
      <c r="H27" s="45"/>
      <c r="I27" s="41" t="s">
        <v>17</v>
      </c>
      <c r="J27" s="179"/>
      <c r="K27" s="115">
        <f t="shared" si="19"/>
        <v>192822</v>
      </c>
      <c r="M27" s="45"/>
      <c r="N27" s="41" t="s">
        <v>29</v>
      </c>
      <c r="O27" s="179"/>
      <c r="P27" s="115">
        <f t="shared" si="20"/>
        <v>46000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15780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111600</v>
      </c>
      <c r="M28" s="45"/>
      <c r="N28" s="41" t="s">
        <v>30</v>
      </c>
      <c r="O28" s="179"/>
      <c r="P28" s="115">
        <f t="shared" si="20"/>
        <v>411700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7500</v>
      </c>
      <c r="Y28" s="145"/>
    </row>
    <row r="29">
      <c r="C29" s="45"/>
      <c r="D29" s="41" t="s">
        <v>8</v>
      </c>
      <c r="E29" s="179"/>
      <c r="F29" s="115">
        <f t="shared" si="18"/>
        <v>1358695</v>
      </c>
      <c r="H29" s="45"/>
      <c r="I29" s="41" t="s">
        <v>19</v>
      </c>
      <c r="J29" s="179"/>
      <c r="K29" s="115">
        <f t="shared" si="19"/>
        <v>1050790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2155212</v>
      </c>
      <c r="M31" s="187" t="str">
        <f>IF(M25=0,"","총"&amp;M25)</f>
        <v>총🍪식비</v>
      </c>
      <c r="N31" s="188"/>
      <c r="O31" s="175"/>
      <c r="P31" s="189">
        <f>SUM(P25:P30)</f>
        <v>984951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36080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2155212</v>
      </c>
      <c r="M32" s="184"/>
      <c r="N32" s="191"/>
      <c r="O32" s="185"/>
      <c r="P32" s="193">
        <f>P31-O25</f>
        <v>984951</v>
      </c>
      <c r="R32" s="184"/>
      <c r="S32" s="191"/>
      <c r="T32" s="191"/>
      <c r="U32" s="191"/>
      <c r="V32" s="191"/>
      <c r="W32" s="185"/>
      <c r="X32" s="194">
        <f>X31-V25</f>
        <v>36080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5488395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457490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36500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2700</v>
      </c>
      <c r="Y33" s="145"/>
    </row>
    <row r="34">
      <c r="C34" s="184"/>
      <c r="D34" s="191"/>
      <c r="E34" s="185"/>
      <c r="F34" s="195">
        <f>F33-E25</f>
        <v>5488395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33500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5500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69050</v>
      </c>
      <c r="M35" s="45"/>
      <c r="N35" s="41" t="s">
        <v>29</v>
      </c>
      <c r="O35" s="179"/>
      <c r="P35" s="115">
        <f t="shared" si="23"/>
        <v>37400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88010</v>
      </c>
      <c r="M36" s="45"/>
      <c r="N36" s="41" t="s">
        <v>30</v>
      </c>
      <c r="O36" s="179"/>
      <c r="P36" s="115">
        <f t="shared" si="23"/>
        <v>28900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3000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80000</v>
      </c>
      <c r="M37" s="45"/>
      <c r="N37" s="41" t="s">
        <v>8</v>
      </c>
      <c r="O37" s="179"/>
      <c r="P37" s="115">
        <f t="shared" si="23"/>
        <v>3900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158000</v>
      </c>
      <c r="Y37" s="145"/>
    </row>
    <row r="38">
      <c r="C38" s="45"/>
      <c r="D38" s="41" t="s">
        <v>13</v>
      </c>
      <c r="E38" s="179"/>
      <c r="F38" s="115">
        <f t="shared" si="25"/>
        <v>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694550</v>
      </c>
      <c r="M39" s="187" t="str">
        <f>IF(M33=0,"","총"&amp;M33)</f>
        <v>총🐻식비</v>
      </c>
      <c r="N39" s="188"/>
      <c r="O39" s="175"/>
      <c r="P39" s="189">
        <f>SUM(P33:P38)</f>
        <v>140200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169200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694550</v>
      </c>
      <c r="M40" s="184"/>
      <c r="N40" s="191"/>
      <c r="O40" s="185"/>
      <c r="P40" s="193">
        <f>P39-O33</f>
        <v>140200</v>
      </c>
      <c r="R40" s="184"/>
      <c r="S40" s="191"/>
      <c r="T40" s="191"/>
      <c r="U40" s="191"/>
      <c r="V40" s="191"/>
      <c r="W40" s="185"/>
      <c r="X40" s="194">
        <f>X39-V33</f>
        <v>169200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251480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44030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0</v>
      </c>
      <c r="M42" s="45"/>
      <c r="N42" s="41" t="s">
        <v>34</v>
      </c>
      <c r="O42" s="179"/>
      <c r="P42" s="115">
        <f t="shared" si="27"/>
        <v>7890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IF(C35=0,"","총"&amp;C25)</f>
        <v>총수입</v>
      </c>
      <c r="D43" s="188"/>
      <c r="E43" s="175"/>
      <c r="F43" s="189">
        <f>SUM(F35:F42)</f>
        <v>0</v>
      </c>
      <c r="H43" s="45"/>
      <c r="I43" s="41" t="s">
        <v>8</v>
      </c>
      <c r="J43" s="179"/>
      <c r="K43" s="115">
        <f t="shared" si="26"/>
        <v>33000</v>
      </c>
      <c r="M43" s="45"/>
      <c r="N43" s="41" t="s">
        <v>35</v>
      </c>
      <c r="O43" s="179"/>
      <c r="P43" s="115">
        <f t="shared" si="27"/>
        <v>23000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213480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10000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42173533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284480</v>
      </c>
      <c r="M47" s="187" t="str">
        <f>IF(M41=0,"","총"&amp;M41)</f>
        <v>총🍪여가비</v>
      </c>
      <c r="N47" s="188"/>
      <c r="O47" s="175"/>
      <c r="P47" s="189">
        <f>SUM(P41:P46)</f>
        <v>84920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42387013</v>
      </c>
      <c r="Y47" s="145"/>
    </row>
    <row r="48">
      <c r="H48" s="184"/>
      <c r="I48" s="191"/>
      <c r="J48" s="185"/>
      <c r="K48" s="193">
        <f>K47-J41</f>
        <v>284480</v>
      </c>
      <c r="M48" s="184"/>
      <c r="N48" s="191"/>
      <c r="O48" s="185"/>
      <c r="P48" s="193">
        <f>P47-O41</f>
        <v>84920</v>
      </c>
      <c r="R48" s="184"/>
      <c r="S48" s="191"/>
      <c r="T48" s="191"/>
      <c r="U48" s="191"/>
      <c r="V48" s="191"/>
      <c r="W48" s="185"/>
      <c r="X48" s="194">
        <f>X47-V41</f>
        <v>42387013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74178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1159780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0</v>
      </c>
      <c r="Y49" s="145"/>
    </row>
    <row r="50">
      <c r="H50" s="45"/>
      <c r="I50" s="41" t="s">
        <v>24</v>
      </c>
      <c r="J50" s="179"/>
      <c r="K50" s="115">
        <f t="shared" si="29"/>
        <v>247570</v>
      </c>
      <c r="M50" s="45"/>
      <c r="N50" s="41" t="s">
        <v>34</v>
      </c>
      <c r="O50" s="179"/>
      <c r="P50" s="115">
        <f t="shared" si="30"/>
        <v>5187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188800</v>
      </c>
      <c r="Y50" s="145"/>
    </row>
    <row r="51">
      <c r="H51" s="45"/>
      <c r="I51" s="41" t="s">
        <v>8</v>
      </c>
      <c r="J51" s="179"/>
      <c r="K51" s="115">
        <f t="shared" si="29"/>
        <v>12000</v>
      </c>
      <c r="M51" s="45"/>
      <c r="N51" s="41" t="s">
        <v>35</v>
      </c>
      <c r="O51" s="179"/>
      <c r="P51" s="115">
        <f t="shared" si="30"/>
        <v>200000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220900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333748</v>
      </c>
      <c r="M55" s="187" t="str">
        <f>IF(M49=0,"","총"&amp;M49)</f>
        <v>총🐻여가비</v>
      </c>
      <c r="N55" s="188"/>
      <c r="O55" s="175"/>
      <c r="P55" s="189">
        <f>SUM(P49:P54)</f>
        <v>1364967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409700</v>
      </c>
      <c r="Y55" s="145"/>
    </row>
    <row r="56">
      <c r="H56" s="196"/>
      <c r="I56" s="197"/>
      <c r="J56" s="198"/>
      <c r="K56" s="200">
        <f>K55-J49</f>
        <v>333748</v>
      </c>
      <c r="M56" s="196"/>
      <c r="N56" s="197"/>
      <c r="O56" s="198"/>
      <c r="P56" s="200">
        <f>P55-O49</f>
        <v>1364967</v>
      </c>
      <c r="R56" s="196"/>
      <c r="S56" s="197"/>
      <c r="T56" s="197"/>
      <c r="U56" s="197"/>
      <c r="V56" s="197"/>
      <c r="W56" s="198"/>
      <c r="X56" s="201">
        <f>X55-V49</f>
        <v>409700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-49045021</v>
      </c>
      <c r="Y61" s="8"/>
    </row>
    <row r="62">
      <c r="H62" s="208">
        <v>45689.0</v>
      </c>
      <c r="I62" s="209" t="s">
        <v>22</v>
      </c>
      <c r="J62" s="209" t="s">
        <v>23</v>
      </c>
      <c r="K62" s="210">
        <v>86360.0</v>
      </c>
      <c r="L62" s="211" t="s">
        <v>57</v>
      </c>
      <c r="M62" s="143"/>
      <c r="N62" s="211" t="s">
        <v>285</v>
      </c>
      <c r="O62" s="212"/>
      <c r="P62" s="212"/>
      <c r="Q62" s="143"/>
      <c r="R62" s="211" t="s">
        <v>286</v>
      </c>
      <c r="S62" s="212"/>
      <c r="T62" s="145"/>
      <c r="AB62" s="214" t="str">
        <f>IFERROR(__xludf.DUMMYFUNCTION("FILTER('설정시트'!$D$7:$K$20,'설정시트'!$C$7:$C$20=I62)"),"주방/욕실")</f>
        <v>주방/욕실</v>
      </c>
      <c r="AC62" s="214" t="str">
        <f>IFERROR(__xludf.DUMMYFUNCTION("""COMPUTED_VALUE"""),"소모품")</f>
        <v>소모품</v>
      </c>
      <c r="AD62" s="214" t="str">
        <f>IFERROR(__xludf.DUMMYFUNCTION("""COMPUTED_VALUE"""),"기타")</f>
        <v>기타</v>
      </c>
      <c r="AE62" s="214"/>
      <c r="AF62" s="214"/>
      <c r="AG62" s="214"/>
      <c r="AH62" s="214"/>
      <c r="AI62" s="214"/>
    </row>
    <row r="63">
      <c r="H63" s="208">
        <v>45689.0</v>
      </c>
      <c r="I63" s="209" t="s">
        <v>32</v>
      </c>
      <c r="J63" s="209" t="s">
        <v>33</v>
      </c>
      <c r="K63" s="210">
        <v>44030.0</v>
      </c>
      <c r="L63" s="211" t="s">
        <v>57</v>
      </c>
      <c r="M63" s="143"/>
      <c r="N63" s="211" t="s">
        <v>287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IFERROR(__xludf.DUMMYFUNCTION("FILTER('설정시트'!$D$7:$K$20,'설정시트'!$C$7:$C$20=I63)"),"의류/잡화")</f>
        <v>의류/잡화</v>
      </c>
      <c r="AC63" s="214" t="str">
        <f>IFERROR(__xludf.DUMMYFUNCTION("""COMPUTED_VALUE"""),"OTT")</f>
        <v>OTT</v>
      </c>
      <c r="AD63" s="214" t="str">
        <f>IFERROR(__xludf.DUMMYFUNCTION("""COMPUTED_VALUE"""),"문화생활")</f>
        <v>문화생활</v>
      </c>
      <c r="AE63" s="214" t="str">
        <f>IFERROR(__xludf.DUMMYFUNCTION("""COMPUTED_VALUE"""),"자기계발")</f>
        <v>자기계발</v>
      </c>
      <c r="AF63" s="214" t="str">
        <f>IFERROR(__xludf.DUMMYFUNCTION("""COMPUTED_VALUE"""),"미용")</f>
        <v>미용</v>
      </c>
      <c r="AG63" s="214"/>
      <c r="AH63" s="214" t="str">
        <f>IFERROR(__xludf.DUMMYFUNCTION("""COMPUTED_VALUE"""),"기타")</f>
        <v>기타</v>
      </c>
      <c r="AI63" s="214"/>
    </row>
    <row r="64">
      <c r="H64" s="208">
        <v>45689.0</v>
      </c>
      <c r="I64" s="209" t="s">
        <v>39</v>
      </c>
      <c r="J64" s="209" t="s">
        <v>41</v>
      </c>
      <c r="K64" s="210">
        <v>9300.0</v>
      </c>
      <c r="L64" s="211" t="s">
        <v>57</v>
      </c>
      <c r="M64" s="143"/>
      <c r="N64" s="211" t="s">
        <v>288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IFERROR(__xludf.DUMMYFUNCTION("FILTER('설정시트'!$D$7:$K$20,'설정시트'!$C$7:$C$20=I64)"),"약국")</f>
        <v>약국</v>
      </c>
      <c r="AC64" s="214" t="str">
        <f>IFERROR(__xludf.DUMMYFUNCTION("""COMPUTED_VALUE"""),"병원비")</f>
        <v>병원비</v>
      </c>
      <c r="AD64" s="214" t="str">
        <f>IFERROR(__xludf.DUMMYFUNCTION("""COMPUTED_VALUE"""),"영양제")</f>
        <v>영양제</v>
      </c>
      <c r="AE64" s="214" t="str">
        <f>IFERROR(__xludf.DUMMYFUNCTION("""COMPUTED_VALUE"""),"교통비")</f>
        <v>교통비</v>
      </c>
      <c r="AF64" s="214" t="str">
        <f>IFERROR(__xludf.DUMMYFUNCTION("""COMPUTED_VALUE"""),"주유비")</f>
        <v>주유비</v>
      </c>
      <c r="AG64" s="214"/>
      <c r="AH64" s="214" t="str">
        <f>IFERROR(__xludf.DUMMYFUNCTION("""COMPUTED_VALUE"""),"기타")</f>
        <v>기타</v>
      </c>
      <c r="AI64" s="214"/>
    </row>
    <row r="65">
      <c r="H65" s="208">
        <v>45689.0</v>
      </c>
      <c r="I65" s="209" t="s">
        <v>39</v>
      </c>
      <c r="J65" s="209" t="s">
        <v>40</v>
      </c>
      <c r="K65" s="210">
        <v>3500.0</v>
      </c>
      <c r="L65" s="211" t="s">
        <v>57</v>
      </c>
      <c r="M65" s="143"/>
      <c r="N65" s="211" t="s">
        <v>40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IFERROR(__xludf.DUMMYFUNCTION("FILTER('설정시트'!$D$7:$K$20,'설정시트'!$C$7:$C$20=I65)"),"약국")</f>
        <v>약국</v>
      </c>
      <c r="AC65" s="214" t="str">
        <f>IFERROR(__xludf.DUMMYFUNCTION("""COMPUTED_VALUE"""),"병원비")</f>
        <v>병원비</v>
      </c>
      <c r="AD65" s="214" t="str">
        <f>IFERROR(__xludf.DUMMYFUNCTION("""COMPUTED_VALUE"""),"영양제")</f>
        <v>영양제</v>
      </c>
      <c r="AE65" s="214" t="str">
        <f>IFERROR(__xludf.DUMMYFUNCTION("""COMPUTED_VALUE"""),"교통비")</f>
        <v>교통비</v>
      </c>
      <c r="AF65" s="214" t="str">
        <f>IFERROR(__xludf.DUMMYFUNCTION("""COMPUTED_VALUE"""),"주유비")</f>
        <v>주유비</v>
      </c>
      <c r="AG65" s="214"/>
      <c r="AH65" s="214" t="str">
        <f>IFERROR(__xludf.DUMMYFUNCTION("""COMPUTED_VALUE"""),"기타")</f>
        <v>기타</v>
      </c>
      <c r="AI65" s="214"/>
    </row>
    <row r="66">
      <c r="H66" s="208">
        <v>45689.0</v>
      </c>
      <c r="I66" s="209" t="s">
        <v>22</v>
      </c>
      <c r="J66" s="209" t="s">
        <v>23</v>
      </c>
      <c r="K66" s="210">
        <v>57300.0</v>
      </c>
      <c r="L66" s="211" t="s">
        <v>57</v>
      </c>
      <c r="M66" s="143"/>
      <c r="N66" s="211" t="s">
        <v>289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IFERROR(__xludf.DUMMYFUNCTION("FILTER('설정시트'!$D$7:$K$20,'설정시트'!$C$7:$C$20=I66)"),"주방/욕실")</f>
        <v>주방/욕실</v>
      </c>
      <c r="AC66" s="214" t="str">
        <f>IFERROR(__xludf.DUMMYFUNCTION("""COMPUTED_VALUE"""),"소모품")</f>
        <v>소모품</v>
      </c>
      <c r="AD66" s="214" t="str">
        <f>IFERROR(__xludf.DUMMYFUNCTION("""COMPUTED_VALUE"""),"기타")</f>
        <v>기타</v>
      </c>
      <c r="AE66" s="214"/>
      <c r="AF66" s="214"/>
      <c r="AG66" s="214"/>
      <c r="AH66" s="214"/>
      <c r="AI66" s="214"/>
    </row>
    <row r="67">
      <c r="H67" s="208">
        <v>45689.0</v>
      </c>
      <c r="I67" s="209" t="s">
        <v>32</v>
      </c>
      <c r="J67" s="209" t="s">
        <v>37</v>
      </c>
      <c r="K67" s="210">
        <v>10000.0</v>
      </c>
      <c r="L67" s="211" t="s">
        <v>57</v>
      </c>
      <c r="M67" s="143"/>
      <c r="N67" s="211" t="s">
        <v>231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IFERROR(__xludf.DUMMYFUNCTION("FILTER('설정시트'!$D$7:$K$20,'설정시트'!$C$7:$C$20=I67)"),"의류/잡화")</f>
        <v>의류/잡화</v>
      </c>
      <c r="AC67" s="214" t="str">
        <f>IFERROR(__xludf.DUMMYFUNCTION("""COMPUTED_VALUE"""),"OTT")</f>
        <v>OTT</v>
      </c>
      <c r="AD67" s="214" t="str">
        <f>IFERROR(__xludf.DUMMYFUNCTION("""COMPUTED_VALUE"""),"문화생활")</f>
        <v>문화생활</v>
      </c>
      <c r="AE67" s="214" t="str">
        <f>IFERROR(__xludf.DUMMYFUNCTION("""COMPUTED_VALUE"""),"자기계발")</f>
        <v>자기계발</v>
      </c>
      <c r="AF67" s="214" t="str">
        <f>IFERROR(__xludf.DUMMYFUNCTION("""COMPUTED_VALUE"""),"미용")</f>
        <v>미용</v>
      </c>
      <c r="AG67" s="214"/>
      <c r="AH67" s="214" t="str">
        <f>IFERROR(__xludf.DUMMYFUNCTION("""COMPUTED_VALUE"""),"기타")</f>
        <v>기타</v>
      </c>
      <c r="AI67" s="214"/>
    </row>
    <row r="68">
      <c r="H68" s="208">
        <v>45689.0</v>
      </c>
      <c r="I68" s="209" t="s">
        <v>22</v>
      </c>
      <c r="J68" s="209" t="s">
        <v>8</v>
      </c>
      <c r="K68" s="210">
        <v>3000.0</v>
      </c>
      <c r="L68" s="211" t="s">
        <v>57</v>
      </c>
      <c r="M68" s="143"/>
      <c r="N68" s="211" t="s">
        <v>290</v>
      </c>
      <c r="O68" s="212"/>
      <c r="P68" s="212"/>
      <c r="Q68" s="143"/>
      <c r="R68" s="211" t="s">
        <v>291</v>
      </c>
      <c r="S68" s="212"/>
      <c r="T68" s="145"/>
      <c r="AB68" s="214" t="str">
        <f>IFERROR(__xludf.DUMMYFUNCTION("FILTER('설정시트'!$D$7:$K$20,'설정시트'!$C$7:$C$20=I68)"),"주방/욕실")</f>
        <v>주방/욕실</v>
      </c>
      <c r="AC68" s="214" t="str">
        <f>IFERROR(__xludf.DUMMYFUNCTION("""COMPUTED_VALUE"""),"소모품")</f>
        <v>소모품</v>
      </c>
      <c r="AD68" s="214" t="str">
        <f>IFERROR(__xludf.DUMMYFUNCTION("""COMPUTED_VALUE"""),"기타")</f>
        <v>기타</v>
      </c>
      <c r="AE68" s="214"/>
      <c r="AF68" s="214"/>
      <c r="AG68" s="214"/>
      <c r="AH68" s="214"/>
      <c r="AI68" s="214"/>
    </row>
    <row r="69">
      <c r="H69" s="208">
        <v>45690.0</v>
      </c>
      <c r="I69" s="209" t="s">
        <v>26</v>
      </c>
      <c r="J69" s="209" t="s">
        <v>30</v>
      </c>
      <c r="K69" s="210">
        <v>24000.0</v>
      </c>
      <c r="L69" s="211" t="s">
        <v>58</v>
      </c>
      <c r="M69" s="143"/>
      <c r="N69" s="211" t="s">
        <v>292</v>
      </c>
      <c r="O69" s="212"/>
      <c r="P69" s="212"/>
      <c r="Q69" s="143"/>
      <c r="R69" s="211"/>
      <c r="S69" s="212"/>
      <c r="T69" s="145"/>
      <c r="AB69" s="214" t="str">
        <f>IFERROR(__xludf.DUMMYFUNCTION("FILTER('설정시트'!$D$7:$K$20,'설정시트'!$C$7:$C$20=I69)"),"식재료비")</f>
        <v>식재료비</v>
      </c>
      <c r="AC69" s="214" t="str">
        <f>IFERROR(__xludf.DUMMYFUNCTION("""COMPUTED_VALUE"""),"회사점심")</f>
        <v>회사점심</v>
      </c>
      <c r="AD69" s="214" t="str">
        <f>IFERROR(__xludf.DUMMYFUNCTION("""COMPUTED_VALUE"""),"간식/카페")</f>
        <v>간식/카페</v>
      </c>
      <c r="AE69" s="214" t="str">
        <f>IFERROR(__xludf.DUMMYFUNCTION("""COMPUTED_VALUE"""),"외식/배달")</f>
        <v>외식/배달</v>
      </c>
      <c r="AF69" s="214" t="str">
        <f>IFERROR(__xludf.DUMMYFUNCTION("""COMPUTED_VALUE"""),"기타")</f>
        <v>기타</v>
      </c>
      <c r="AG69" s="214"/>
      <c r="AH69" s="214"/>
      <c r="AI69" s="214"/>
    </row>
    <row r="70">
      <c r="H70" s="208">
        <v>45690.0</v>
      </c>
      <c r="I70" s="209" t="s">
        <v>22</v>
      </c>
      <c r="J70" s="209" t="s">
        <v>23</v>
      </c>
      <c r="K70" s="210">
        <v>22040.0</v>
      </c>
      <c r="L70" s="211" t="s">
        <v>57</v>
      </c>
      <c r="M70" s="143"/>
      <c r="N70" s="211" t="s">
        <v>293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IFERROR(__xludf.DUMMYFUNCTION("FILTER('설정시트'!$D$7:$K$20,'설정시트'!$C$7:$C$20=I70)"),"주방/욕실")</f>
        <v>주방/욕실</v>
      </c>
      <c r="AC70" s="214" t="str">
        <f>IFERROR(__xludf.DUMMYFUNCTION("""COMPUTED_VALUE"""),"소모품")</f>
        <v>소모품</v>
      </c>
      <c r="AD70" s="214" t="str">
        <f>IFERROR(__xludf.DUMMYFUNCTION("""COMPUTED_VALUE"""),"기타")</f>
        <v>기타</v>
      </c>
      <c r="AE70" s="214"/>
      <c r="AF70" s="214"/>
      <c r="AG70" s="214"/>
      <c r="AH70" s="214"/>
      <c r="AI70" s="214"/>
    </row>
    <row r="71">
      <c r="H71" s="208">
        <v>45690.0</v>
      </c>
      <c r="I71" s="209" t="s">
        <v>22</v>
      </c>
      <c r="J71" s="209" t="s">
        <v>23</v>
      </c>
      <c r="K71" s="210">
        <v>22880.0</v>
      </c>
      <c r="L71" s="211" t="s">
        <v>57</v>
      </c>
      <c r="M71" s="143"/>
      <c r="N71" s="211" t="s">
        <v>293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IFERROR(__xludf.DUMMYFUNCTION("FILTER('설정시트'!$D$7:$K$20,'설정시트'!$C$7:$C$20=I71)"),"주방/욕실")</f>
        <v>주방/욕실</v>
      </c>
      <c r="AC71" s="214" t="str">
        <f>IFERROR(__xludf.DUMMYFUNCTION("""COMPUTED_VALUE"""),"소모품")</f>
        <v>소모품</v>
      </c>
      <c r="AD71" s="214" t="str">
        <f>IFERROR(__xludf.DUMMYFUNCTION("""COMPUTED_VALUE"""),"기타")</f>
        <v>기타</v>
      </c>
      <c r="AE71" s="214"/>
      <c r="AF71" s="214"/>
      <c r="AG71" s="214"/>
      <c r="AH71" s="214"/>
      <c r="AI71" s="214"/>
    </row>
    <row r="72">
      <c r="H72" s="208">
        <v>45691.0</v>
      </c>
      <c r="I72" s="209" t="s">
        <v>3</v>
      </c>
      <c r="J72" s="209" t="s">
        <v>8</v>
      </c>
      <c r="K72" s="210">
        <v>84520.0</v>
      </c>
      <c r="L72" s="211"/>
      <c r="M72" s="143"/>
      <c r="N72" s="211" t="s">
        <v>294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IFERROR(__xludf.DUMMYFUNCTION("FILTER('설정시트'!$D$7:$K$20,'설정시트'!$C$7:$C$20=I72)"),"🍪 월급")</f>
        <v>🍪 월급</v>
      </c>
      <c r="AC72" s="214" t="str">
        <f>IFERROR(__xludf.DUMMYFUNCTION("""COMPUTED_VALUE"""),"🍪 부수입")</f>
        <v>🍪 부수입</v>
      </c>
      <c r="AD72" s="214" t="str">
        <f>IFERROR(__xludf.DUMMYFUNCTION("""COMPUTED_VALUE"""),"🐻 월급")</f>
        <v>🐻 월급</v>
      </c>
      <c r="AE72" s="214" t="str">
        <f>IFERROR(__xludf.DUMMYFUNCTION("""COMPUTED_VALUE"""),"🐻 부수입")</f>
        <v>🐻 부수입</v>
      </c>
      <c r="AF72" s="214" t="str">
        <f>IFERROR(__xludf.DUMMYFUNCTION("""COMPUTED_VALUE"""),"기타")</f>
        <v>기타</v>
      </c>
      <c r="AG72" s="214"/>
      <c r="AH72" s="214"/>
      <c r="AI72" s="214"/>
    </row>
    <row r="73">
      <c r="H73" s="208">
        <v>45691.0</v>
      </c>
      <c r="I73" s="209" t="s">
        <v>31</v>
      </c>
      <c r="J73" s="209" t="s">
        <v>29</v>
      </c>
      <c r="K73" s="210">
        <v>9200.0</v>
      </c>
      <c r="L73" s="211" t="s">
        <v>64</v>
      </c>
      <c r="M73" s="143"/>
      <c r="N73" s="211" t="s">
        <v>295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IFERROR(__xludf.DUMMYFUNCTION("FILTER('설정시트'!$D$7:$K$20,'설정시트'!$C$7:$C$20=I73)"),"식재료비")</f>
        <v>식재료비</v>
      </c>
      <c r="AC73" s="214" t="str">
        <f>IFERROR(__xludf.DUMMYFUNCTION("""COMPUTED_VALUE"""),"회사점심")</f>
        <v>회사점심</v>
      </c>
      <c r="AD73" s="214" t="str">
        <f>IFERROR(__xludf.DUMMYFUNCTION("""COMPUTED_VALUE"""),"간식/카페")</f>
        <v>간식/카페</v>
      </c>
      <c r="AE73" s="214" t="str">
        <f>IFERROR(__xludf.DUMMYFUNCTION("""COMPUTED_VALUE"""),"외식/배달")</f>
        <v>외식/배달</v>
      </c>
      <c r="AF73" s="214" t="str">
        <f>IFERROR(__xludf.DUMMYFUNCTION("""COMPUTED_VALUE"""),"기타")</f>
        <v>기타</v>
      </c>
      <c r="AG73" s="214"/>
      <c r="AH73" s="214"/>
      <c r="AI73" s="214"/>
    </row>
    <row r="74">
      <c r="H74" s="208">
        <v>45691.0</v>
      </c>
      <c r="I74" s="209" t="s">
        <v>21</v>
      </c>
      <c r="J74" s="209" t="s">
        <v>20</v>
      </c>
      <c r="K74" s="210">
        <v>10000.0</v>
      </c>
      <c r="L74" s="211" t="s">
        <v>62</v>
      </c>
      <c r="M74" s="143"/>
      <c r="N74" s="211" t="s">
        <v>153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IFERROR(__xludf.DUMMYFUNCTION("FILTER('설정시트'!$D$7:$K$20,'설정시트'!$C$7:$C$20=I74)"),"관리비")</f>
        <v>관리비</v>
      </c>
      <c r="AC74" s="214" t="str">
        <f>IFERROR(__xludf.DUMMYFUNCTION("""COMPUTED_VALUE"""),"대출이자")</f>
        <v>대출이자</v>
      </c>
      <c r="AD74" s="214" t="str">
        <f>IFERROR(__xludf.DUMMYFUNCTION("""COMPUTED_VALUE"""),"통신비")</f>
        <v>통신비</v>
      </c>
      <c r="AE74" s="214" t="str">
        <f>IFERROR(__xludf.DUMMYFUNCTION("""COMPUTED_VALUE"""),"보험료")</f>
        <v>보험료</v>
      </c>
      <c r="AF74" s="214" t="str">
        <f>IFERROR(__xludf.DUMMYFUNCTION("""COMPUTED_VALUE"""),"곗돈")</f>
        <v>곗돈</v>
      </c>
      <c r="AG74" s="214"/>
      <c r="AH74" s="214"/>
      <c r="AI74" s="214"/>
    </row>
    <row r="75">
      <c r="H75" s="208">
        <v>45692.0</v>
      </c>
      <c r="I75" s="209" t="s">
        <v>46</v>
      </c>
      <c r="J75" s="209" t="s">
        <v>8</v>
      </c>
      <c r="K75" s="210">
        <f>38557285+18558</f>
        <v>38575843</v>
      </c>
      <c r="L75" s="211"/>
      <c r="M75" s="143"/>
      <c r="N75" s="211" t="s">
        <v>296</v>
      </c>
      <c r="O75" s="212"/>
      <c r="P75" s="212"/>
      <c r="Q75" s="143"/>
      <c r="R75" s="211" t="s">
        <v>297</v>
      </c>
      <c r="S75" s="212"/>
      <c r="T75" s="145"/>
      <c r="AB75" s="214" t="str">
        <f>IFERROR(__xludf.DUMMYFUNCTION("FILTER('설정시트'!$D$7:$K$20,'설정시트'!$C$7:$C$20=I75)"),"축의/부의금")</f>
        <v>축의/부의금</v>
      </c>
      <c r="AC75" s="214" t="str">
        <f>IFERROR(__xludf.DUMMYFUNCTION("""COMPUTED_VALUE"""),"생신/생일선물")</f>
        <v>생신/생일선물</v>
      </c>
      <c r="AD75" s="214" t="str">
        <f>IFERROR(__xludf.DUMMYFUNCTION("""COMPUTED_VALUE"""),"명절/어버이날")</f>
        <v>명절/어버이날</v>
      </c>
      <c r="AE75" s="214" t="str">
        <f>IFERROR(__xludf.DUMMYFUNCTION("""COMPUTED_VALUE"""),"여행")</f>
        <v>여행</v>
      </c>
      <c r="AF75" s="214" t="str">
        <f>IFERROR(__xludf.DUMMYFUNCTION("""COMPUTED_VALUE"""),"기타")</f>
        <v>기타</v>
      </c>
      <c r="AG75" s="214" t="str">
        <f>IFERROR(__xludf.DUMMYFUNCTION("""COMPUTED_VALUE"""),"출산")</f>
        <v>출산</v>
      </c>
      <c r="AH75" s="214"/>
      <c r="AI75" s="214"/>
    </row>
    <row r="76">
      <c r="H76" s="208">
        <v>45693.0</v>
      </c>
      <c r="I76" s="209" t="s">
        <v>31</v>
      </c>
      <c r="J76" s="209" t="s">
        <v>28</v>
      </c>
      <c r="K76" s="210">
        <v>11000.0</v>
      </c>
      <c r="L76" s="211" t="s">
        <v>64</v>
      </c>
      <c r="M76" s="143"/>
      <c r="N76" s="211" t="s">
        <v>298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IFERROR(__xludf.DUMMYFUNCTION("FILTER('설정시트'!$D$7:$K$20,'설정시트'!$C$7:$C$20=I76)"),"식재료비")</f>
        <v>식재료비</v>
      </c>
      <c r="AC76" s="214" t="str">
        <f>IFERROR(__xludf.DUMMYFUNCTION("""COMPUTED_VALUE"""),"회사점심")</f>
        <v>회사점심</v>
      </c>
      <c r="AD76" s="214" t="str">
        <f>IFERROR(__xludf.DUMMYFUNCTION("""COMPUTED_VALUE"""),"간식/카페")</f>
        <v>간식/카페</v>
      </c>
      <c r="AE76" s="214" t="str">
        <f>IFERROR(__xludf.DUMMYFUNCTION("""COMPUTED_VALUE"""),"외식/배달")</f>
        <v>외식/배달</v>
      </c>
      <c r="AF76" s="214" t="str">
        <f>IFERROR(__xludf.DUMMYFUNCTION("""COMPUTED_VALUE"""),"기타")</f>
        <v>기타</v>
      </c>
      <c r="AG76" s="214"/>
      <c r="AH76" s="214"/>
      <c r="AI76" s="214"/>
    </row>
    <row r="77">
      <c r="H77" s="208">
        <v>45693.0</v>
      </c>
      <c r="I77" s="209" t="s">
        <v>25</v>
      </c>
      <c r="J77" s="209" t="s">
        <v>24</v>
      </c>
      <c r="K77" s="210">
        <v>6400.0</v>
      </c>
      <c r="L77" s="211" t="s">
        <v>64</v>
      </c>
      <c r="M77" s="143"/>
      <c r="N77" s="211" t="s">
        <v>299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IFERROR(__xludf.DUMMYFUNCTION("FILTER('설정시트'!$D$7:$K$20,'설정시트'!$C$7:$C$20=I77)"),"주방/욕실")</f>
        <v>주방/욕실</v>
      </c>
      <c r="AC77" s="214" t="str">
        <f>IFERROR(__xludf.DUMMYFUNCTION("""COMPUTED_VALUE"""),"소모품")</f>
        <v>소모품</v>
      </c>
      <c r="AD77" s="214" t="str">
        <f>IFERROR(__xludf.DUMMYFUNCTION("""COMPUTED_VALUE"""),"기타")</f>
        <v>기타</v>
      </c>
      <c r="AE77" s="214"/>
      <c r="AF77" s="214"/>
      <c r="AG77" s="214"/>
      <c r="AH77" s="214"/>
      <c r="AI77" s="214"/>
    </row>
    <row r="78">
      <c r="H78" s="208">
        <v>45693.0</v>
      </c>
      <c r="I78" s="209" t="s">
        <v>14</v>
      </c>
      <c r="J78" s="209" t="s">
        <v>19</v>
      </c>
      <c r="K78" s="210">
        <v>1050790.0</v>
      </c>
      <c r="L78" s="211" t="s">
        <v>57</v>
      </c>
      <c r="M78" s="143"/>
      <c r="N78" s="211" t="s">
        <v>300</v>
      </c>
      <c r="O78" s="212"/>
      <c r="P78" s="212"/>
      <c r="Q78" s="143"/>
      <c r="R78" s="211" t="s">
        <v>301</v>
      </c>
      <c r="S78" s="212"/>
      <c r="T78" s="145"/>
      <c r="AB78" s="214" t="str">
        <f>IFERROR(__xludf.DUMMYFUNCTION("FILTER('설정시트'!$D$7:$K$20,'설정시트'!$C$7:$C$20=I78)"),"관리비")</f>
        <v>관리비</v>
      </c>
      <c r="AC78" s="214" t="str">
        <f>IFERROR(__xludf.DUMMYFUNCTION("""COMPUTED_VALUE"""),"월세")</f>
        <v>월세</v>
      </c>
      <c r="AD78" s="214" t="str">
        <f>IFERROR(__xludf.DUMMYFUNCTION("""COMPUTED_VALUE"""),"대출이자")</f>
        <v>대출이자</v>
      </c>
      <c r="AE78" s="214" t="str">
        <f>IFERROR(__xludf.DUMMYFUNCTION("""COMPUTED_VALUE"""),"통신비")</f>
        <v>통신비</v>
      </c>
      <c r="AF78" s="214" t="str">
        <f>IFERROR(__xludf.DUMMYFUNCTION("""COMPUTED_VALUE"""),"보험료")</f>
        <v>보험료</v>
      </c>
      <c r="AG78" s="214"/>
      <c r="AH78" s="214" t="str">
        <f>IFERROR(__xludf.DUMMYFUNCTION("""COMPUTED_VALUE"""),"곗돈")</f>
        <v>곗돈</v>
      </c>
      <c r="AI78" s="214"/>
    </row>
    <row r="79">
      <c r="H79" s="208">
        <v>45693.0</v>
      </c>
      <c r="I79" s="209" t="s">
        <v>26</v>
      </c>
      <c r="J79" s="209" t="s">
        <v>30</v>
      </c>
      <c r="K79" s="210">
        <v>18400.0</v>
      </c>
      <c r="L79" s="211" t="s">
        <v>58</v>
      </c>
      <c r="M79" s="143"/>
      <c r="N79" s="211" t="s">
        <v>302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IFERROR(__xludf.DUMMYFUNCTION("FILTER('설정시트'!$D$7:$K$20,'설정시트'!$C$7:$C$20=I79)"),"식재료비")</f>
        <v>식재료비</v>
      </c>
      <c r="AC79" s="214" t="str">
        <f>IFERROR(__xludf.DUMMYFUNCTION("""COMPUTED_VALUE"""),"회사점심")</f>
        <v>회사점심</v>
      </c>
      <c r="AD79" s="214" t="str">
        <f>IFERROR(__xludf.DUMMYFUNCTION("""COMPUTED_VALUE"""),"간식/카페")</f>
        <v>간식/카페</v>
      </c>
      <c r="AE79" s="214" t="str">
        <f>IFERROR(__xludf.DUMMYFUNCTION("""COMPUTED_VALUE"""),"외식/배달")</f>
        <v>외식/배달</v>
      </c>
      <c r="AF79" s="214" t="str">
        <f>IFERROR(__xludf.DUMMYFUNCTION("""COMPUTED_VALUE"""),"기타")</f>
        <v>기타</v>
      </c>
      <c r="AG79" s="214"/>
      <c r="AH79" s="214"/>
      <c r="AI79" s="214"/>
    </row>
    <row r="80">
      <c r="H80" s="208">
        <v>45693.0</v>
      </c>
      <c r="I80" s="209" t="s">
        <v>26</v>
      </c>
      <c r="J80" s="209" t="s">
        <v>27</v>
      </c>
      <c r="K80" s="210">
        <v>35810.0</v>
      </c>
      <c r="L80" s="211" t="s">
        <v>58</v>
      </c>
      <c r="M80" s="143"/>
      <c r="N80" s="211" t="s">
        <v>303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IFERROR(__xludf.DUMMYFUNCTION("FILTER('설정시트'!$D$7:$K$20,'설정시트'!$C$7:$C$20=I80)"),"식재료비")</f>
        <v>식재료비</v>
      </c>
      <c r="AC80" s="214" t="str">
        <f>IFERROR(__xludf.DUMMYFUNCTION("""COMPUTED_VALUE"""),"회사점심")</f>
        <v>회사점심</v>
      </c>
      <c r="AD80" s="214" t="str">
        <f>IFERROR(__xludf.DUMMYFUNCTION("""COMPUTED_VALUE"""),"간식/카페")</f>
        <v>간식/카페</v>
      </c>
      <c r="AE80" s="214" t="str">
        <f>IFERROR(__xludf.DUMMYFUNCTION("""COMPUTED_VALUE"""),"외식/배달")</f>
        <v>외식/배달</v>
      </c>
      <c r="AF80" s="214" t="str">
        <f>IFERROR(__xludf.DUMMYFUNCTION("""COMPUTED_VALUE"""),"기타")</f>
        <v>기타</v>
      </c>
      <c r="AG80" s="214"/>
      <c r="AH80" s="214"/>
      <c r="AI80" s="214"/>
    </row>
    <row r="81">
      <c r="H81" s="208">
        <v>45693.0</v>
      </c>
      <c r="I81" s="209" t="s">
        <v>52</v>
      </c>
      <c r="J81" s="209" t="s">
        <v>48</v>
      </c>
      <c r="K81" s="210">
        <v>94400.0</v>
      </c>
      <c r="L81" s="211" t="s">
        <v>64</v>
      </c>
      <c r="M81" s="143"/>
      <c r="N81" s="211" t="s">
        <v>304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IFERROR(__xludf.DUMMYFUNCTION("FILTER('설정시트'!$D$7:$K$20,'설정시트'!$C$7:$C$20=I81)"),"축의/부의금")</f>
        <v>축의/부의금</v>
      </c>
      <c r="AC81" s="214" t="str">
        <f>IFERROR(__xludf.DUMMYFUNCTION("""COMPUTED_VALUE"""),"생신/생일선물")</f>
        <v>생신/생일선물</v>
      </c>
      <c r="AD81" s="214" t="str">
        <f>IFERROR(__xludf.DUMMYFUNCTION("""COMPUTED_VALUE"""),"명절/어버이날")</f>
        <v>명절/어버이날</v>
      </c>
      <c r="AE81" s="214" t="str">
        <f>IFERROR(__xludf.DUMMYFUNCTION("""COMPUTED_VALUE"""),"여행")</f>
        <v>여행</v>
      </c>
      <c r="AF81" s="214" t="str">
        <f>IFERROR(__xludf.DUMMYFUNCTION("""COMPUTED_VALUE"""),"기타")</f>
        <v>기타</v>
      </c>
      <c r="AG81" s="214" t="str">
        <f>IFERROR(__xludf.DUMMYFUNCTION("""COMPUTED_VALUE"""),"출산")</f>
        <v>출산</v>
      </c>
      <c r="AH81" s="214"/>
      <c r="AI81" s="214"/>
    </row>
    <row r="82">
      <c r="H82" s="208">
        <v>45693.0</v>
      </c>
      <c r="I82" s="209" t="s">
        <v>21</v>
      </c>
      <c r="J82" s="209" t="s">
        <v>15</v>
      </c>
      <c r="K82" s="210">
        <v>150370.0</v>
      </c>
      <c r="L82" s="211" t="s">
        <v>62</v>
      </c>
      <c r="M82" s="143"/>
      <c r="N82" s="211" t="s">
        <v>305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IFERROR(__xludf.DUMMYFUNCTION("FILTER('설정시트'!$D$7:$K$20,'설정시트'!$C$7:$C$20=I82)"),"관리비")</f>
        <v>관리비</v>
      </c>
      <c r="AC82" s="214" t="str">
        <f>IFERROR(__xludf.DUMMYFUNCTION("""COMPUTED_VALUE"""),"대출이자")</f>
        <v>대출이자</v>
      </c>
      <c r="AD82" s="214" t="str">
        <f>IFERROR(__xludf.DUMMYFUNCTION("""COMPUTED_VALUE"""),"통신비")</f>
        <v>통신비</v>
      </c>
      <c r="AE82" s="214" t="str">
        <f>IFERROR(__xludf.DUMMYFUNCTION("""COMPUTED_VALUE"""),"보험료")</f>
        <v>보험료</v>
      </c>
      <c r="AF82" s="214" t="str">
        <f>IFERROR(__xludf.DUMMYFUNCTION("""COMPUTED_VALUE"""),"곗돈")</f>
        <v>곗돈</v>
      </c>
      <c r="AG82" s="214"/>
      <c r="AH82" s="214"/>
      <c r="AI82" s="214"/>
    </row>
    <row r="83">
      <c r="H83" s="208">
        <v>45693.0</v>
      </c>
      <c r="I83" s="217" t="s">
        <v>3</v>
      </c>
      <c r="J83" s="217" t="s">
        <v>8</v>
      </c>
      <c r="K83" s="218">
        <v>22120.0</v>
      </c>
      <c r="L83" s="211"/>
      <c r="M83" s="143"/>
      <c r="N83" s="211" t="s">
        <v>306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IFERROR(__xludf.DUMMYFUNCTION("FILTER('설정시트'!$D$7:$K$20,'설정시트'!$C$7:$C$20=I83)"),"🍪 월급")</f>
        <v>🍪 월급</v>
      </c>
      <c r="AC83" s="214" t="str">
        <f>IFERROR(__xludf.DUMMYFUNCTION("""COMPUTED_VALUE"""),"🍪 부수입")</f>
        <v>🍪 부수입</v>
      </c>
      <c r="AD83" s="214" t="str">
        <f>IFERROR(__xludf.DUMMYFUNCTION("""COMPUTED_VALUE"""),"🐻 월급")</f>
        <v>🐻 월급</v>
      </c>
      <c r="AE83" s="214" t="str">
        <f>IFERROR(__xludf.DUMMYFUNCTION("""COMPUTED_VALUE"""),"🐻 부수입")</f>
        <v>🐻 부수입</v>
      </c>
      <c r="AF83" s="214" t="str">
        <f>IFERROR(__xludf.DUMMYFUNCTION("""COMPUTED_VALUE"""),"기타")</f>
        <v>기타</v>
      </c>
      <c r="AG83" s="214"/>
      <c r="AH83" s="214"/>
      <c r="AI83" s="214"/>
    </row>
    <row r="84">
      <c r="H84" s="208">
        <v>45694.0</v>
      </c>
      <c r="I84" s="209" t="s">
        <v>31</v>
      </c>
      <c r="J84" s="209" t="s">
        <v>28</v>
      </c>
      <c r="K84" s="210">
        <v>14500.0</v>
      </c>
      <c r="L84" s="211" t="s">
        <v>64</v>
      </c>
      <c r="M84" s="143"/>
      <c r="N84" s="211" t="s">
        <v>307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IFERROR(__xludf.DUMMYFUNCTION("FILTER('설정시트'!$D$7:$K$20,'설정시트'!$C$7:$C$20=I84)"),"식재료비")</f>
        <v>식재료비</v>
      </c>
      <c r="AC84" s="214" t="str">
        <f>IFERROR(__xludf.DUMMYFUNCTION("""COMPUTED_VALUE"""),"회사점심")</f>
        <v>회사점심</v>
      </c>
      <c r="AD84" s="214" t="str">
        <f>IFERROR(__xludf.DUMMYFUNCTION("""COMPUTED_VALUE"""),"간식/카페")</f>
        <v>간식/카페</v>
      </c>
      <c r="AE84" s="214" t="str">
        <f>IFERROR(__xludf.DUMMYFUNCTION("""COMPUTED_VALUE"""),"외식/배달")</f>
        <v>외식/배달</v>
      </c>
      <c r="AF84" s="214" t="str">
        <f>IFERROR(__xludf.DUMMYFUNCTION("""COMPUTED_VALUE"""),"기타")</f>
        <v>기타</v>
      </c>
      <c r="AG84" s="214"/>
      <c r="AH84" s="214"/>
      <c r="AI84" s="214"/>
    </row>
    <row r="85">
      <c r="H85" s="208">
        <v>45694.0</v>
      </c>
      <c r="I85" s="209" t="s">
        <v>31</v>
      </c>
      <c r="J85" s="209" t="s">
        <v>8</v>
      </c>
      <c r="K85" s="210">
        <v>3900.0</v>
      </c>
      <c r="L85" s="211" t="s">
        <v>64</v>
      </c>
      <c r="M85" s="143"/>
      <c r="N85" s="211" t="s">
        <v>308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IFERROR(__xludf.DUMMYFUNCTION("FILTER('설정시트'!$D$7:$K$20,'설정시트'!$C$7:$C$20=I85)"),"식재료비")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</row>
    <row r="86">
      <c r="H86" s="208">
        <v>45694.0</v>
      </c>
      <c r="I86" s="209" t="s">
        <v>22</v>
      </c>
      <c r="J86" s="209" t="s">
        <v>23</v>
      </c>
      <c r="K86" s="210">
        <v>4000.0</v>
      </c>
      <c r="L86" s="211" t="s">
        <v>57</v>
      </c>
      <c r="M86" s="143"/>
      <c r="N86" s="211" t="s">
        <v>309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IFERROR(__xludf.DUMMYFUNCTION("FILTER('설정시트'!$D$7:$K$20,'설정시트'!$C$7:$C$20=I86)"),"주방/욕실")</f>
        <v>주방/욕실</v>
      </c>
      <c r="AC86" s="214" t="str">
        <f>IFERROR(__xludf.DUMMYFUNCTION("""COMPUTED_VALUE"""),"소모품")</f>
        <v>소모품</v>
      </c>
      <c r="AD86" s="214" t="str">
        <f>IFERROR(__xludf.DUMMYFUNCTION("""COMPUTED_VALUE"""),"기타")</f>
        <v>기타</v>
      </c>
      <c r="AE86" s="214"/>
      <c r="AF86" s="214"/>
      <c r="AG86" s="214"/>
      <c r="AH86" s="214"/>
      <c r="AI86" s="214"/>
    </row>
    <row r="87">
      <c r="H87" s="208">
        <v>45695.0</v>
      </c>
      <c r="I87" s="209" t="s">
        <v>21</v>
      </c>
      <c r="J87" s="209" t="s">
        <v>18</v>
      </c>
      <c r="K87" s="210">
        <v>3300.0</v>
      </c>
      <c r="L87" s="211" t="s">
        <v>61</v>
      </c>
      <c r="M87" s="143"/>
      <c r="N87" s="211" t="s">
        <v>310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IFERROR(__xludf.DUMMYFUNCTION("FILTER('설정시트'!$D$7:$K$20,'설정시트'!$C$7:$C$20=I87)"),"관리비")</f>
        <v>관리비</v>
      </c>
      <c r="AC87" s="214" t="str">
        <f>IFERROR(__xludf.DUMMYFUNCTION("""COMPUTED_VALUE"""),"대출이자")</f>
        <v>대출이자</v>
      </c>
      <c r="AD87" s="214" t="str">
        <f>IFERROR(__xludf.DUMMYFUNCTION("""COMPUTED_VALUE"""),"통신비")</f>
        <v>통신비</v>
      </c>
      <c r="AE87" s="214" t="str">
        <f>IFERROR(__xludf.DUMMYFUNCTION("""COMPUTED_VALUE"""),"보험료")</f>
        <v>보험료</v>
      </c>
      <c r="AF87" s="214" t="str">
        <f>IFERROR(__xludf.DUMMYFUNCTION("""COMPUTED_VALUE"""),"곗돈")</f>
        <v>곗돈</v>
      </c>
      <c r="AG87" s="214"/>
      <c r="AH87" s="214"/>
      <c r="AI87" s="214"/>
    </row>
    <row r="88">
      <c r="H88" s="208">
        <v>45695.0</v>
      </c>
      <c r="I88" s="209" t="s">
        <v>26</v>
      </c>
      <c r="J88" s="209" t="s">
        <v>30</v>
      </c>
      <c r="K88" s="210">
        <v>28100.0</v>
      </c>
      <c r="L88" s="211" t="s">
        <v>58</v>
      </c>
      <c r="M88" s="143"/>
      <c r="N88" s="211" t="s">
        <v>311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IFERROR(__xludf.DUMMYFUNCTION("FILTER('설정시트'!$D$7:$K$20,'설정시트'!$C$7:$C$20=I88)"),"식재료비")</f>
        <v>식재료비</v>
      </c>
      <c r="AC88" s="214" t="str">
        <f>IFERROR(__xludf.DUMMYFUNCTION("""COMPUTED_VALUE"""),"회사점심")</f>
        <v>회사점심</v>
      </c>
      <c r="AD88" s="214" t="str">
        <f>IFERROR(__xludf.DUMMYFUNCTION("""COMPUTED_VALUE"""),"간식/카페")</f>
        <v>간식/카페</v>
      </c>
      <c r="AE88" s="214" t="str">
        <f>IFERROR(__xludf.DUMMYFUNCTION("""COMPUTED_VALUE"""),"외식/배달")</f>
        <v>외식/배달</v>
      </c>
      <c r="AF88" s="214" t="str">
        <f>IFERROR(__xludf.DUMMYFUNCTION("""COMPUTED_VALUE"""),"기타")</f>
        <v>기타</v>
      </c>
      <c r="AG88" s="214"/>
      <c r="AH88" s="214"/>
      <c r="AI88" s="214"/>
    </row>
    <row r="89">
      <c r="H89" s="208">
        <v>45695.0</v>
      </c>
      <c r="I89" s="217" t="s">
        <v>22</v>
      </c>
      <c r="J89" s="217" t="s">
        <v>23</v>
      </c>
      <c r="K89" s="218">
        <v>9000.0</v>
      </c>
      <c r="L89" s="211" t="s">
        <v>55</v>
      </c>
      <c r="M89" s="143"/>
      <c r="N89" s="211" t="s">
        <v>312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IFERROR(__xludf.DUMMYFUNCTION("FILTER('설정시트'!$D$7:$K$20,'설정시트'!$C$7:$C$20=I89)"),"주방/욕실")</f>
        <v>주방/욕실</v>
      </c>
      <c r="AC89" s="214" t="str">
        <f>IFERROR(__xludf.DUMMYFUNCTION("""COMPUTED_VALUE"""),"소모품")</f>
        <v>소모품</v>
      </c>
      <c r="AD89" s="214" t="str">
        <f>IFERROR(__xludf.DUMMYFUNCTION("""COMPUTED_VALUE"""),"기타")</f>
        <v>기타</v>
      </c>
      <c r="AE89" s="214"/>
      <c r="AF89" s="214"/>
      <c r="AG89" s="214"/>
      <c r="AH89" s="214"/>
      <c r="AI89" s="214"/>
    </row>
    <row r="90">
      <c r="H90" s="208">
        <v>45695.0</v>
      </c>
      <c r="I90" s="217" t="s">
        <v>3</v>
      </c>
      <c r="J90" s="217" t="s">
        <v>8</v>
      </c>
      <c r="K90" s="218">
        <v>60230.0</v>
      </c>
      <c r="L90" s="211"/>
      <c r="M90" s="143"/>
      <c r="N90" s="211" t="s">
        <v>313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IFERROR(__xludf.DUMMYFUNCTION("FILTER('설정시트'!$D$7:$K$20,'설정시트'!$C$7:$C$20=I90)"),"🍪 월급")</f>
        <v>🍪 월급</v>
      </c>
      <c r="AC90" s="214" t="str">
        <f>IFERROR(__xludf.DUMMYFUNCTION("""COMPUTED_VALUE"""),"🍪 부수입")</f>
        <v>🍪 부수입</v>
      </c>
      <c r="AD90" s="214" t="str">
        <f>IFERROR(__xludf.DUMMYFUNCTION("""COMPUTED_VALUE"""),"🐻 월급")</f>
        <v>🐻 월급</v>
      </c>
      <c r="AE90" s="214" t="str">
        <f>IFERROR(__xludf.DUMMYFUNCTION("""COMPUTED_VALUE"""),"🐻 부수입")</f>
        <v>🐻 부수입</v>
      </c>
      <c r="AF90" s="214" t="str">
        <f>IFERROR(__xludf.DUMMYFUNCTION("""COMPUTED_VALUE"""),"기타")</f>
        <v>기타</v>
      </c>
      <c r="AG90" s="214"/>
      <c r="AH90" s="214"/>
      <c r="AI90" s="214"/>
    </row>
    <row r="91">
      <c r="H91" s="208">
        <v>45695.0</v>
      </c>
      <c r="I91" s="217" t="s">
        <v>14</v>
      </c>
      <c r="J91" s="217" t="s">
        <v>16</v>
      </c>
      <c r="K91" s="218">
        <v>400000.0</v>
      </c>
      <c r="L91" s="211" t="s">
        <v>55</v>
      </c>
      <c r="M91" s="143"/>
      <c r="N91" s="211" t="s">
        <v>314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IFERROR(__xludf.DUMMYFUNCTION("FILTER('설정시트'!$D$7:$K$20,'설정시트'!$C$7:$C$20=I91)"),"관리비")</f>
        <v>관리비</v>
      </c>
      <c r="AC91" s="214" t="str">
        <f>IFERROR(__xludf.DUMMYFUNCTION("""COMPUTED_VALUE"""),"월세")</f>
        <v>월세</v>
      </c>
      <c r="AD91" s="214" t="str">
        <f>IFERROR(__xludf.DUMMYFUNCTION("""COMPUTED_VALUE"""),"대출이자")</f>
        <v>대출이자</v>
      </c>
      <c r="AE91" s="214" t="str">
        <f>IFERROR(__xludf.DUMMYFUNCTION("""COMPUTED_VALUE"""),"통신비")</f>
        <v>통신비</v>
      </c>
      <c r="AF91" s="214" t="str">
        <f>IFERROR(__xludf.DUMMYFUNCTION("""COMPUTED_VALUE"""),"보험료")</f>
        <v>보험료</v>
      </c>
      <c r="AG91" s="214"/>
      <c r="AH91" s="214" t="str">
        <f>IFERROR(__xludf.DUMMYFUNCTION("""COMPUTED_VALUE"""),"곗돈")</f>
        <v>곗돈</v>
      </c>
      <c r="AI91" s="214"/>
    </row>
    <row r="92">
      <c r="H92" s="208">
        <v>45696.0</v>
      </c>
      <c r="I92" s="209" t="s">
        <v>52</v>
      </c>
      <c r="J92" s="209" t="s">
        <v>48</v>
      </c>
      <c r="K92" s="210">
        <v>94400.0</v>
      </c>
      <c r="L92" s="211" t="s">
        <v>64</v>
      </c>
      <c r="M92" s="143"/>
      <c r="N92" s="211" t="s">
        <v>315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IFERROR(__xludf.DUMMYFUNCTION("FILTER('설정시트'!$D$7:$K$20,'설정시트'!$C$7:$C$20=I92)"),"축의/부의금")</f>
        <v>축의/부의금</v>
      </c>
      <c r="AC92" s="214" t="str">
        <f>IFERROR(__xludf.DUMMYFUNCTION("""COMPUTED_VALUE"""),"생신/생일선물")</f>
        <v>생신/생일선물</v>
      </c>
      <c r="AD92" s="214" t="str">
        <f>IFERROR(__xludf.DUMMYFUNCTION("""COMPUTED_VALUE"""),"명절/어버이날")</f>
        <v>명절/어버이날</v>
      </c>
      <c r="AE92" s="214" t="str">
        <f>IFERROR(__xludf.DUMMYFUNCTION("""COMPUTED_VALUE"""),"여행")</f>
        <v>여행</v>
      </c>
      <c r="AF92" s="214" t="str">
        <f>IFERROR(__xludf.DUMMYFUNCTION("""COMPUTED_VALUE"""),"기타")</f>
        <v>기타</v>
      </c>
      <c r="AG92" s="214" t="str">
        <f>IFERROR(__xludf.DUMMYFUNCTION("""COMPUTED_VALUE"""),"출산")</f>
        <v>출산</v>
      </c>
      <c r="AH92" s="214"/>
      <c r="AI92" s="214"/>
    </row>
    <row r="93">
      <c r="H93" s="208">
        <v>45696.0</v>
      </c>
      <c r="I93" s="209" t="s">
        <v>46</v>
      </c>
      <c r="J93" s="209" t="s">
        <v>8</v>
      </c>
      <c r="K93" s="210">
        <v>18700.0</v>
      </c>
      <c r="L93" s="211" t="s">
        <v>58</v>
      </c>
      <c r="M93" s="143"/>
      <c r="N93" s="211" t="s">
        <v>316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IFERROR(__xludf.DUMMYFUNCTION("FILTER('설정시트'!$D$7:$K$20,'설정시트'!$C$7:$C$20=I93)"),"축의/부의금")</f>
        <v>축의/부의금</v>
      </c>
      <c r="AC93" s="214" t="str">
        <f>IFERROR(__xludf.DUMMYFUNCTION("""COMPUTED_VALUE"""),"생신/생일선물")</f>
        <v>생신/생일선물</v>
      </c>
      <c r="AD93" s="214" t="str">
        <f>IFERROR(__xludf.DUMMYFUNCTION("""COMPUTED_VALUE"""),"명절/어버이날")</f>
        <v>명절/어버이날</v>
      </c>
      <c r="AE93" s="214" t="str">
        <f>IFERROR(__xludf.DUMMYFUNCTION("""COMPUTED_VALUE"""),"여행")</f>
        <v>여행</v>
      </c>
      <c r="AF93" s="214" t="str">
        <f>IFERROR(__xludf.DUMMYFUNCTION("""COMPUTED_VALUE"""),"기타")</f>
        <v>기타</v>
      </c>
      <c r="AG93" s="214" t="str">
        <f>IFERROR(__xludf.DUMMYFUNCTION("""COMPUTED_VALUE"""),"출산")</f>
        <v>출산</v>
      </c>
      <c r="AH93" s="214"/>
      <c r="AI93" s="214"/>
    </row>
    <row r="94">
      <c r="H94" s="208">
        <v>45696.0</v>
      </c>
      <c r="I94" s="217" t="s">
        <v>46</v>
      </c>
      <c r="J94" s="217" t="s">
        <v>8</v>
      </c>
      <c r="K94" s="218">
        <v>3578990.0</v>
      </c>
      <c r="L94" s="211"/>
      <c r="M94" s="143"/>
      <c r="N94" s="211" t="s">
        <v>317</v>
      </c>
      <c r="O94" s="212"/>
      <c r="P94" s="212"/>
      <c r="Q94" s="143"/>
      <c r="R94" s="211" t="s">
        <v>318</v>
      </c>
      <c r="S94" s="212"/>
      <c r="T94" s="145"/>
      <c r="AB94" s="214" t="str">
        <f>IFERROR(__xludf.DUMMYFUNCTION("FILTER('설정시트'!$D$7:$K$20,'설정시트'!$C$7:$C$20=I94)"),"축의/부의금")</f>
        <v>축의/부의금</v>
      </c>
      <c r="AC94" s="214" t="str">
        <f>IFERROR(__xludf.DUMMYFUNCTION("""COMPUTED_VALUE"""),"생신/생일선물")</f>
        <v>생신/생일선물</v>
      </c>
      <c r="AD94" s="214" t="str">
        <f>IFERROR(__xludf.DUMMYFUNCTION("""COMPUTED_VALUE"""),"명절/어버이날")</f>
        <v>명절/어버이날</v>
      </c>
      <c r="AE94" s="214" t="str">
        <f>IFERROR(__xludf.DUMMYFUNCTION("""COMPUTED_VALUE"""),"여행")</f>
        <v>여행</v>
      </c>
      <c r="AF94" s="214" t="str">
        <f>IFERROR(__xludf.DUMMYFUNCTION("""COMPUTED_VALUE"""),"기타")</f>
        <v>기타</v>
      </c>
      <c r="AG94" s="214" t="str">
        <f>IFERROR(__xludf.DUMMYFUNCTION("""COMPUTED_VALUE"""),"출산")</f>
        <v>출산</v>
      </c>
      <c r="AH94" s="214"/>
      <c r="AI94" s="214"/>
    </row>
    <row r="95">
      <c r="H95" s="208">
        <v>45698.0</v>
      </c>
      <c r="I95" s="209" t="s">
        <v>21</v>
      </c>
      <c r="J95" s="209" t="s">
        <v>18</v>
      </c>
      <c r="K95" s="210">
        <v>65750.0</v>
      </c>
      <c r="L95" s="211" t="s">
        <v>64</v>
      </c>
      <c r="M95" s="143"/>
      <c r="N95" s="211" t="s">
        <v>319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IFERROR(__xludf.DUMMYFUNCTION("FILTER('설정시트'!$D$7:$K$20,'설정시트'!$C$7:$C$20=I95)"),"관리비")</f>
        <v>관리비</v>
      </c>
      <c r="AC95" s="214" t="str">
        <f>IFERROR(__xludf.DUMMYFUNCTION("""COMPUTED_VALUE"""),"대출이자")</f>
        <v>대출이자</v>
      </c>
      <c r="AD95" s="214" t="str">
        <f>IFERROR(__xludf.DUMMYFUNCTION("""COMPUTED_VALUE"""),"통신비")</f>
        <v>통신비</v>
      </c>
      <c r="AE95" s="214" t="str">
        <f>IFERROR(__xludf.DUMMYFUNCTION("""COMPUTED_VALUE"""),"보험료")</f>
        <v>보험료</v>
      </c>
      <c r="AF95" s="214" t="str">
        <f>IFERROR(__xludf.DUMMYFUNCTION("""COMPUTED_VALUE"""),"곗돈")</f>
        <v>곗돈</v>
      </c>
      <c r="AG95" s="214"/>
      <c r="AH95" s="214"/>
      <c r="AI95" s="214"/>
    </row>
    <row r="96">
      <c r="H96" s="208">
        <v>45698.0</v>
      </c>
      <c r="I96" s="209" t="s">
        <v>31</v>
      </c>
      <c r="J96" s="209" t="s">
        <v>29</v>
      </c>
      <c r="K96" s="210">
        <v>2000.0</v>
      </c>
      <c r="L96" s="211" t="s">
        <v>64</v>
      </c>
      <c r="M96" s="143"/>
      <c r="N96" s="211" t="s">
        <v>320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IFERROR(__xludf.DUMMYFUNCTION("FILTER('설정시트'!$D$7:$K$20,'설정시트'!$C$7:$C$20=I96)"),"식재료비")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</row>
    <row r="97">
      <c r="H97" s="208">
        <v>45698.0</v>
      </c>
      <c r="I97" s="209" t="s">
        <v>45</v>
      </c>
      <c r="J97" s="209" t="s">
        <v>8</v>
      </c>
      <c r="K97" s="210">
        <v>1200.0</v>
      </c>
      <c r="L97" s="211" t="s">
        <v>64</v>
      </c>
      <c r="M97" s="143"/>
      <c r="N97" s="211" t="s">
        <v>321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IFERROR(__xludf.DUMMYFUNCTION("FILTER('설정시트'!$D$7:$K$20,'설정시트'!$C$7:$C$20=I97)"),"약국")</f>
        <v>약국</v>
      </c>
      <c r="AC97" s="214" t="str">
        <f>IFERROR(__xludf.DUMMYFUNCTION("""COMPUTED_VALUE"""),"병원비")</f>
        <v>병원비</v>
      </c>
      <c r="AD97" s="214" t="str">
        <f>IFERROR(__xludf.DUMMYFUNCTION("""COMPUTED_VALUE"""),"영양제")</f>
        <v>영양제</v>
      </c>
      <c r="AE97" s="214" t="str">
        <f>IFERROR(__xludf.DUMMYFUNCTION("""COMPUTED_VALUE"""),"교통비")</f>
        <v>교통비</v>
      </c>
      <c r="AF97" s="214" t="str">
        <f>IFERROR(__xludf.DUMMYFUNCTION("""COMPUTED_VALUE"""),"주유비")</f>
        <v>주유비</v>
      </c>
      <c r="AG97" s="214"/>
      <c r="AH97" s="214" t="str">
        <f>IFERROR(__xludf.DUMMYFUNCTION("""COMPUTED_VALUE"""),"기타")</f>
        <v>기타</v>
      </c>
      <c r="AI97" s="214"/>
    </row>
    <row r="98">
      <c r="H98" s="208">
        <v>45698.0</v>
      </c>
      <c r="I98" s="209" t="s">
        <v>21</v>
      </c>
      <c r="J98" s="209" t="s">
        <v>20</v>
      </c>
      <c r="K98" s="210">
        <v>50000.0</v>
      </c>
      <c r="L98" s="211" t="s">
        <v>62</v>
      </c>
      <c r="M98" s="143"/>
      <c r="N98" s="211" t="s">
        <v>322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IFERROR(__xludf.DUMMYFUNCTION("FILTER('설정시트'!$D$7:$K$20,'설정시트'!$C$7:$C$20=I98)"),"관리비")</f>
        <v>관리비</v>
      </c>
      <c r="AC98" s="214" t="str">
        <f>IFERROR(__xludf.DUMMYFUNCTION("""COMPUTED_VALUE"""),"대출이자")</f>
        <v>대출이자</v>
      </c>
      <c r="AD98" s="214" t="str">
        <f>IFERROR(__xludf.DUMMYFUNCTION("""COMPUTED_VALUE"""),"통신비")</f>
        <v>통신비</v>
      </c>
      <c r="AE98" s="214" t="str">
        <f>IFERROR(__xludf.DUMMYFUNCTION("""COMPUTED_VALUE"""),"보험료")</f>
        <v>보험료</v>
      </c>
      <c r="AF98" s="214" t="str">
        <f>IFERROR(__xludf.DUMMYFUNCTION("""COMPUTED_VALUE"""),"곗돈")</f>
        <v>곗돈</v>
      </c>
      <c r="AG98" s="214"/>
      <c r="AH98" s="214"/>
      <c r="AI98" s="214"/>
    </row>
    <row r="99">
      <c r="H99" s="208">
        <v>45698.0</v>
      </c>
      <c r="I99" s="209" t="s">
        <v>14</v>
      </c>
      <c r="J99" s="209" t="s">
        <v>18</v>
      </c>
      <c r="K99" s="210">
        <v>18540.0</v>
      </c>
      <c r="L99" s="211" t="s">
        <v>57</v>
      </c>
      <c r="M99" s="143"/>
      <c r="N99" s="211" t="s">
        <v>323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IFERROR(__xludf.DUMMYFUNCTION("FILTER('설정시트'!$D$7:$K$20,'설정시트'!$C$7:$C$20=I99)"),"관리비")</f>
        <v>관리비</v>
      </c>
      <c r="AC99" s="214" t="str">
        <f>IFERROR(__xludf.DUMMYFUNCTION("""COMPUTED_VALUE"""),"월세")</f>
        <v>월세</v>
      </c>
      <c r="AD99" s="214" t="str">
        <f>IFERROR(__xludf.DUMMYFUNCTION("""COMPUTED_VALUE"""),"대출이자")</f>
        <v>대출이자</v>
      </c>
      <c r="AE99" s="214" t="str">
        <f>IFERROR(__xludf.DUMMYFUNCTION("""COMPUTED_VALUE"""),"통신비")</f>
        <v>통신비</v>
      </c>
      <c r="AF99" s="214" t="str">
        <f>IFERROR(__xludf.DUMMYFUNCTION("""COMPUTED_VALUE"""),"보험료")</f>
        <v>보험료</v>
      </c>
      <c r="AG99" s="214"/>
      <c r="AH99" s="214" t="str">
        <f>IFERROR(__xludf.DUMMYFUNCTION("""COMPUTED_VALUE"""),"곗돈")</f>
        <v>곗돈</v>
      </c>
      <c r="AI99" s="214"/>
    </row>
    <row r="100">
      <c r="H100" s="208">
        <v>45698.0</v>
      </c>
      <c r="I100" s="209" t="s">
        <v>14</v>
      </c>
      <c r="J100" s="209" t="s">
        <v>18</v>
      </c>
      <c r="K100" s="210">
        <v>93060.0</v>
      </c>
      <c r="L100" s="211" t="s">
        <v>58</v>
      </c>
      <c r="M100" s="143"/>
      <c r="N100" s="211" t="s">
        <v>324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IFERROR(__xludf.DUMMYFUNCTION("FILTER('설정시트'!$D$7:$K$20,'설정시트'!$C$7:$C$20=I100)"),"관리비")</f>
        <v>관리비</v>
      </c>
      <c r="AC100" s="214" t="str">
        <f>IFERROR(__xludf.DUMMYFUNCTION("""COMPUTED_VALUE"""),"월세")</f>
        <v>월세</v>
      </c>
      <c r="AD100" s="214" t="str">
        <f>IFERROR(__xludf.DUMMYFUNCTION("""COMPUTED_VALUE"""),"대출이자")</f>
        <v>대출이자</v>
      </c>
      <c r="AE100" s="214" t="str">
        <f>IFERROR(__xludf.DUMMYFUNCTION("""COMPUTED_VALUE"""),"통신비")</f>
        <v>통신비</v>
      </c>
      <c r="AF100" s="214" t="str">
        <f>IFERROR(__xludf.DUMMYFUNCTION("""COMPUTED_VALUE"""),"보험료")</f>
        <v>보험료</v>
      </c>
      <c r="AG100" s="214"/>
      <c r="AH100" s="214" t="str">
        <f>IFERROR(__xludf.DUMMYFUNCTION("""COMPUTED_VALUE"""),"곗돈")</f>
        <v>곗돈</v>
      </c>
      <c r="AI100" s="214"/>
    </row>
    <row r="101">
      <c r="H101" s="208">
        <v>45698.0</v>
      </c>
      <c r="I101" s="217" t="s">
        <v>22</v>
      </c>
      <c r="J101" s="217" t="s">
        <v>23</v>
      </c>
      <c r="K101" s="218">
        <v>14000.0</v>
      </c>
      <c r="L101" s="211" t="s">
        <v>55</v>
      </c>
      <c r="M101" s="143"/>
      <c r="N101" s="211" t="s">
        <v>325</v>
      </c>
      <c r="O101" s="212"/>
      <c r="P101" s="212"/>
      <c r="Q101" s="143"/>
      <c r="R101" s="211"/>
      <c r="S101" s="212"/>
      <c r="T101" s="145"/>
      <c r="AB101" s="214" t="str">
        <f>IFERROR(__xludf.DUMMYFUNCTION("FILTER('설정시트'!$D$7:$K$20,'설정시트'!$C$7:$C$20=I101)"),"주방/욕실")</f>
        <v>주방/욕실</v>
      </c>
      <c r="AC101" s="214" t="str">
        <f>IFERROR(__xludf.DUMMYFUNCTION("""COMPUTED_VALUE"""),"소모품")</f>
        <v>소모품</v>
      </c>
      <c r="AD101" s="214" t="str">
        <f>IFERROR(__xludf.DUMMYFUNCTION("""COMPUTED_VALUE"""),"기타")</f>
        <v>기타</v>
      </c>
      <c r="AE101" s="214"/>
      <c r="AF101" s="214"/>
      <c r="AG101" s="214"/>
      <c r="AH101" s="214"/>
      <c r="AI101" s="214"/>
    </row>
    <row r="102">
      <c r="H102" s="208">
        <v>45700.0</v>
      </c>
      <c r="I102" s="209" t="s">
        <v>26</v>
      </c>
      <c r="J102" s="209" t="s">
        <v>28</v>
      </c>
      <c r="K102" s="210">
        <v>42600.0</v>
      </c>
      <c r="L102" s="211" t="s">
        <v>59</v>
      </c>
      <c r="M102" s="143"/>
      <c r="N102" s="211" t="s">
        <v>326</v>
      </c>
      <c r="O102" s="212"/>
      <c r="P102" s="212"/>
      <c r="Q102" s="143"/>
      <c r="R102" s="211" t="s">
        <v>327</v>
      </c>
      <c r="S102" s="212"/>
      <c r="T102" s="145"/>
      <c r="AB102" s="214" t="str">
        <f>IFERROR(__xludf.DUMMYFUNCTION("FILTER('설정시트'!$D$7:$K$20,'설정시트'!$C$7:$C$20=I102)"),"식재료비")</f>
        <v>식재료비</v>
      </c>
      <c r="AC102" s="214" t="str">
        <f>IFERROR(__xludf.DUMMYFUNCTION("""COMPUTED_VALUE"""),"회사점심")</f>
        <v>회사점심</v>
      </c>
      <c r="AD102" s="214" t="str">
        <f>IFERROR(__xludf.DUMMYFUNCTION("""COMPUTED_VALUE"""),"간식/카페")</f>
        <v>간식/카페</v>
      </c>
      <c r="AE102" s="214" t="str">
        <f>IFERROR(__xludf.DUMMYFUNCTION("""COMPUTED_VALUE"""),"외식/배달")</f>
        <v>외식/배달</v>
      </c>
      <c r="AF102" s="214" t="str">
        <f>IFERROR(__xludf.DUMMYFUNCTION("""COMPUTED_VALUE"""),"기타")</f>
        <v>기타</v>
      </c>
      <c r="AG102" s="214"/>
      <c r="AH102" s="214"/>
      <c r="AI102" s="214"/>
    </row>
    <row r="103">
      <c r="H103" s="208">
        <v>45700.0</v>
      </c>
      <c r="I103" s="217" t="s">
        <v>3</v>
      </c>
      <c r="J103" s="217" t="s">
        <v>8</v>
      </c>
      <c r="K103" s="218">
        <v>21600.0</v>
      </c>
      <c r="L103" s="211"/>
      <c r="M103" s="143"/>
      <c r="N103" s="211" t="s">
        <v>328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IFERROR(__xludf.DUMMYFUNCTION("FILTER('설정시트'!$D$7:$K$20,'설정시트'!$C$7:$C$20=I103)"),"🍪 월급")</f>
        <v>🍪 월급</v>
      </c>
      <c r="AC103" s="214" t="str">
        <f>IFERROR(__xludf.DUMMYFUNCTION("""COMPUTED_VALUE"""),"🍪 부수입")</f>
        <v>🍪 부수입</v>
      </c>
      <c r="AD103" s="214" t="str">
        <f>IFERROR(__xludf.DUMMYFUNCTION("""COMPUTED_VALUE"""),"🐻 월급")</f>
        <v>🐻 월급</v>
      </c>
      <c r="AE103" s="214" t="str">
        <f>IFERROR(__xludf.DUMMYFUNCTION("""COMPUTED_VALUE"""),"🐻 부수입")</f>
        <v>🐻 부수입</v>
      </c>
      <c r="AF103" s="214" t="str">
        <f>IFERROR(__xludf.DUMMYFUNCTION("""COMPUTED_VALUE"""),"기타")</f>
        <v>기타</v>
      </c>
      <c r="AG103" s="214"/>
      <c r="AH103" s="214"/>
      <c r="AI103" s="214"/>
    </row>
    <row r="104">
      <c r="H104" s="208">
        <v>45700.0</v>
      </c>
      <c r="I104" s="217" t="s">
        <v>3</v>
      </c>
      <c r="J104" s="217" t="s">
        <v>8</v>
      </c>
      <c r="K104" s="218">
        <v>642225.0</v>
      </c>
      <c r="L104" s="211"/>
      <c r="M104" s="143"/>
      <c r="N104" s="211" t="s">
        <v>329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IFERROR(__xludf.DUMMYFUNCTION("FILTER('설정시트'!$D$7:$K$20,'설정시트'!$C$7:$C$20=I104)"),"🍪 월급")</f>
        <v>🍪 월급</v>
      </c>
      <c r="AC104" s="214" t="str">
        <f>IFERROR(__xludf.DUMMYFUNCTION("""COMPUTED_VALUE"""),"🍪 부수입")</f>
        <v>🍪 부수입</v>
      </c>
      <c r="AD104" s="214" t="str">
        <f>IFERROR(__xludf.DUMMYFUNCTION("""COMPUTED_VALUE"""),"🐻 월급")</f>
        <v>🐻 월급</v>
      </c>
      <c r="AE104" s="214" t="str">
        <f>IFERROR(__xludf.DUMMYFUNCTION("""COMPUTED_VALUE"""),"🐻 부수입")</f>
        <v>🐻 부수입</v>
      </c>
      <c r="AF104" s="214" t="str">
        <f>IFERROR(__xludf.DUMMYFUNCTION("""COMPUTED_VALUE"""),"기타")</f>
        <v>기타</v>
      </c>
      <c r="AG104" s="214"/>
      <c r="AH104" s="214"/>
      <c r="AI104" s="214"/>
    </row>
    <row r="105">
      <c r="H105" s="208">
        <v>45701.0</v>
      </c>
      <c r="I105" s="209" t="s">
        <v>45</v>
      </c>
      <c r="J105" s="209" t="s">
        <v>44</v>
      </c>
      <c r="K105" s="210">
        <v>50000.0</v>
      </c>
      <c r="L105" s="211" t="s">
        <v>64</v>
      </c>
      <c r="M105" s="143"/>
      <c r="N105" s="213"/>
      <c r="O105" s="212"/>
      <c r="P105" s="212"/>
      <c r="Q105" s="143"/>
      <c r="R105" s="213"/>
      <c r="S105" s="212"/>
      <c r="T105" s="145"/>
      <c r="AB105" s="214" t="str">
        <f>IFERROR(__xludf.DUMMYFUNCTION("FILTER('설정시트'!$D$7:$K$20,'설정시트'!$C$7:$C$20=I105)"),"약국")</f>
        <v>약국</v>
      </c>
      <c r="AC105" s="214" t="str">
        <f>IFERROR(__xludf.DUMMYFUNCTION("""COMPUTED_VALUE"""),"병원비")</f>
        <v>병원비</v>
      </c>
      <c r="AD105" s="214" t="str">
        <f>IFERROR(__xludf.DUMMYFUNCTION("""COMPUTED_VALUE"""),"영양제")</f>
        <v>영양제</v>
      </c>
      <c r="AE105" s="214" t="str">
        <f>IFERROR(__xludf.DUMMYFUNCTION("""COMPUTED_VALUE"""),"교통비")</f>
        <v>교통비</v>
      </c>
      <c r="AF105" s="214" t="str">
        <f>IFERROR(__xludf.DUMMYFUNCTION("""COMPUTED_VALUE"""),"주유비")</f>
        <v>주유비</v>
      </c>
      <c r="AG105" s="214"/>
      <c r="AH105" s="214" t="str">
        <f>IFERROR(__xludf.DUMMYFUNCTION("""COMPUTED_VALUE"""),"기타")</f>
        <v>기타</v>
      </c>
      <c r="AI105" s="214"/>
    </row>
    <row r="106">
      <c r="H106" s="208">
        <v>45701.0</v>
      </c>
      <c r="I106" s="209" t="s">
        <v>31</v>
      </c>
      <c r="J106" s="209" t="s">
        <v>29</v>
      </c>
      <c r="K106" s="210">
        <v>1000.0</v>
      </c>
      <c r="L106" s="211" t="s">
        <v>62</v>
      </c>
      <c r="M106" s="143"/>
      <c r="N106" s="211" t="s">
        <v>330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IFERROR(__xludf.DUMMYFUNCTION("FILTER('설정시트'!$D$7:$K$20,'설정시트'!$C$7:$C$20=I106)"),"식재료비")</f>
        <v>식재료비</v>
      </c>
      <c r="AC106" s="214" t="str">
        <f>IFERROR(__xludf.DUMMYFUNCTION("""COMPUTED_VALUE"""),"회사점심")</f>
        <v>회사점심</v>
      </c>
      <c r="AD106" s="214" t="str">
        <f>IFERROR(__xludf.DUMMYFUNCTION("""COMPUTED_VALUE"""),"간식/카페")</f>
        <v>간식/카페</v>
      </c>
      <c r="AE106" s="214" t="str">
        <f>IFERROR(__xludf.DUMMYFUNCTION("""COMPUTED_VALUE"""),"외식/배달")</f>
        <v>외식/배달</v>
      </c>
      <c r="AF106" s="214" t="str">
        <f>IFERROR(__xludf.DUMMYFUNCTION("""COMPUTED_VALUE"""),"기타")</f>
        <v>기타</v>
      </c>
      <c r="AG106" s="214"/>
      <c r="AH106" s="214"/>
      <c r="AI106" s="214"/>
    </row>
    <row r="107">
      <c r="H107" s="208">
        <v>45701.0</v>
      </c>
      <c r="I107" s="209" t="s">
        <v>38</v>
      </c>
      <c r="J107" s="209" t="s">
        <v>35</v>
      </c>
      <c r="K107" s="210">
        <v>200000.0</v>
      </c>
      <c r="L107" s="211" t="s">
        <v>63</v>
      </c>
      <c r="M107" s="143"/>
      <c r="N107" s="211" t="s">
        <v>331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IFERROR(__xludf.DUMMYFUNCTION("FILTER('설정시트'!$D$7:$K$20,'설정시트'!$C$7:$C$20=I107)"),"의류/잡화")</f>
        <v>의류/잡화</v>
      </c>
      <c r="AC107" s="214" t="str">
        <f>IFERROR(__xludf.DUMMYFUNCTION("""COMPUTED_VALUE"""),"OTT")</f>
        <v>OTT</v>
      </c>
      <c r="AD107" s="214" t="str">
        <f>IFERROR(__xludf.DUMMYFUNCTION("""COMPUTED_VALUE"""),"문화생활")</f>
        <v>문화생활</v>
      </c>
      <c r="AE107" s="214" t="str">
        <f>IFERROR(__xludf.DUMMYFUNCTION("""COMPUTED_VALUE"""),"자기계발")</f>
        <v>자기계발</v>
      </c>
      <c r="AF107" s="214" t="str">
        <f>IFERROR(__xludf.DUMMYFUNCTION("""COMPUTED_VALUE"""),"미용")</f>
        <v>미용</v>
      </c>
      <c r="AG107" s="214"/>
      <c r="AH107" s="214" t="str">
        <f>IFERROR(__xludf.DUMMYFUNCTION("""COMPUTED_VALUE"""),"기타")</f>
        <v>기타</v>
      </c>
      <c r="AI107" s="214"/>
    </row>
    <row r="108">
      <c r="H108" s="208">
        <v>45701.0</v>
      </c>
      <c r="I108" s="209" t="s">
        <v>26</v>
      </c>
      <c r="J108" s="209" t="s">
        <v>28</v>
      </c>
      <c r="K108" s="210">
        <v>13000.0</v>
      </c>
      <c r="L108" s="211" t="s">
        <v>59</v>
      </c>
      <c r="M108" s="143"/>
      <c r="N108" s="211" t="s">
        <v>332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IFERROR(__xludf.DUMMYFUNCTION("FILTER('설정시트'!$D$7:$K$20,'설정시트'!$C$7:$C$20=I108)"),"식재료비")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</row>
    <row r="109">
      <c r="H109" s="208">
        <v>45701.0</v>
      </c>
      <c r="I109" s="209" t="s">
        <v>26</v>
      </c>
      <c r="J109" s="209" t="s">
        <v>30</v>
      </c>
      <c r="K109" s="216">
        <v>25600.0</v>
      </c>
      <c r="L109" s="211" t="s">
        <v>59</v>
      </c>
      <c r="M109" s="143"/>
      <c r="N109" s="211" t="s">
        <v>333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IFERROR(__xludf.DUMMYFUNCTION("FILTER('설정시트'!$D$7:$K$20,'설정시트'!$C$7:$C$20=I109)"),"식재료비")</f>
        <v>식재료비</v>
      </c>
      <c r="AC109" s="214" t="str">
        <f>IFERROR(__xludf.DUMMYFUNCTION("""COMPUTED_VALUE"""),"회사점심")</f>
        <v>회사점심</v>
      </c>
      <c r="AD109" s="214" t="str">
        <f>IFERROR(__xludf.DUMMYFUNCTION("""COMPUTED_VALUE"""),"간식/카페")</f>
        <v>간식/카페</v>
      </c>
      <c r="AE109" s="214" t="str">
        <f>IFERROR(__xludf.DUMMYFUNCTION("""COMPUTED_VALUE"""),"외식/배달")</f>
        <v>외식/배달</v>
      </c>
      <c r="AF109" s="214" t="str">
        <f>IFERROR(__xludf.DUMMYFUNCTION("""COMPUTED_VALUE"""),"기타")</f>
        <v>기타</v>
      </c>
      <c r="AG109" s="214"/>
      <c r="AH109" s="214"/>
      <c r="AI109" s="214"/>
    </row>
    <row r="110">
      <c r="H110" s="208">
        <v>45701.0</v>
      </c>
      <c r="I110" s="209" t="s">
        <v>39</v>
      </c>
      <c r="J110" s="209" t="s">
        <v>42</v>
      </c>
      <c r="K110" s="216">
        <v>15780.0</v>
      </c>
      <c r="L110" s="211" t="s">
        <v>59</v>
      </c>
      <c r="M110" s="143"/>
      <c r="N110" s="211" t="s">
        <v>334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IFERROR(__xludf.DUMMYFUNCTION("FILTER('설정시트'!$D$7:$K$20,'설정시트'!$C$7:$C$20=I110)"),"약국")</f>
        <v>약국</v>
      </c>
      <c r="AC110" s="214" t="str">
        <f>IFERROR(__xludf.DUMMYFUNCTION("""COMPUTED_VALUE"""),"병원비")</f>
        <v>병원비</v>
      </c>
      <c r="AD110" s="214" t="str">
        <f>IFERROR(__xludf.DUMMYFUNCTION("""COMPUTED_VALUE"""),"영양제")</f>
        <v>영양제</v>
      </c>
      <c r="AE110" s="214" t="str">
        <f>IFERROR(__xludf.DUMMYFUNCTION("""COMPUTED_VALUE"""),"교통비")</f>
        <v>교통비</v>
      </c>
      <c r="AF110" s="214" t="str">
        <f>IFERROR(__xludf.DUMMYFUNCTION("""COMPUTED_VALUE"""),"주유비")</f>
        <v>주유비</v>
      </c>
      <c r="AG110" s="214"/>
      <c r="AH110" s="214" t="str">
        <f>IFERROR(__xludf.DUMMYFUNCTION("""COMPUTED_VALUE"""),"기타")</f>
        <v>기타</v>
      </c>
      <c r="AI110" s="214"/>
    </row>
    <row r="111">
      <c r="H111" s="208">
        <v>45702.0</v>
      </c>
      <c r="I111" s="209" t="s">
        <v>45</v>
      </c>
      <c r="J111" s="209" t="s">
        <v>41</v>
      </c>
      <c r="K111" s="210">
        <v>5500.0</v>
      </c>
      <c r="L111" s="211" t="s">
        <v>64</v>
      </c>
      <c r="M111" s="143"/>
      <c r="N111" s="211" t="s">
        <v>335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IFERROR(__xludf.DUMMYFUNCTION("FILTER('설정시트'!$D$7:$K$20,'설정시트'!$C$7:$C$20=I111)"),"약국")</f>
        <v>약국</v>
      </c>
      <c r="AC111" s="214" t="str">
        <f>IFERROR(__xludf.DUMMYFUNCTION("""COMPUTED_VALUE"""),"병원비")</f>
        <v>병원비</v>
      </c>
      <c r="AD111" s="214" t="str">
        <f>IFERROR(__xludf.DUMMYFUNCTION("""COMPUTED_VALUE"""),"영양제")</f>
        <v>영양제</v>
      </c>
      <c r="AE111" s="214" t="str">
        <f>IFERROR(__xludf.DUMMYFUNCTION("""COMPUTED_VALUE"""),"교통비")</f>
        <v>교통비</v>
      </c>
      <c r="AF111" s="214" t="str">
        <f>IFERROR(__xludf.DUMMYFUNCTION("""COMPUTED_VALUE"""),"주유비")</f>
        <v>주유비</v>
      </c>
      <c r="AG111" s="214"/>
      <c r="AH111" s="214" t="str">
        <f>IFERROR(__xludf.DUMMYFUNCTION("""COMPUTED_VALUE"""),"기타")</f>
        <v>기타</v>
      </c>
      <c r="AI111" s="214"/>
    </row>
    <row r="112">
      <c r="H112" s="208">
        <v>45702.0</v>
      </c>
      <c r="I112" s="209" t="s">
        <v>45</v>
      </c>
      <c r="J112" s="209" t="s">
        <v>40</v>
      </c>
      <c r="K112" s="210">
        <v>2700.0</v>
      </c>
      <c r="L112" s="211" t="s">
        <v>64</v>
      </c>
      <c r="M112" s="143"/>
      <c r="N112" s="211" t="s">
        <v>336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IFERROR(__xludf.DUMMYFUNCTION("FILTER('설정시트'!$D$7:$K$20,'설정시트'!$C$7:$C$20=I112)"),"약국")</f>
        <v>약국</v>
      </c>
      <c r="AC112" s="214" t="str">
        <f>IFERROR(__xludf.DUMMYFUNCTION("""COMPUTED_VALUE"""),"병원비")</f>
        <v>병원비</v>
      </c>
      <c r="AD112" s="214" t="str">
        <f>IFERROR(__xludf.DUMMYFUNCTION("""COMPUTED_VALUE"""),"영양제")</f>
        <v>영양제</v>
      </c>
      <c r="AE112" s="214" t="str">
        <f>IFERROR(__xludf.DUMMYFUNCTION("""COMPUTED_VALUE"""),"교통비")</f>
        <v>교통비</v>
      </c>
      <c r="AF112" s="214" t="str">
        <f>IFERROR(__xludf.DUMMYFUNCTION("""COMPUTED_VALUE"""),"주유비")</f>
        <v>주유비</v>
      </c>
      <c r="AG112" s="214"/>
      <c r="AH112" s="214" t="str">
        <f>IFERROR(__xludf.DUMMYFUNCTION("""COMPUTED_VALUE"""),"기타")</f>
        <v>기타</v>
      </c>
      <c r="AI112" s="214"/>
    </row>
    <row r="113">
      <c r="H113" s="208">
        <v>45702.0</v>
      </c>
      <c r="I113" s="209" t="s">
        <v>25</v>
      </c>
      <c r="J113" s="209" t="s">
        <v>24</v>
      </c>
      <c r="K113" s="210">
        <v>198900.0</v>
      </c>
      <c r="L113" s="211" t="s">
        <v>64</v>
      </c>
      <c r="M113" s="143"/>
      <c r="N113" s="211" t="s">
        <v>337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IFERROR(__xludf.DUMMYFUNCTION("FILTER('설정시트'!$D$7:$K$20,'설정시트'!$C$7:$C$20=I113)"),"주방/욕실")</f>
        <v>주방/욕실</v>
      </c>
      <c r="AC113" s="214" t="str">
        <f>IFERROR(__xludf.DUMMYFUNCTION("""COMPUTED_VALUE"""),"소모품")</f>
        <v>소모품</v>
      </c>
      <c r="AD113" s="214" t="str">
        <f>IFERROR(__xludf.DUMMYFUNCTION("""COMPUTED_VALUE"""),"기타")</f>
        <v>기타</v>
      </c>
      <c r="AE113" s="214"/>
      <c r="AF113" s="214"/>
      <c r="AG113" s="214"/>
      <c r="AH113" s="214"/>
      <c r="AI113" s="214"/>
    </row>
    <row r="114">
      <c r="H114" s="208">
        <v>45702.0</v>
      </c>
      <c r="I114" s="209" t="s">
        <v>26</v>
      </c>
      <c r="J114" s="209" t="s">
        <v>30</v>
      </c>
      <c r="K114" s="216">
        <v>28100.0</v>
      </c>
      <c r="L114" s="211" t="s">
        <v>59</v>
      </c>
      <c r="M114" s="143"/>
      <c r="N114" s="211" t="s">
        <v>311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IFERROR(__xludf.DUMMYFUNCTION("FILTER('설정시트'!$D$7:$K$20,'설정시트'!$C$7:$C$20=I114)"),"식재료비")</f>
        <v>식재료비</v>
      </c>
      <c r="AC114" s="214" t="str">
        <f>IFERROR(__xludf.DUMMYFUNCTION("""COMPUTED_VALUE"""),"회사점심")</f>
        <v>회사점심</v>
      </c>
      <c r="AD114" s="214" t="str">
        <f>IFERROR(__xludf.DUMMYFUNCTION("""COMPUTED_VALUE"""),"간식/카페")</f>
        <v>간식/카페</v>
      </c>
      <c r="AE114" s="214" t="str">
        <f>IFERROR(__xludf.DUMMYFUNCTION("""COMPUTED_VALUE"""),"외식/배달")</f>
        <v>외식/배달</v>
      </c>
      <c r="AF114" s="214" t="str">
        <f>IFERROR(__xludf.DUMMYFUNCTION("""COMPUTED_VALUE"""),"기타")</f>
        <v>기타</v>
      </c>
      <c r="AG114" s="214"/>
      <c r="AH114" s="214"/>
      <c r="AI114" s="214"/>
    </row>
    <row r="115">
      <c r="H115" s="208">
        <v>45702.0</v>
      </c>
      <c r="I115" s="209" t="s">
        <v>26</v>
      </c>
      <c r="J115" s="209" t="s">
        <v>30</v>
      </c>
      <c r="K115" s="216">
        <v>18000.0</v>
      </c>
      <c r="L115" s="211" t="s">
        <v>59</v>
      </c>
      <c r="M115" s="143"/>
      <c r="N115" s="211" t="s">
        <v>338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IFERROR(__xludf.DUMMYFUNCTION("FILTER('설정시트'!$D$7:$K$20,'설정시트'!$C$7:$C$20=I115)"),"식재료비")</f>
        <v>식재료비</v>
      </c>
      <c r="AC115" s="214" t="str">
        <f>IFERROR(__xludf.DUMMYFUNCTION("""COMPUTED_VALUE"""),"회사점심")</f>
        <v>회사점심</v>
      </c>
      <c r="AD115" s="214" t="str">
        <f>IFERROR(__xludf.DUMMYFUNCTION("""COMPUTED_VALUE"""),"간식/카페")</f>
        <v>간식/카페</v>
      </c>
      <c r="AE115" s="214" t="str">
        <f>IFERROR(__xludf.DUMMYFUNCTION("""COMPUTED_VALUE"""),"외식/배달")</f>
        <v>외식/배달</v>
      </c>
      <c r="AF115" s="214" t="str">
        <f>IFERROR(__xludf.DUMMYFUNCTION("""COMPUTED_VALUE"""),"기타")</f>
        <v>기타</v>
      </c>
      <c r="AG115" s="214"/>
      <c r="AH115" s="214"/>
      <c r="AI115" s="214"/>
    </row>
    <row r="116">
      <c r="H116" s="208">
        <v>45703.0</v>
      </c>
      <c r="I116" s="209" t="s">
        <v>26</v>
      </c>
      <c r="J116" s="209" t="s">
        <v>30</v>
      </c>
      <c r="K116" s="216">
        <v>47300.0</v>
      </c>
      <c r="L116" s="211" t="s">
        <v>59</v>
      </c>
      <c r="M116" s="143"/>
      <c r="N116" s="211" t="s">
        <v>311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IFERROR(__xludf.DUMMYFUNCTION("FILTER('설정시트'!$D$7:$K$20,'설정시트'!$C$7:$C$20=I116)"),"식재료비")</f>
        <v>식재료비</v>
      </c>
      <c r="AC116" s="214" t="str">
        <f>IFERROR(__xludf.DUMMYFUNCTION("""COMPUTED_VALUE"""),"회사점심")</f>
        <v>회사점심</v>
      </c>
      <c r="AD116" s="214" t="str">
        <f>IFERROR(__xludf.DUMMYFUNCTION("""COMPUTED_VALUE"""),"간식/카페")</f>
        <v>간식/카페</v>
      </c>
      <c r="AE116" s="214" t="str">
        <f>IFERROR(__xludf.DUMMYFUNCTION("""COMPUTED_VALUE"""),"외식/배달")</f>
        <v>외식/배달</v>
      </c>
      <c r="AF116" s="214" t="str">
        <f>IFERROR(__xludf.DUMMYFUNCTION("""COMPUTED_VALUE"""),"기타")</f>
        <v>기타</v>
      </c>
      <c r="AG116" s="214"/>
      <c r="AH116" s="214"/>
      <c r="AI116" s="214"/>
    </row>
    <row r="117">
      <c r="H117" s="208">
        <v>45703.0</v>
      </c>
      <c r="I117" s="209" t="s">
        <v>26</v>
      </c>
      <c r="J117" s="209" t="s">
        <v>30</v>
      </c>
      <c r="K117" s="216">
        <v>11900.0</v>
      </c>
      <c r="L117" s="211" t="s">
        <v>59</v>
      </c>
      <c r="M117" s="143"/>
      <c r="N117" s="211" t="s">
        <v>338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IFERROR(__xludf.DUMMYFUNCTION("FILTER('설정시트'!$D$7:$K$20,'설정시트'!$C$7:$C$20=I117)"),"식재료비")</f>
        <v>식재료비</v>
      </c>
      <c r="AC117" s="214" t="str">
        <f>IFERROR(__xludf.DUMMYFUNCTION("""COMPUTED_VALUE"""),"회사점심")</f>
        <v>회사점심</v>
      </c>
      <c r="AD117" s="214" t="str">
        <f>IFERROR(__xludf.DUMMYFUNCTION("""COMPUTED_VALUE"""),"간식/카페")</f>
        <v>간식/카페</v>
      </c>
      <c r="AE117" s="214" t="str">
        <f>IFERROR(__xludf.DUMMYFUNCTION("""COMPUTED_VALUE"""),"외식/배달")</f>
        <v>외식/배달</v>
      </c>
      <c r="AF117" s="214" t="str">
        <f>IFERROR(__xludf.DUMMYFUNCTION("""COMPUTED_VALUE"""),"기타")</f>
        <v>기타</v>
      </c>
      <c r="AG117" s="214"/>
      <c r="AH117" s="214"/>
      <c r="AI117" s="214"/>
    </row>
    <row r="118">
      <c r="H118" s="208">
        <v>45703.0</v>
      </c>
      <c r="I118" s="209" t="s">
        <v>26</v>
      </c>
      <c r="J118" s="209" t="s">
        <v>30</v>
      </c>
      <c r="K118" s="216">
        <v>89000.0</v>
      </c>
      <c r="L118" s="211" t="s">
        <v>59</v>
      </c>
      <c r="M118" s="143"/>
      <c r="N118" s="211" t="s">
        <v>339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IFERROR(__xludf.DUMMYFUNCTION("FILTER('설정시트'!$D$7:$K$20,'설정시트'!$C$7:$C$20=I118)"),"식재료비")</f>
        <v>식재료비</v>
      </c>
      <c r="AC118" s="214" t="str">
        <f>IFERROR(__xludf.DUMMYFUNCTION("""COMPUTED_VALUE"""),"회사점심")</f>
        <v>회사점심</v>
      </c>
      <c r="AD118" s="214" t="str">
        <f>IFERROR(__xludf.DUMMYFUNCTION("""COMPUTED_VALUE"""),"간식/카페")</f>
        <v>간식/카페</v>
      </c>
      <c r="AE118" s="214" t="str">
        <f>IFERROR(__xludf.DUMMYFUNCTION("""COMPUTED_VALUE"""),"외식/배달")</f>
        <v>외식/배달</v>
      </c>
      <c r="AF118" s="214" t="str">
        <f>IFERROR(__xludf.DUMMYFUNCTION("""COMPUTED_VALUE"""),"기타")</f>
        <v>기타</v>
      </c>
      <c r="AG118" s="214"/>
      <c r="AH118" s="214"/>
      <c r="AI118" s="214"/>
    </row>
    <row r="119">
      <c r="H119" s="208">
        <v>45703.0</v>
      </c>
      <c r="I119" s="209" t="s">
        <v>26</v>
      </c>
      <c r="J119" s="209" t="s">
        <v>30</v>
      </c>
      <c r="K119" s="216">
        <v>31000.0</v>
      </c>
      <c r="L119" s="211" t="s">
        <v>59</v>
      </c>
      <c r="M119" s="143"/>
      <c r="N119" s="211" t="s">
        <v>340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IFERROR(__xludf.DUMMYFUNCTION("FILTER('설정시트'!$D$7:$K$20,'설정시트'!$C$7:$C$20=I119)"),"식재료비")</f>
        <v>식재료비</v>
      </c>
      <c r="AC119" s="214" t="str">
        <f>IFERROR(__xludf.DUMMYFUNCTION("""COMPUTED_VALUE"""),"회사점심")</f>
        <v>회사점심</v>
      </c>
      <c r="AD119" s="214" t="str">
        <f>IFERROR(__xludf.DUMMYFUNCTION("""COMPUTED_VALUE"""),"간식/카페")</f>
        <v>간식/카페</v>
      </c>
      <c r="AE119" s="214" t="str">
        <f>IFERROR(__xludf.DUMMYFUNCTION("""COMPUTED_VALUE"""),"외식/배달")</f>
        <v>외식/배달</v>
      </c>
      <c r="AF119" s="214" t="str">
        <f>IFERROR(__xludf.DUMMYFUNCTION("""COMPUTED_VALUE"""),"기타")</f>
        <v>기타</v>
      </c>
      <c r="AG119" s="214"/>
      <c r="AH119" s="214"/>
      <c r="AI119" s="214"/>
    </row>
    <row r="120">
      <c r="H120" s="208">
        <v>45704.0</v>
      </c>
      <c r="I120" s="209" t="s">
        <v>45</v>
      </c>
      <c r="J120" s="209" t="s">
        <v>43</v>
      </c>
      <c r="K120" s="216">
        <v>3000.0</v>
      </c>
      <c r="L120" s="211" t="s">
        <v>64</v>
      </c>
      <c r="M120" s="143"/>
      <c r="N120" s="211" t="s">
        <v>341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IFERROR(__xludf.DUMMYFUNCTION("FILTER('설정시트'!$D$7:$K$20,'설정시트'!$C$7:$C$20=I120)"),"약국")</f>
        <v>약국</v>
      </c>
      <c r="AC120" s="214" t="str">
        <f>IFERROR(__xludf.DUMMYFUNCTION("""COMPUTED_VALUE"""),"병원비")</f>
        <v>병원비</v>
      </c>
      <c r="AD120" s="214" t="str">
        <f>IFERROR(__xludf.DUMMYFUNCTION("""COMPUTED_VALUE"""),"영양제")</f>
        <v>영양제</v>
      </c>
      <c r="AE120" s="214" t="str">
        <f>IFERROR(__xludf.DUMMYFUNCTION("""COMPUTED_VALUE"""),"교통비")</f>
        <v>교통비</v>
      </c>
      <c r="AF120" s="214" t="str">
        <f>IFERROR(__xludf.DUMMYFUNCTION("""COMPUTED_VALUE"""),"주유비")</f>
        <v>주유비</v>
      </c>
      <c r="AG120" s="214"/>
      <c r="AH120" s="214" t="str">
        <f>IFERROR(__xludf.DUMMYFUNCTION("""COMPUTED_VALUE"""),"기타")</f>
        <v>기타</v>
      </c>
      <c r="AI120" s="214"/>
    </row>
    <row r="121">
      <c r="H121" s="208">
        <v>45705.0</v>
      </c>
      <c r="I121" s="209" t="s">
        <v>26</v>
      </c>
      <c r="J121" s="209" t="s">
        <v>28</v>
      </c>
      <c r="K121" s="216">
        <v>20800.0</v>
      </c>
      <c r="L121" s="211" t="s">
        <v>58</v>
      </c>
      <c r="M121" s="143"/>
      <c r="N121" s="211" t="s">
        <v>342</v>
      </c>
      <c r="O121" s="212"/>
      <c r="P121" s="212"/>
      <c r="Q121" s="143"/>
      <c r="R121" s="211" t="s">
        <v>343</v>
      </c>
      <c r="S121" s="212"/>
      <c r="T121" s="145"/>
      <c r="AB121" s="214" t="str">
        <f>IFERROR(__xludf.DUMMYFUNCTION("FILTER('설정시트'!$D$7:$K$20,'설정시트'!$C$7:$C$20=I121)"),"식재료비")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</row>
    <row r="122">
      <c r="H122" s="208">
        <v>45705.0</v>
      </c>
      <c r="I122" s="209" t="s">
        <v>26</v>
      </c>
      <c r="J122" s="209" t="s">
        <v>30</v>
      </c>
      <c r="K122" s="210">
        <v>19800.0</v>
      </c>
      <c r="L122" s="211" t="s">
        <v>58</v>
      </c>
      <c r="M122" s="143"/>
      <c r="N122" s="211" t="s">
        <v>344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IFERROR(__xludf.DUMMYFUNCTION("FILTER('설정시트'!$D$7:$K$20,'설정시트'!$C$7:$C$20=I122)"),"식재료비")</f>
        <v>식재료비</v>
      </c>
      <c r="AC122" s="214" t="str">
        <f>IFERROR(__xludf.DUMMYFUNCTION("""COMPUTED_VALUE"""),"회사점심")</f>
        <v>회사점심</v>
      </c>
      <c r="AD122" s="214" t="str">
        <f>IFERROR(__xludf.DUMMYFUNCTION("""COMPUTED_VALUE"""),"간식/카페")</f>
        <v>간식/카페</v>
      </c>
      <c r="AE122" s="214" t="str">
        <f>IFERROR(__xludf.DUMMYFUNCTION("""COMPUTED_VALUE"""),"외식/배달")</f>
        <v>외식/배달</v>
      </c>
      <c r="AF122" s="214" t="str">
        <f>IFERROR(__xludf.DUMMYFUNCTION("""COMPUTED_VALUE"""),"기타")</f>
        <v>기타</v>
      </c>
      <c r="AG122" s="214"/>
      <c r="AH122" s="214"/>
      <c r="AI122" s="214"/>
    </row>
    <row r="123">
      <c r="H123" s="208">
        <v>45705.0</v>
      </c>
      <c r="I123" s="209" t="s">
        <v>26</v>
      </c>
      <c r="J123" s="209" t="s">
        <v>28</v>
      </c>
      <c r="K123" s="216">
        <f>20800+19800</f>
        <v>40600</v>
      </c>
      <c r="L123" s="211" t="s">
        <v>58</v>
      </c>
      <c r="M123" s="143"/>
      <c r="N123" s="211" t="s">
        <v>345</v>
      </c>
      <c r="O123" s="212"/>
      <c r="P123" s="212"/>
      <c r="Q123" s="143"/>
      <c r="R123" s="211" t="s">
        <v>327</v>
      </c>
      <c r="S123" s="212"/>
      <c r="T123" s="145"/>
      <c r="AB123" s="214" t="str">
        <f>IFERROR(__xludf.DUMMYFUNCTION("FILTER('설정시트'!$D$7:$K$20,'설정시트'!$C$7:$C$20=I123)"),"식재료비")</f>
        <v>식재료비</v>
      </c>
      <c r="AC123" s="214" t="str">
        <f>IFERROR(__xludf.DUMMYFUNCTION("""COMPUTED_VALUE"""),"회사점심")</f>
        <v>회사점심</v>
      </c>
      <c r="AD123" s="214" t="str">
        <f>IFERROR(__xludf.DUMMYFUNCTION("""COMPUTED_VALUE"""),"간식/카페")</f>
        <v>간식/카페</v>
      </c>
      <c r="AE123" s="214" t="str">
        <f>IFERROR(__xludf.DUMMYFUNCTION("""COMPUTED_VALUE"""),"외식/배달")</f>
        <v>외식/배달</v>
      </c>
      <c r="AF123" s="214" t="str">
        <f>IFERROR(__xludf.DUMMYFUNCTION("""COMPUTED_VALUE"""),"기타")</f>
        <v>기타</v>
      </c>
      <c r="AG123" s="214"/>
      <c r="AH123" s="214"/>
      <c r="AI123" s="214"/>
    </row>
    <row r="124">
      <c r="H124" s="208">
        <v>45705.0</v>
      </c>
      <c r="I124" s="217" t="s">
        <v>14</v>
      </c>
      <c r="J124" s="217" t="s">
        <v>16</v>
      </c>
      <c r="K124" s="218">
        <v>400000.0</v>
      </c>
      <c r="L124" s="211" t="s">
        <v>55</v>
      </c>
      <c r="M124" s="143"/>
      <c r="N124" s="211" t="s">
        <v>16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IFERROR(__xludf.DUMMYFUNCTION("FILTER('설정시트'!$D$7:$K$20,'설정시트'!$C$7:$C$20=I124)"),"관리비")</f>
        <v>관리비</v>
      </c>
      <c r="AC124" s="214" t="str">
        <f>IFERROR(__xludf.DUMMYFUNCTION("""COMPUTED_VALUE"""),"월세")</f>
        <v>월세</v>
      </c>
      <c r="AD124" s="214" t="str">
        <f>IFERROR(__xludf.DUMMYFUNCTION("""COMPUTED_VALUE"""),"대출이자")</f>
        <v>대출이자</v>
      </c>
      <c r="AE124" s="214" t="str">
        <f>IFERROR(__xludf.DUMMYFUNCTION("""COMPUTED_VALUE"""),"통신비")</f>
        <v>통신비</v>
      </c>
      <c r="AF124" s="214" t="str">
        <f>IFERROR(__xludf.DUMMYFUNCTION("""COMPUTED_VALUE"""),"보험료")</f>
        <v>보험료</v>
      </c>
      <c r="AG124" s="214"/>
      <c r="AH124" s="214" t="str">
        <f>IFERROR(__xludf.DUMMYFUNCTION("""COMPUTED_VALUE"""),"곗돈")</f>
        <v>곗돈</v>
      </c>
      <c r="AI124" s="214"/>
    </row>
    <row r="125">
      <c r="H125" s="208">
        <v>45705.0</v>
      </c>
      <c r="I125" s="217" t="s">
        <v>38</v>
      </c>
      <c r="J125" s="217" t="s">
        <v>33</v>
      </c>
      <c r="K125" s="218">
        <v>426850.0</v>
      </c>
      <c r="L125" s="211" t="s">
        <v>61</v>
      </c>
      <c r="M125" s="143"/>
      <c r="N125" s="211" t="s">
        <v>346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IFERROR(__xludf.DUMMYFUNCTION("FILTER('설정시트'!$D$7:$K$20,'설정시트'!$C$7:$C$20=I125)"),"의류/잡화")</f>
        <v>의류/잡화</v>
      </c>
      <c r="AC125" s="214" t="str">
        <f>IFERROR(__xludf.DUMMYFUNCTION("""COMPUTED_VALUE"""),"OTT")</f>
        <v>OTT</v>
      </c>
      <c r="AD125" s="214" t="str">
        <f>IFERROR(__xludf.DUMMYFUNCTION("""COMPUTED_VALUE"""),"문화생활")</f>
        <v>문화생활</v>
      </c>
      <c r="AE125" s="214" t="str">
        <f>IFERROR(__xludf.DUMMYFUNCTION("""COMPUTED_VALUE"""),"자기계발")</f>
        <v>자기계발</v>
      </c>
      <c r="AF125" s="214" t="str">
        <f>IFERROR(__xludf.DUMMYFUNCTION("""COMPUTED_VALUE"""),"미용")</f>
        <v>미용</v>
      </c>
      <c r="AG125" s="214"/>
      <c r="AH125" s="214" t="str">
        <f>IFERROR(__xludf.DUMMYFUNCTION("""COMPUTED_VALUE"""),"기타")</f>
        <v>기타</v>
      </c>
      <c r="AI125" s="214"/>
    </row>
    <row r="126">
      <c r="H126" s="208">
        <v>45706.0</v>
      </c>
      <c r="I126" s="209" t="s">
        <v>26</v>
      </c>
      <c r="J126" s="209" t="s">
        <v>28</v>
      </c>
      <c r="K126" s="216">
        <v>21800.0</v>
      </c>
      <c r="L126" s="211" t="s">
        <v>58</v>
      </c>
      <c r="M126" s="143"/>
      <c r="N126" s="211" t="s">
        <v>345</v>
      </c>
      <c r="O126" s="212"/>
      <c r="P126" s="212"/>
      <c r="Q126" s="143"/>
      <c r="R126" s="211" t="s">
        <v>347</v>
      </c>
      <c r="S126" s="212"/>
      <c r="T126" s="145"/>
      <c r="AB126" s="214" t="str">
        <f>IFERROR(__xludf.DUMMYFUNCTION("FILTER('설정시트'!$D$7:$K$20,'설정시트'!$C$7:$C$20=I126)"),"식재료비")</f>
        <v>식재료비</v>
      </c>
      <c r="AC126" s="214" t="str">
        <f>IFERROR(__xludf.DUMMYFUNCTION("""COMPUTED_VALUE"""),"회사점심")</f>
        <v>회사점심</v>
      </c>
      <c r="AD126" s="214" t="str">
        <f>IFERROR(__xludf.DUMMYFUNCTION("""COMPUTED_VALUE"""),"간식/카페")</f>
        <v>간식/카페</v>
      </c>
      <c r="AE126" s="214" t="str">
        <f>IFERROR(__xludf.DUMMYFUNCTION("""COMPUTED_VALUE"""),"외식/배달")</f>
        <v>외식/배달</v>
      </c>
      <c r="AF126" s="214" t="str">
        <f>IFERROR(__xludf.DUMMYFUNCTION("""COMPUTED_VALUE"""),"기타")</f>
        <v>기타</v>
      </c>
      <c r="AG126" s="214"/>
      <c r="AH126" s="214"/>
      <c r="AI126" s="214"/>
    </row>
    <row r="127">
      <c r="H127" s="208">
        <v>45706.0</v>
      </c>
      <c r="I127" s="217" t="s">
        <v>26</v>
      </c>
      <c r="J127" s="217" t="s">
        <v>27</v>
      </c>
      <c r="K127" s="218">
        <v>33660.0</v>
      </c>
      <c r="L127" s="211" t="s">
        <v>58</v>
      </c>
      <c r="M127" s="143"/>
      <c r="N127" s="211" t="s">
        <v>348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IFERROR(__xludf.DUMMYFUNCTION("FILTER('설정시트'!$D$7:$K$20,'설정시트'!$C$7:$C$20=I127)"),"식재료비")</f>
        <v>식재료비</v>
      </c>
      <c r="AC127" s="214" t="str">
        <f>IFERROR(__xludf.DUMMYFUNCTION("""COMPUTED_VALUE"""),"회사점심")</f>
        <v>회사점심</v>
      </c>
      <c r="AD127" s="214" t="str">
        <f>IFERROR(__xludf.DUMMYFUNCTION("""COMPUTED_VALUE"""),"간식/카페")</f>
        <v>간식/카페</v>
      </c>
      <c r="AE127" s="214" t="str">
        <f>IFERROR(__xludf.DUMMYFUNCTION("""COMPUTED_VALUE"""),"외식/배달")</f>
        <v>외식/배달</v>
      </c>
      <c r="AF127" s="214" t="str">
        <f>IFERROR(__xludf.DUMMYFUNCTION("""COMPUTED_VALUE"""),"기타")</f>
        <v>기타</v>
      </c>
      <c r="AG127" s="214"/>
      <c r="AH127" s="214"/>
      <c r="AI127" s="214"/>
    </row>
    <row r="128">
      <c r="H128" s="208">
        <v>45706.0</v>
      </c>
      <c r="I128" s="217" t="s">
        <v>26</v>
      </c>
      <c r="J128" s="217" t="s">
        <v>27</v>
      </c>
      <c r="K128" s="218">
        <v>54321.0</v>
      </c>
      <c r="L128" s="211" t="s">
        <v>55</v>
      </c>
      <c r="M128" s="143"/>
      <c r="N128" s="211" t="s">
        <v>349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IFERROR(__xludf.DUMMYFUNCTION("FILTER('설정시트'!$D$7:$K$20,'설정시트'!$C$7:$C$20=I128)"),"식재료비")</f>
        <v>식재료비</v>
      </c>
      <c r="AC128" s="214" t="str">
        <f>IFERROR(__xludf.DUMMYFUNCTION("""COMPUTED_VALUE"""),"회사점심")</f>
        <v>회사점심</v>
      </c>
      <c r="AD128" s="214" t="str">
        <f>IFERROR(__xludf.DUMMYFUNCTION("""COMPUTED_VALUE"""),"간식/카페")</f>
        <v>간식/카페</v>
      </c>
      <c r="AE128" s="214" t="str">
        <f>IFERROR(__xludf.DUMMYFUNCTION("""COMPUTED_VALUE"""),"외식/배달")</f>
        <v>외식/배달</v>
      </c>
      <c r="AF128" s="214" t="str">
        <f>IFERROR(__xludf.DUMMYFUNCTION("""COMPUTED_VALUE"""),"기타")</f>
        <v>기타</v>
      </c>
      <c r="AG128" s="214"/>
      <c r="AH128" s="214"/>
      <c r="AI128" s="214"/>
    </row>
    <row r="129">
      <c r="H129" s="208">
        <v>45707.0</v>
      </c>
      <c r="I129" s="217" t="s">
        <v>25</v>
      </c>
      <c r="J129" s="217" t="s">
        <v>23</v>
      </c>
      <c r="K129" s="218">
        <v>74178.0</v>
      </c>
      <c r="L129" s="211" t="s">
        <v>64</v>
      </c>
      <c r="M129" s="143"/>
      <c r="N129" s="211" t="s">
        <v>350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IFERROR(__xludf.DUMMYFUNCTION("FILTER('설정시트'!$D$7:$K$20,'설정시트'!$C$7:$C$20=I129)"),"주방/욕실")</f>
        <v>주방/욕실</v>
      </c>
      <c r="AC129" s="214" t="str">
        <f>IFERROR(__xludf.DUMMYFUNCTION("""COMPUTED_VALUE"""),"소모품")</f>
        <v>소모품</v>
      </c>
      <c r="AD129" s="214" t="str">
        <f>IFERROR(__xludf.DUMMYFUNCTION("""COMPUTED_VALUE"""),"기타")</f>
        <v>기타</v>
      </c>
      <c r="AE129" s="214"/>
      <c r="AF129" s="214"/>
      <c r="AG129" s="214"/>
      <c r="AH129" s="214"/>
      <c r="AI129" s="214"/>
    </row>
    <row r="130">
      <c r="H130" s="208">
        <v>45707.0</v>
      </c>
      <c r="I130" s="217" t="s">
        <v>21</v>
      </c>
      <c r="J130" s="217" t="s">
        <v>15</v>
      </c>
      <c r="K130" s="218">
        <v>99470.0</v>
      </c>
      <c r="L130" s="211" t="s">
        <v>62</v>
      </c>
      <c r="M130" s="143"/>
      <c r="N130" s="211" t="s">
        <v>351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IFERROR(__xludf.DUMMYFUNCTION("FILTER('설정시트'!$D$7:$K$20,'설정시트'!$C$7:$C$20=I130)"),"관리비")</f>
        <v>관리비</v>
      </c>
      <c r="AC130" s="214" t="str">
        <f>IFERROR(__xludf.DUMMYFUNCTION("""COMPUTED_VALUE"""),"대출이자")</f>
        <v>대출이자</v>
      </c>
      <c r="AD130" s="214" t="str">
        <f>IFERROR(__xludf.DUMMYFUNCTION("""COMPUTED_VALUE"""),"통신비")</f>
        <v>통신비</v>
      </c>
      <c r="AE130" s="214" t="str">
        <f>IFERROR(__xludf.DUMMYFUNCTION("""COMPUTED_VALUE"""),"보험료")</f>
        <v>보험료</v>
      </c>
      <c r="AF130" s="214" t="str">
        <f>IFERROR(__xludf.DUMMYFUNCTION("""COMPUTED_VALUE"""),"곗돈")</f>
        <v>곗돈</v>
      </c>
      <c r="AG130" s="214"/>
      <c r="AH130" s="214"/>
      <c r="AI130" s="214"/>
    </row>
    <row r="131">
      <c r="H131" s="208">
        <v>45707.0</v>
      </c>
      <c r="I131" s="217" t="s">
        <v>26</v>
      </c>
      <c r="J131" s="217" t="s">
        <v>27</v>
      </c>
      <c r="K131" s="218">
        <v>155460.0</v>
      </c>
      <c r="L131" s="211" t="s">
        <v>57</v>
      </c>
      <c r="M131" s="143"/>
      <c r="N131" s="211" t="s">
        <v>352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IFERROR(__xludf.DUMMYFUNCTION("FILTER('설정시트'!$D$7:$K$20,'설정시트'!$C$7:$C$20=I131)"),"식재료비")</f>
        <v>식재료비</v>
      </c>
      <c r="AC131" s="214" t="str">
        <f>IFERROR(__xludf.DUMMYFUNCTION("""COMPUTED_VALUE"""),"회사점심")</f>
        <v>회사점심</v>
      </c>
      <c r="AD131" s="214" t="str">
        <f>IFERROR(__xludf.DUMMYFUNCTION("""COMPUTED_VALUE"""),"간식/카페")</f>
        <v>간식/카페</v>
      </c>
      <c r="AE131" s="214" t="str">
        <f>IFERROR(__xludf.DUMMYFUNCTION("""COMPUTED_VALUE"""),"외식/배달")</f>
        <v>외식/배달</v>
      </c>
      <c r="AF131" s="214" t="str">
        <f>IFERROR(__xludf.DUMMYFUNCTION("""COMPUTED_VALUE"""),"기타")</f>
        <v>기타</v>
      </c>
      <c r="AG131" s="214"/>
      <c r="AH131" s="214"/>
      <c r="AI131" s="214"/>
    </row>
    <row r="132">
      <c r="H132" s="208">
        <v>45707.0</v>
      </c>
      <c r="I132" s="217" t="s">
        <v>26</v>
      </c>
      <c r="J132" s="217" t="s">
        <v>29</v>
      </c>
      <c r="K132" s="218">
        <v>7000.0</v>
      </c>
      <c r="L132" s="211" t="s">
        <v>58</v>
      </c>
      <c r="M132" s="143"/>
      <c r="N132" s="211" t="s">
        <v>353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IFERROR(__xludf.DUMMYFUNCTION("FILTER('설정시트'!$D$7:$K$20,'설정시트'!$C$7:$C$20=I132)"),"식재료비")</f>
        <v>식재료비</v>
      </c>
      <c r="AC132" s="214" t="str">
        <f>IFERROR(__xludf.DUMMYFUNCTION("""COMPUTED_VALUE"""),"회사점심")</f>
        <v>회사점심</v>
      </c>
      <c r="AD132" s="214" t="str">
        <f>IFERROR(__xludf.DUMMYFUNCTION("""COMPUTED_VALUE"""),"간식/카페")</f>
        <v>간식/카페</v>
      </c>
      <c r="AE132" s="214" t="str">
        <f>IFERROR(__xludf.DUMMYFUNCTION("""COMPUTED_VALUE"""),"외식/배달")</f>
        <v>외식/배달</v>
      </c>
      <c r="AF132" s="214" t="str">
        <f>IFERROR(__xludf.DUMMYFUNCTION("""COMPUTED_VALUE"""),"기타")</f>
        <v>기타</v>
      </c>
      <c r="AG132" s="214"/>
      <c r="AH132" s="214"/>
      <c r="AI132" s="214"/>
    </row>
    <row r="133">
      <c r="H133" s="208">
        <v>45707.0</v>
      </c>
      <c r="I133" s="217" t="s">
        <v>26</v>
      </c>
      <c r="J133" s="217" t="s">
        <v>28</v>
      </c>
      <c r="K133" s="218">
        <v>31700.0</v>
      </c>
      <c r="L133" s="211" t="s">
        <v>58</v>
      </c>
      <c r="M133" s="143"/>
      <c r="N133" s="211" t="s">
        <v>354</v>
      </c>
      <c r="O133" s="212"/>
      <c r="P133" s="212"/>
      <c r="Q133" s="143"/>
      <c r="R133" s="211" t="s">
        <v>355</v>
      </c>
      <c r="S133" s="212"/>
      <c r="T133" s="145"/>
      <c r="AB133" s="214" t="str">
        <f>IFERROR(__xludf.DUMMYFUNCTION("FILTER('설정시트'!$D$7:$K$20,'설정시트'!$C$7:$C$20=I133)"),"식재료비")</f>
        <v>식재료비</v>
      </c>
      <c r="AC133" s="214" t="str">
        <f>IFERROR(__xludf.DUMMYFUNCTION("""COMPUTED_VALUE"""),"회사점심")</f>
        <v>회사점심</v>
      </c>
      <c r="AD133" s="214" t="str">
        <f>IFERROR(__xludf.DUMMYFUNCTION("""COMPUTED_VALUE"""),"간식/카페")</f>
        <v>간식/카페</v>
      </c>
      <c r="AE133" s="214" t="str">
        <f>IFERROR(__xludf.DUMMYFUNCTION("""COMPUTED_VALUE"""),"외식/배달")</f>
        <v>외식/배달</v>
      </c>
      <c r="AF133" s="214" t="str">
        <f>IFERROR(__xludf.DUMMYFUNCTION("""COMPUTED_VALUE"""),"기타")</f>
        <v>기타</v>
      </c>
      <c r="AG133" s="214"/>
      <c r="AH133" s="214"/>
      <c r="AI133" s="214"/>
    </row>
    <row r="134">
      <c r="H134" s="208">
        <v>45708.0</v>
      </c>
      <c r="I134" s="217" t="s">
        <v>31</v>
      </c>
      <c r="J134" s="217" t="s">
        <v>27</v>
      </c>
      <c r="K134" s="218">
        <v>36500.0</v>
      </c>
      <c r="L134" s="211" t="s">
        <v>64</v>
      </c>
      <c r="M134" s="143"/>
      <c r="N134" s="211" t="s">
        <v>356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IFERROR(__xludf.DUMMYFUNCTION("FILTER('설정시트'!$D$7:$K$20,'설정시트'!$C$7:$C$20=I134)"),"식재료비")</f>
        <v>식재료비</v>
      </c>
      <c r="AC134" s="214" t="str">
        <f>IFERROR(__xludf.DUMMYFUNCTION("""COMPUTED_VALUE"""),"회사점심")</f>
        <v>회사점심</v>
      </c>
      <c r="AD134" s="214" t="str">
        <f>IFERROR(__xludf.DUMMYFUNCTION("""COMPUTED_VALUE"""),"간식/카페")</f>
        <v>간식/카페</v>
      </c>
      <c r="AE134" s="214" t="str">
        <f>IFERROR(__xludf.DUMMYFUNCTION("""COMPUTED_VALUE"""),"외식/배달")</f>
        <v>외식/배달</v>
      </c>
      <c r="AF134" s="214" t="str">
        <f>IFERROR(__xludf.DUMMYFUNCTION("""COMPUTED_VALUE"""),"기타")</f>
        <v>기타</v>
      </c>
      <c r="AG134" s="214"/>
      <c r="AH134" s="214"/>
      <c r="AI134" s="214"/>
    </row>
    <row r="135">
      <c r="H135" s="208">
        <v>45708.0</v>
      </c>
      <c r="I135" s="217" t="s">
        <v>25</v>
      </c>
      <c r="J135" s="217" t="s">
        <v>24</v>
      </c>
      <c r="K135" s="218">
        <v>23400.0</v>
      </c>
      <c r="L135" s="211" t="s">
        <v>64</v>
      </c>
      <c r="M135" s="143"/>
      <c r="N135" s="211" t="s">
        <v>357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IFERROR(__xludf.DUMMYFUNCTION("FILTER('설정시트'!$D$7:$K$20,'설정시트'!$C$7:$C$20=I135)"),"주방/욕실")</f>
        <v>주방/욕실</v>
      </c>
      <c r="AC135" s="214" t="str">
        <f>IFERROR(__xludf.DUMMYFUNCTION("""COMPUTED_VALUE"""),"소모품")</f>
        <v>소모품</v>
      </c>
      <c r="AD135" s="214" t="str">
        <f>IFERROR(__xludf.DUMMYFUNCTION("""COMPUTED_VALUE"""),"기타")</f>
        <v>기타</v>
      </c>
      <c r="AE135" s="214"/>
      <c r="AF135" s="214"/>
      <c r="AG135" s="214"/>
      <c r="AH135" s="214"/>
      <c r="AI135" s="214"/>
    </row>
    <row r="136">
      <c r="H136" s="208">
        <v>45708.0</v>
      </c>
      <c r="I136" s="217" t="s">
        <v>26</v>
      </c>
      <c r="J136" s="217" t="s">
        <v>28</v>
      </c>
      <c r="K136" s="218">
        <v>33700.0</v>
      </c>
      <c r="L136" s="211" t="s">
        <v>58</v>
      </c>
      <c r="M136" s="143"/>
      <c r="N136" s="211" t="s">
        <v>358</v>
      </c>
      <c r="O136" s="212"/>
      <c r="P136" s="212"/>
      <c r="Q136" s="143"/>
      <c r="R136" s="211" t="s">
        <v>359</v>
      </c>
      <c r="S136" s="212"/>
      <c r="T136" s="145"/>
      <c r="AB136" s="214" t="str">
        <f>IFERROR(__xludf.DUMMYFUNCTION("FILTER('설정시트'!$D$7:$K$20,'설정시트'!$C$7:$C$20=I136)"),"식재료비")</f>
        <v>식재료비</v>
      </c>
      <c r="AC136" s="214" t="str">
        <f>IFERROR(__xludf.DUMMYFUNCTION("""COMPUTED_VALUE"""),"회사점심")</f>
        <v>회사점심</v>
      </c>
      <c r="AD136" s="214" t="str">
        <f>IFERROR(__xludf.DUMMYFUNCTION("""COMPUTED_VALUE"""),"간식/카페")</f>
        <v>간식/카페</v>
      </c>
      <c r="AE136" s="214" t="str">
        <f>IFERROR(__xludf.DUMMYFUNCTION("""COMPUTED_VALUE"""),"외식/배달")</f>
        <v>외식/배달</v>
      </c>
      <c r="AF136" s="214" t="str">
        <f>IFERROR(__xludf.DUMMYFUNCTION("""COMPUTED_VALUE"""),"기타")</f>
        <v>기타</v>
      </c>
      <c r="AG136" s="214"/>
      <c r="AH136" s="214"/>
      <c r="AI136" s="214"/>
    </row>
    <row r="137">
      <c r="H137" s="208">
        <v>45709.0</v>
      </c>
      <c r="I137" s="217" t="s">
        <v>21</v>
      </c>
      <c r="J137" s="217" t="s">
        <v>15</v>
      </c>
      <c r="K137" s="218">
        <v>207650.0</v>
      </c>
      <c r="L137" s="211" t="s">
        <v>62</v>
      </c>
      <c r="M137" s="143"/>
      <c r="N137" s="211" t="s">
        <v>360</v>
      </c>
      <c r="O137" s="212"/>
      <c r="P137" s="212"/>
      <c r="Q137" s="143"/>
      <c r="R137" s="213"/>
      <c r="S137" s="212"/>
      <c r="T137" s="145"/>
      <c r="AB137" s="214" t="str">
        <f>IFERROR(__xludf.DUMMYFUNCTION("FILTER('설정시트'!$D$7:$K$20,'설정시트'!$C$7:$C$20=I137)"),"관리비")</f>
        <v>관리비</v>
      </c>
      <c r="AC137" s="214" t="str">
        <f>IFERROR(__xludf.DUMMYFUNCTION("""COMPUTED_VALUE"""),"대출이자")</f>
        <v>대출이자</v>
      </c>
      <c r="AD137" s="214" t="str">
        <f>IFERROR(__xludf.DUMMYFUNCTION("""COMPUTED_VALUE"""),"통신비")</f>
        <v>통신비</v>
      </c>
      <c r="AE137" s="214" t="str">
        <f>IFERROR(__xludf.DUMMYFUNCTION("""COMPUTED_VALUE"""),"보험료")</f>
        <v>보험료</v>
      </c>
      <c r="AF137" s="214" t="str">
        <f>IFERROR(__xludf.DUMMYFUNCTION("""COMPUTED_VALUE"""),"곗돈")</f>
        <v>곗돈</v>
      </c>
      <c r="AG137" s="214"/>
      <c r="AH137" s="214"/>
      <c r="AI137" s="214"/>
    </row>
    <row r="138">
      <c r="H138" s="208">
        <v>45709.0</v>
      </c>
      <c r="I138" s="217" t="s">
        <v>26</v>
      </c>
      <c r="J138" s="217" t="s">
        <v>30</v>
      </c>
      <c r="K138" s="218">
        <v>28000.0</v>
      </c>
      <c r="L138" s="211" t="s">
        <v>58</v>
      </c>
      <c r="M138" s="143"/>
      <c r="N138" s="211" t="s">
        <v>361</v>
      </c>
      <c r="O138" s="212"/>
      <c r="P138" s="212"/>
      <c r="Q138" s="143"/>
      <c r="R138" s="213"/>
      <c r="S138" s="212"/>
      <c r="T138" s="145"/>
      <c r="AB138" s="214" t="str">
        <f>IFERROR(__xludf.DUMMYFUNCTION("FILTER('설정시트'!$D$7:$K$20,'설정시트'!$C$7:$C$20=I138)"),"식재료비")</f>
        <v>식재료비</v>
      </c>
      <c r="AC138" s="214" t="str">
        <f>IFERROR(__xludf.DUMMYFUNCTION("""COMPUTED_VALUE"""),"회사점심")</f>
        <v>회사점심</v>
      </c>
      <c r="AD138" s="214" t="str">
        <f>IFERROR(__xludf.DUMMYFUNCTION("""COMPUTED_VALUE"""),"간식/카페")</f>
        <v>간식/카페</v>
      </c>
      <c r="AE138" s="214" t="str">
        <f>IFERROR(__xludf.DUMMYFUNCTION("""COMPUTED_VALUE"""),"외식/배달")</f>
        <v>외식/배달</v>
      </c>
      <c r="AF138" s="214" t="str">
        <f>IFERROR(__xludf.DUMMYFUNCTION("""COMPUTED_VALUE"""),"기타")</f>
        <v>기타</v>
      </c>
      <c r="AG138" s="214"/>
      <c r="AH138" s="214"/>
      <c r="AI138" s="214"/>
    </row>
    <row r="139">
      <c r="H139" s="208">
        <v>45709.0</v>
      </c>
      <c r="I139" s="217" t="s">
        <v>26</v>
      </c>
      <c r="J139" s="217" t="s">
        <v>29</v>
      </c>
      <c r="K139" s="218">
        <v>3000.0</v>
      </c>
      <c r="L139" s="211" t="s">
        <v>58</v>
      </c>
      <c r="M139" s="143"/>
      <c r="N139" s="211" t="s">
        <v>362</v>
      </c>
      <c r="O139" s="212"/>
      <c r="P139" s="212"/>
      <c r="Q139" s="143"/>
      <c r="R139" s="213"/>
      <c r="S139" s="212"/>
      <c r="T139" s="145"/>
      <c r="AB139" s="214" t="str">
        <f>IFERROR(__xludf.DUMMYFUNCTION("FILTER('설정시트'!$D$7:$K$20,'설정시트'!$C$7:$C$20=I139)"),"식재료비")</f>
        <v>식재료비</v>
      </c>
      <c r="AC139" s="214" t="str">
        <f>IFERROR(__xludf.DUMMYFUNCTION("""COMPUTED_VALUE"""),"회사점심")</f>
        <v>회사점심</v>
      </c>
      <c r="AD139" s="214" t="str">
        <f>IFERROR(__xludf.DUMMYFUNCTION("""COMPUTED_VALUE"""),"간식/카페")</f>
        <v>간식/카페</v>
      </c>
      <c r="AE139" s="214" t="str">
        <f>IFERROR(__xludf.DUMMYFUNCTION("""COMPUTED_VALUE"""),"외식/배달")</f>
        <v>외식/배달</v>
      </c>
      <c r="AF139" s="214" t="str">
        <f>IFERROR(__xludf.DUMMYFUNCTION("""COMPUTED_VALUE"""),"기타")</f>
        <v>기타</v>
      </c>
      <c r="AG139" s="214"/>
      <c r="AH139" s="214"/>
      <c r="AI139" s="214"/>
    </row>
    <row r="140">
      <c r="H140" s="208">
        <v>45709.0</v>
      </c>
      <c r="I140" s="217" t="s">
        <v>3</v>
      </c>
      <c r="J140" s="217" t="s">
        <v>4</v>
      </c>
      <c r="K140" s="218">
        <v>3257030.0</v>
      </c>
      <c r="L140" s="211"/>
      <c r="M140" s="143"/>
      <c r="N140" s="211" t="s">
        <v>253</v>
      </c>
      <c r="O140" s="212"/>
      <c r="P140" s="212"/>
      <c r="Q140" s="143"/>
      <c r="R140" s="213"/>
      <c r="S140" s="212"/>
      <c r="T140" s="145"/>
      <c r="AB140" s="214" t="str">
        <f>IFERROR(__xludf.DUMMYFUNCTION("FILTER('설정시트'!$D$7:$K$20,'설정시트'!$C$7:$C$20=I140)"),"🍪 월급")</f>
        <v>🍪 월급</v>
      </c>
      <c r="AC140" s="214" t="str">
        <f>IFERROR(__xludf.DUMMYFUNCTION("""COMPUTED_VALUE"""),"🍪 부수입")</f>
        <v>🍪 부수입</v>
      </c>
      <c r="AD140" s="214" t="str">
        <f>IFERROR(__xludf.DUMMYFUNCTION("""COMPUTED_VALUE"""),"🐻 월급")</f>
        <v>🐻 월급</v>
      </c>
      <c r="AE140" s="214" t="str">
        <f>IFERROR(__xludf.DUMMYFUNCTION("""COMPUTED_VALUE"""),"🐻 부수입")</f>
        <v>🐻 부수입</v>
      </c>
      <c r="AF140" s="214" t="str">
        <f>IFERROR(__xludf.DUMMYFUNCTION("""COMPUTED_VALUE"""),"기타")</f>
        <v>기타</v>
      </c>
      <c r="AG140" s="214"/>
      <c r="AH140" s="214"/>
      <c r="AI140" s="214"/>
    </row>
    <row r="141">
      <c r="H141" s="208">
        <v>45709.0</v>
      </c>
      <c r="I141" s="217" t="s">
        <v>3</v>
      </c>
      <c r="J141" s="217" t="s">
        <v>5</v>
      </c>
      <c r="K141" s="218">
        <f>4129700-3257030</f>
        <v>872670</v>
      </c>
      <c r="L141" s="211"/>
      <c r="M141" s="143"/>
      <c r="N141" s="211" t="s">
        <v>363</v>
      </c>
      <c r="O141" s="212"/>
      <c r="P141" s="212"/>
      <c r="Q141" s="143"/>
      <c r="R141" s="213"/>
      <c r="S141" s="212"/>
      <c r="T141" s="145"/>
      <c r="AB141" s="214" t="str">
        <f>IFERROR(__xludf.DUMMYFUNCTION("FILTER('설정시트'!$D$7:$K$20,'설정시트'!$C$7:$C$20=I141)"),"🍪 월급")</f>
        <v>🍪 월급</v>
      </c>
      <c r="AC141" s="214" t="str">
        <f>IFERROR(__xludf.DUMMYFUNCTION("""COMPUTED_VALUE"""),"🍪 부수입")</f>
        <v>🍪 부수입</v>
      </c>
      <c r="AD141" s="214" t="str">
        <f>IFERROR(__xludf.DUMMYFUNCTION("""COMPUTED_VALUE"""),"🐻 월급")</f>
        <v>🐻 월급</v>
      </c>
      <c r="AE141" s="214" t="str">
        <f>IFERROR(__xludf.DUMMYFUNCTION("""COMPUTED_VALUE"""),"🐻 부수입")</f>
        <v>🐻 부수입</v>
      </c>
      <c r="AF141" s="214" t="str">
        <f>IFERROR(__xludf.DUMMYFUNCTION("""COMPUTED_VALUE"""),"기타")</f>
        <v>기타</v>
      </c>
      <c r="AG141" s="214"/>
      <c r="AH141" s="214"/>
      <c r="AI141" s="214"/>
    </row>
    <row r="142">
      <c r="H142" s="208">
        <v>45709.0</v>
      </c>
      <c r="I142" s="217" t="s">
        <v>31</v>
      </c>
      <c r="J142" s="217" t="s">
        <v>30</v>
      </c>
      <c r="K142" s="230">
        <v>23000.0</v>
      </c>
      <c r="L142" s="211" t="s">
        <v>64</v>
      </c>
      <c r="M142" s="143"/>
      <c r="N142" s="211" t="s">
        <v>364</v>
      </c>
      <c r="O142" s="212"/>
      <c r="P142" s="212"/>
      <c r="Q142" s="143"/>
      <c r="R142" s="213"/>
      <c r="S142" s="212"/>
      <c r="T142" s="145"/>
      <c r="AB142" s="214" t="str">
        <f>IFERROR(__xludf.DUMMYFUNCTION("FILTER('설정시트'!$D$7:$K$20,'설정시트'!$C$7:$C$20=I142)"),"식재료비")</f>
        <v>식재료비</v>
      </c>
      <c r="AC142" s="214" t="str">
        <f>IFERROR(__xludf.DUMMYFUNCTION("""COMPUTED_VALUE"""),"회사점심")</f>
        <v>회사점심</v>
      </c>
      <c r="AD142" s="214" t="str">
        <f>IFERROR(__xludf.DUMMYFUNCTION("""COMPUTED_VALUE"""),"간식/카페")</f>
        <v>간식/카페</v>
      </c>
      <c r="AE142" s="214" t="str">
        <f>IFERROR(__xludf.DUMMYFUNCTION("""COMPUTED_VALUE"""),"외식/배달")</f>
        <v>외식/배달</v>
      </c>
      <c r="AF142" s="214" t="str">
        <f>IFERROR(__xludf.DUMMYFUNCTION("""COMPUTED_VALUE"""),"기타")</f>
        <v>기타</v>
      </c>
      <c r="AG142" s="214"/>
      <c r="AH142" s="214"/>
      <c r="AI142" s="214"/>
    </row>
    <row r="143">
      <c r="H143" s="208">
        <v>45709.0</v>
      </c>
      <c r="I143" s="217" t="s">
        <v>14</v>
      </c>
      <c r="J143" s="217" t="s">
        <v>17</v>
      </c>
      <c r="K143" s="218">
        <v>22110.0</v>
      </c>
      <c r="L143" s="211" t="s">
        <v>55</v>
      </c>
      <c r="M143" s="143"/>
      <c r="N143" s="211" t="s">
        <v>365</v>
      </c>
      <c r="O143" s="212"/>
      <c r="P143" s="212"/>
      <c r="Q143" s="143"/>
      <c r="R143" s="213"/>
      <c r="S143" s="212"/>
      <c r="T143" s="145"/>
      <c r="AB143" s="214" t="str">
        <f>IFERROR(__xludf.DUMMYFUNCTION("FILTER('설정시트'!$D$7:$K$20,'설정시트'!$C$7:$C$20=I143)"),"관리비")</f>
        <v>관리비</v>
      </c>
      <c r="AC143" s="214" t="str">
        <f>IFERROR(__xludf.DUMMYFUNCTION("""COMPUTED_VALUE"""),"월세")</f>
        <v>월세</v>
      </c>
      <c r="AD143" s="214" t="str">
        <f>IFERROR(__xludf.DUMMYFUNCTION("""COMPUTED_VALUE"""),"대출이자")</f>
        <v>대출이자</v>
      </c>
      <c r="AE143" s="214" t="str">
        <f>IFERROR(__xludf.DUMMYFUNCTION("""COMPUTED_VALUE"""),"통신비")</f>
        <v>통신비</v>
      </c>
      <c r="AF143" s="214" t="str">
        <f>IFERROR(__xludf.DUMMYFUNCTION("""COMPUTED_VALUE"""),"보험료")</f>
        <v>보험료</v>
      </c>
      <c r="AG143" s="214"/>
      <c r="AH143" s="214" t="str">
        <f>IFERROR(__xludf.DUMMYFUNCTION("""COMPUTED_VALUE"""),"곗돈")</f>
        <v>곗돈</v>
      </c>
      <c r="AI143" s="214"/>
    </row>
    <row r="144">
      <c r="H144" s="208">
        <v>45710.0</v>
      </c>
      <c r="I144" s="217" t="s">
        <v>26</v>
      </c>
      <c r="J144" s="217" t="s">
        <v>29</v>
      </c>
      <c r="K144" s="218">
        <v>36000.0</v>
      </c>
      <c r="L144" s="211" t="s">
        <v>58</v>
      </c>
      <c r="M144" s="143"/>
      <c r="N144" s="211" t="s">
        <v>366</v>
      </c>
      <c r="O144" s="212"/>
      <c r="P144" s="212"/>
      <c r="Q144" s="143"/>
      <c r="R144" s="213"/>
      <c r="S144" s="212"/>
      <c r="T144" s="145"/>
      <c r="AB144" s="214" t="str">
        <f>IFERROR(__xludf.DUMMYFUNCTION("FILTER('설정시트'!$D$7:$K$20,'설정시트'!$C$7:$C$20=I144)"),"식재료비")</f>
        <v>식재료비</v>
      </c>
      <c r="AC144" s="214" t="str">
        <f>IFERROR(__xludf.DUMMYFUNCTION("""COMPUTED_VALUE"""),"회사점심")</f>
        <v>회사점심</v>
      </c>
      <c r="AD144" s="214" t="str">
        <f>IFERROR(__xludf.DUMMYFUNCTION("""COMPUTED_VALUE"""),"간식/카페")</f>
        <v>간식/카페</v>
      </c>
      <c r="AE144" s="214" t="str">
        <f>IFERROR(__xludf.DUMMYFUNCTION("""COMPUTED_VALUE"""),"외식/배달")</f>
        <v>외식/배달</v>
      </c>
      <c r="AF144" s="214" t="str">
        <f>IFERROR(__xludf.DUMMYFUNCTION("""COMPUTED_VALUE"""),"기타")</f>
        <v>기타</v>
      </c>
      <c r="AG144" s="214"/>
      <c r="AH144" s="214"/>
      <c r="AI144" s="214"/>
    </row>
    <row r="145">
      <c r="H145" s="208">
        <v>45710.0</v>
      </c>
      <c r="I145" s="217" t="s">
        <v>38</v>
      </c>
      <c r="J145" s="217" t="s">
        <v>33</v>
      </c>
      <c r="K145" s="218">
        <v>51500.0</v>
      </c>
      <c r="L145" s="211" t="s">
        <v>64</v>
      </c>
      <c r="M145" s="143"/>
      <c r="N145" s="211" t="s">
        <v>367</v>
      </c>
      <c r="O145" s="212"/>
      <c r="P145" s="212"/>
      <c r="Q145" s="143"/>
      <c r="R145" s="213"/>
      <c r="S145" s="212"/>
      <c r="T145" s="145"/>
      <c r="AB145" s="214" t="str">
        <f>IFERROR(__xludf.DUMMYFUNCTION("FILTER('설정시트'!$D$7:$K$20,'설정시트'!$C$7:$C$20=I145)"),"의류/잡화")</f>
        <v>의류/잡화</v>
      </c>
      <c r="AC145" s="214" t="str">
        <f>IFERROR(__xludf.DUMMYFUNCTION("""COMPUTED_VALUE"""),"OTT")</f>
        <v>OTT</v>
      </c>
      <c r="AD145" s="214" t="str">
        <f>IFERROR(__xludf.DUMMYFUNCTION("""COMPUTED_VALUE"""),"문화생활")</f>
        <v>문화생활</v>
      </c>
      <c r="AE145" s="214" t="str">
        <f>IFERROR(__xludf.DUMMYFUNCTION("""COMPUTED_VALUE"""),"자기계발")</f>
        <v>자기계발</v>
      </c>
      <c r="AF145" s="214" t="str">
        <f>IFERROR(__xludf.DUMMYFUNCTION("""COMPUTED_VALUE"""),"미용")</f>
        <v>미용</v>
      </c>
      <c r="AG145" s="214"/>
      <c r="AH145" s="214" t="str">
        <f>IFERROR(__xludf.DUMMYFUNCTION("""COMPUTED_VALUE"""),"기타")</f>
        <v>기타</v>
      </c>
      <c r="AI145" s="214"/>
    </row>
    <row r="146">
      <c r="H146" s="208">
        <v>45710.0</v>
      </c>
      <c r="I146" s="217" t="s">
        <v>38</v>
      </c>
      <c r="J146" s="217" t="s">
        <v>33</v>
      </c>
      <c r="K146" s="218">
        <v>681430.0</v>
      </c>
      <c r="L146" s="211" t="s">
        <v>61</v>
      </c>
      <c r="M146" s="143"/>
      <c r="N146" s="211" t="s">
        <v>368</v>
      </c>
      <c r="O146" s="212"/>
      <c r="P146" s="212"/>
      <c r="Q146" s="143"/>
      <c r="R146" s="213"/>
      <c r="S146" s="212"/>
      <c r="T146" s="145"/>
      <c r="AB146" s="214" t="str">
        <f>IFERROR(__xludf.DUMMYFUNCTION("FILTER('설정시트'!$D$7:$K$20,'설정시트'!$C$7:$C$20=I146)"),"의류/잡화")</f>
        <v>의류/잡화</v>
      </c>
      <c r="AC146" s="214" t="str">
        <f>IFERROR(__xludf.DUMMYFUNCTION("""COMPUTED_VALUE"""),"OTT")</f>
        <v>OTT</v>
      </c>
      <c r="AD146" s="214" t="str">
        <f>IFERROR(__xludf.DUMMYFUNCTION("""COMPUTED_VALUE"""),"문화생활")</f>
        <v>문화생활</v>
      </c>
      <c r="AE146" s="214" t="str">
        <f>IFERROR(__xludf.DUMMYFUNCTION("""COMPUTED_VALUE"""),"자기계발")</f>
        <v>자기계발</v>
      </c>
      <c r="AF146" s="214" t="str">
        <f>IFERROR(__xludf.DUMMYFUNCTION("""COMPUTED_VALUE"""),"미용")</f>
        <v>미용</v>
      </c>
      <c r="AG146" s="214"/>
      <c r="AH146" s="214" t="str">
        <f>IFERROR(__xludf.DUMMYFUNCTION("""COMPUTED_VALUE"""),"기타")</f>
        <v>기타</v>
      </c>
      <c r="AI146" s="214"/>
    </row>
    <row r="147">
      <c r="H147" s="208">
        <v>45711.0</v>
      </c>
      <c r="I147" s="217" t="s">
        <v>22</v>
      </c>
      <c r="J147" s="217" t="s">
        <v>23</v>
      </c>
      <c r="K147" s="218">
        <v>6000.0</v>
      </c>
      <c r="L147" s="211" t="s">
        <v>55</v>
      </c>
      <c r="M147" s="143"/>
      <c r="N147" s="211" t="s">
        <v>369</v>
      </c>
      <c r="O147" s="212"/>
      <c r="P147" s="212"/>
      <c r="Q147" s="143"/>
      <c r="R147" s="213"/>
      <c r="S147" s="212"/>
      <c r="T147" s="145"/>
      <c r="AB147" s="214" t="str">
        <f>IFERROR(__xludf.DUMMYFUNCTION("FILTER('설정시트'!$D$7:$K$20,'설정시트'!$C$7:$C$20=I147)"),"주방/욕실")</f>
        <v>주방/욕실</v>
      </c>
      <c r="AC147" s="214" t="str">
        <f>IFERROR(__xludf.DUMMYFUNCTION("""COMPUTED_VALUE"""),"소모품")</f>
        <v>소모품</v>
      </c>
      <c r="AD147" s="214" t="str">
        <f>IFERROR(__xludf.DUMMYFUNCTION("""COMPUTED_VALUE"""),"기타")</f>
        <v>기타</v>
      </c>
      <c r="AE147" s="214"/>
      <c r="AF147" s="214"/>
      <c r="AG147" s="214"/>
      <c r="AH147" s="214"/>
      <c r="AI147" s="214"/>
    </row>
    <row r="148">
      <c r="H148" s="208">
        <v>45711.0</v>
      </c>
      <c r="I148" s="217" t="s">
        <v>25</v>
      </c>
      <c r="J148" s="217" t="s">
        <v>8</v>
      </c>
      <c r="K148" s="218">
        <v>12000.0</v>
      </c>
      <c r="L148" s="211" t="s">
        <v>64</v>
      </c>
      <c r="M148" s="143"/>
      <c r="N148" s="211" t="s">
        <v>370</v>
      </c>
      <c r="O148" s="212"/>
      <c r="P148" s="212"/>
      <c r="Q148" s="143"/>
      <c r="R148" s="213"/>
      <c r="S148" s="212"/>
      <c r="T148" s="145"/>
      <c r="AB148" s="214" t="str">
        <f>IFERROR(__xludf.DUMMYFUNCTION("FILTER('설정시트'!$D$7:$K$20,'설정시트'!$C$7:$C$20=I148)"),"주방/욕실")</f>
        <v>주방/욕실</v>
      </c>
      <c r="AC148" s="214" t="str">
        <f>IFERROR(__xludf.DUMMYFUNCTION("""COMPUTED_VALUE"""),"소모품")</f>
        <v>소모품</v>
      </c>
      <c r="AD148" s="214" t="str">
        <f>IFERROR(__xludf.DUMMYFUNCTION("""COMPUTED_VALUE"""),"기타")</f>
        <v>기타</v>
      </c>
      <c r="AE148" s="214"/>
      <c r="AF148" s="214"/>
      <c r="AG148" s="214"/>
      <c r="AH148" s="214"/>
      <c r="AI148" s="214"/>
    </row>
    <row r="149">
      <c r="H149" s="208">
        <v>45712.0</v>
      </c>
      <c r="I149" s="217" t="s">
        <v>31</v>
      </c>
      <c r="J149" s="217" t="s">
        <v>28</v>
      </c>
      <c r="K149" s="218">
        <v>8000.0</v>
      </c>
      <c r="L149" s="211" t="s">
        <v>64</v>
      </c>
      <c r="M149" s="143"/>
      <c r="N149" s="211" t="s">
        <v>371</v>
      </c>
      <c r="O149" s="212"/>
      <c r="P149" s="212"/>
      <c r="Q149" s="143"/>
      <c r="R149" s="213"/>
      <c r="S149" s="212"/>
      <c r="T149" s="145"/>
      <c r="AB149" s="214" t="str">
        <f>IFERROR(__xludf.DUMMYFUNCTION("FILTER('설정시트'!$D$7:$K$20,'설정시트'!$C$7:$C$20=I149)"),"식재료비")</f>
        <v>식재료비</v>
      </c>
      <c r="AC149" s="214" t="str">
        <f>IFERROR(__xludf.DUMMYFUNCTION("""COMPUTED_VALUE"""),"회사점심")</f>
        <v>회사점심</v>
      </c>
      <c r="AD149" s="214" t="str">
        <f>IFERROR(__xludf.DUMMYFUNCTION("""COMPUTED_VALUE"""),"간식/카페")</f>
        <v>간식/카페</v>
      </c>
      <c r="AE149" s="214" t="str">
        <f>IFERROR(__xludf.DUMMYFUNCTION("""COMPUTED_VALUE"""),"외식/배달")</f>
        <v>외식/배달</v>
      </c>
      <c r="AF149" s="214" t="str">
        <f>IFERROR(__xludf.DUMMYFUNCTION("""COMPUTED_VALUE"""),"기타")</f>
        <v>기타</v>
      </c>
      <c r="AG149" s="214"/>
      <c r="AH149" s="214"/>
      <c r="AI149" s="214"/>
    </row>
    <row r="150">
      <c r="H150" s="208">
        <v>45712.0</v>
      </c>
      <c r="I150" s="217" t="s">
        <v>31</v>
      </c>
      <c r="J150" s="217" t="s">
        <v>29</v>
      </c>
      <c r="K150" s="218">
        <v>2000.0</v>
      </c>
      <c r="L150" s="211" t="s">
        <v>64</v>
      </c>
      <c r="M150" s="143"/>
      <c r="N150" s="211" t="s">
        <v>320</v>
      </c>
      <c r="O150" s="212"/>
      <c r="P150" s="212"/>
      <c r="Q150" s="143"/>
      <c r="R150" s="213"/>
      <c r="S150" s="212"/>
      <c r="T150" s="145"/>
      <c r="AB150" s="214" t="str">
        <f>IFERROR(__xludf.DUMMYFUNCTION("FILTER('설정시트'!$D$7:$K$20,'설정시트'!$C$7:$C$20=I150)"),"식재료비")</f>
        <v>식재료비</v>
      </c>
      <c r="AC150" s="214" t="str">
        <f>IFERROR(__xludf.DUMMYFUNCTION("""COMPUTED_VALUE"""),"회사점심")</f>
        <v>회사점심</v>
      </c>
      <c r="AD150" s="214" t="str">
        <f>IFERROR(__xludf.DUMMYFUNCTION("""COMPUTED_VALUE"""),"간식/카페")</f>
        <v>간식/카페</v>
      </c>
      <c r="AE150" s="214" t="str">
        <f>IFERROR(__xludf.DUMMYFUNCTION("""COMPUTED_VALUE"""),"외식/배달")</f>
        <v>외식/배달</v>
      </c>
      <c r="AF150" s="214" t="str">
        <f>IFERROR(__xludf.DUMMYFUNCTION("""COMPUTED_VALUE"""),"기타")</f>
        <v>기타</v>
      </c>
      <c r="AG150" s="214"/>
      <c r="AH150" s="214"/>
      <c r="AI150" s="214"/>
    </row>
    <row r="151">
      <c r="H151" s="208">
        <v>45712.0</v>
      </c>
      <c r="I151" s="217" t="s">
        <v>31</v>
      </c>
      <c r="J151" s="217" t="s">
        <v>29</v>
      </c>
      <c r="K151" s="218">
        <v>2600.0</v>
      </c>
      <c r="L151" s="211" t="s">
        <v>64</v>
      </c>
      <c r="M151" s="143"/>
      <c r="N151" s="211" t="s">
        <v>372</v>
      </c>
      <c r="O151" s="212"/>
      <c r="P151" s="212"/>
      <c r="Q151" s="143"/>
      <c r="R151" s="213"/>
      <c r="S151" s="212"/>
      <c r="T151" s="145"/>
      <c r="AB151" s="214" t="str">
        <f>IFERROR(__xludf.DUMMYFUNCTION("FILTER('설정시트'!$D$7:$K$20,'설정시트'!$C$7:$C$20=I151)"),"식재료비")</f>
        <v>식재료비</v>
      </c>
      <c r="AC151" s="214" t="str">
        <f>IFERROR(__xludf.DUMMYFUNCTION("""COMPUTED_VALUE"""),"회사점심")</f>
        <v>회사점심</v>
      </c>
      <c r="AD151" s="214" t="str">
        <f>IFERROR(__xludf.DUMMYFUNCTION("""COMPUTED_VALUE"""),"간식/카페")</f>
        <v>간식/카페</v>
      </c>
      <c r="AE151" s="214" t="str">
        <f>IFERROR(__xludf.DUMMYFUNCTION("""COMPUTED_VALUE"""),"외식/배달")</f>
        <v>외식/배달</v>
      </c>
      <c r="AF151" s="214" t="str">
        <f>IFERROR(__xludf.DUMMYFUNCTION("""COMPUTED_VALUE"""),"기타")</f>
        <v>기타</v>
      </c>
      <c r="AG151" s="214"/>
      <c r="AH151" s="214"/>
      <c r="AI151" s="214"/>
    </row>
    <row r="152">
      <c r="H152" s="208">
        <v>45712.0</v>
      </c>
      <c r="I152" s="217" t="s">
        <v>14</v>
      </c>
      <c r="J152" s="217" t="s">
        <v>17</v>
      </c>
      <c r="K152" s="218">
        <v>170712.0</v>
      </c>
      <c r="L152" s="211" t="s">
        <v>55</v>
      </c>
      <c r="M152" s="143"/>
      <c r="N152" s="211" t="s">
        <v>373</v>
      </c>
      <c r="O152" s="212"/>
      <c r="P152" s="212"/>
      <c r="Q152" s="143"/>
      <c r="R152" s="213"/>
      <c r="S152" s="212"/>
      <c r="T152" s="145"/>
      <c r="AB152" s="214" t="str">
        <f>IFERROR(__xludf.DUMMYFUNCTION("FILTER('설정시트'!$D$7:$K$20,'설정시트'!$C$7:$C$20=I152)"),"관리비")</f>
        <v>관리비</v>
      </c>
      <c r="AC152" s="214" t="str">
        <f>IFERROR(__xludf.DUMMYFUNCTION("""COMPUTED_VALUE"""),"월세")</f>
        <v>월세</v>
      </c>
      <c r="AD152" s="214" t="str">
        <f>IFERROR(__xludf.DUMMYFUNCTION("""COMPUTED_VALUE"""),"대출이자")</f>
        <v>대출이자</v>
      </c>
      <c r="AE152" s="214" t="str">
        <f>IFERROR(__xludf.DUMMYFUNCTION("""COMPUTED_VALUE"""),"통신비")</f>
        <v>통신비</v>
      </c>
      <c r="AF152" s="214" t="str">
        <f>IFERROR(__xludf.DUMMYFUNCTION("""COMPUTED_VALUE"""),"보험료")</f>
        <v>보험료</v>
      </c>
      <c r="AG152" s="214"/>
      <c r="AH152" s="214" t="str">
        <f>IFERROR(__xludf.DUMMYFUNCTION("""COMPUTED_VALUE"""),"곗돈")</f>
        <v>곗돈</v>
      </c>
      <c r="AI152" s="214"/>
    </row>
    <row r="153">
      <c r="H153" s="208">
        <v>45713.0</v>
      </c>
      <c r="I153" s="217" t="s">
        <v>21</v>
      </c>
      <c r="J153" s="217" t="s">
        <v>20</v>
      </c>
      <c r="K153" s="218">
        <v>20000.0</v>
      </c>
      <c r="L153" s="211" t="s">
        <v>62</v>
      </c>
      <c r="M153" s="143"/>
      <c r="N153" s="211" t="s">
        <v>276</v>
      </c>
      <c r="O153" s="212"/>
      <c r="P153" s="212"/>
      <c r="Q153" s="143"/>
      <c r="R153" s="213"/>
      <c r="S153" s="212"/>
      <c r="T153" s="145"/>
      <c r="AB153" s="214" t="str">
        <f>IFERROR(__xludf.DUMMYFUNCTION("FILTER('설정시트'!$D$7:$K$20,'설정시트'!$C$7:$C$20=I153)"),"관리비")</f>
        <v>관리비</v>
      </c>
      <c r="AC153" s="214" t="str">
        <f>IFERROR(__xludf.DUMMYFUNCTION("""COMPUTED_VALUE"""),"대출이자")</f>
        <v>대출이자</v>
      </c>
      <c r="AD153" s="214" t="str">
        <f>IFERROR(__xludf.DUMMYFUNCTION("""COMPUTED_VALUE"""),"통신비")</f>
        <v>통신비</v>
      </c>
      <c r="AE153" s="214" t="str">
        <f>IFERROR(__xludf.DUMMYFUNCTION("""COMPUTED_VALUE"""),"보험료")</f>
        <v>보험료</v>
      </c>
      <c r="AF153" s="214" t="str">
        <f>IFERROR(__xludf.DUMMYFUNCTION("""COMPUTED_VALUE"""),"곗돈")</f>
        <v>곗돈</v>
      </c>
      <c r="AG153" s="214"/>
      <c r="AH153" s="214"/>
      <c r="AI153" s="214"/>
    </row>
    <row r="154">
      <c r="H154" s="208">
        <v>45713.0</v>
      </c>
      <c r="I154" s="217" t="s">
        <v>45</v>
      </c>
      <c r="J154" s="217" t="s">
        <v>44</v>
      </c>
      <c r="K154" s="218">
        <v>108000.0</v>
      </c>
      <c r="L154" s="211" t="s">
        <v>64</v>
      </c>
      <c r="M154" s="143"/>
      <c r="N154" s="211" t="s">
        <v>374</v>
      </c>
      <c r="O154" s="212"/>
      <c r="P154" s="212"/>
      <c r="Q154" s="143"/>
      <c r="R154" s="213"/>
      <c r="S154" s="212"/>
      <c r="T154" s="145"/>
      <c r="AB154" s="214" t="str">
        <f>IFERROR(__xludf.DUMMYFUNCTION("FILTER('설정시트'!$D$7:$K$20,'설정시트'!$C$7:$C$20=I154)"),"약국")</f>
        <v>약국</v>
      </c>
      <c r="AC154" s="214" t="str">
        <f>IFERROR(__xludf.DUMMYFUNCTION("""COMPUTED_VALUE"""),"병원비")</f>
        <v>병원비</v>
      </c>
      <c r="AD154" s="214" t="str">
        <f>IFERROR(__xludf.DUMMYFUNCTION("""COMPUTED_VALUE"""),"영양제")</f>
        <v>영양제</v>
      </c>
      <c r="AE154" s="214" t="str">
        <f>IFERROR(__xludf.DUMMYFUNCTION("""COMPUTED_VALUE"""),"교통비")</f>
        <v>교통비</v>
      </c>
      <c r="AF154" s="214" t="str">
        <f>IFERROR(__xludf.DUMMYFUNCTION("""COMPUTED_VALUE"""),"주유비")</f>
        <v>주유비</v>
      </c>
      <c r="AG154" s="214"/>
      <c r="AH154" s="214" t="str">
        <f>IFERROR(__xludf.DUMMYFUNCTION("""COMPUTED_VALUE"""),"기타")</f>
        <v>기타</v>
      </c>
      <c r="AI154" s="214"/>
    </row>
    <row r="155">
      <c r="H155" s="208">
        <v>45713.0</v>
      </c>
      <c r="I155" s="217" t="s">
        <v>31</v>
      </c>
      <c r="J155" s="217" t="s">
        <v>29</v>
      </c>
      <c r="K155" s="218">
        <v>10600.0</v>
      </c>
      <c r="L155" s="211" t="s">
        <v>64</v>
      </c>
      <c r="M155" s="143"/>
      <c r="N155" s="211" t="s">
        <v>375</v>
      </c>
      <c r="O155" s="212"/>
      <c r="P155" s="212"/>
      <c r="Q155" s="143"/>
      <c r="R155" s="213"/>
      <c r="S155" s="212"/>
      <c r="T155" s="145"/>
      <c r="AB155" s="214" t="str">
        <f>IFERROR(__xludf.DUMMYFUNCTION("FILTER('설정시트'!$D$7:$K$20,'설정시트'!$C$7:$C$20=I155)"),"식재료비")</f>
        <v>식재료비</v>
      </c>
      <c r="AC155" s="214" t="str">
        <f>IFERROR(__xludf.DUMMYFUNCTION("""COMPUTED_VALUE"""),"회사점심")</f>
        <v>회사점심</v>
      </c>
      <c r="AD155" s="214" t="str">
        <f>IFERROR(__xludf.DUMMYFUNCTION("""COMPUTED_VALUE"""),"간식/카페")</f>
        <v>간식/카페</v>
      </c>
      <c r="AE155" s="214" t="str">
        <f>IFERROR(__xludf.DUMMYFUNCTION("""COMPUTED_VALUE"""),"외식/배달")</f>
        <v>외식/배달</v>
      </c>
      <c r="AF155" s="214" t="str">
        <f>IFERROR(__xludf.DUMMYFUNCTION("""COMPUTED_VALUE"""),"기타")</f>
        <v>기타</v>
      </c>
      <c r="AG155" s="214"/>
      <c r="AH155" s="214"/>
      <c r="AI155" s="214"/>
    </row>
    <row r="156">
      <c r="H156" s="208">
        <v>45713.0</v>
      </c>
      <c r="I156" s="217" t="s">
        <v>25</v>
      </c>
      <c r="J156" s="217" t="s">
        <v>24</v>
      </c>
      <c r="K156" s="218">
        <v>18870.0</v>
      </c>
      <c r="L156" s="211" t="s">
        <v>64</v>
      </c>
      <c r="M156" s="143"/>
      <c r="N156" s="211" t="s">
        <v>376</v>
      </c>
      <c r="O156" s="212"/>
      <c r="P156" s="212"/>
      <c r="Q156" s="143"/>
      <c r="R156" s="213"/>
      <c r="S156" s="212"/>
      <c r="T156" s="145"/>
      <c r="AB156" s="214" t="str">
        <f>IFERROR(__xludf.DUMMYFUNCTION("FILTER('설정시트'!$D$7:$K$20,'설정시트'!$C$7:$C$20=I156)"),"주방/욕실")</f>
        <v>주방/욕실</v>
      </c>
      <c r="AC156" s="214" t="str">
        <f>IFERROR(__xludf.DUMMYFUNCTION("""COMPUTED_VALUE"""),"소모품")</f>
        <v>소모품</v>
      </c>
      <c r="AD156" s="214" t="str">
        <f>IFERROR(__xludf.DUMMYFUNCTION("""COMPUTED_VALUE"""),"기타")</f>
        <v>기타</v>
      </c>
      <c r="AE156" s="214"/>
      <c r="AF156" s="214"/>
      <c r="AG156" s="214"/>
      <c r="AH156" s="214"/>
      <c r="AI156" s="214"/>
    </row>
    <row r="157">
      <c r="H157" s="208">
        <v>45713.0</v>
      </c>
      <c r="I157" s="217" t="s">
        <v>21</v>
      </c>
      <c r="J157" s="217" t="s">
        <v>19</v>
      </c>
      <c r="K157" s="218">
        <v>88010.0</v>
      </c>
      <c r="L157" s="211" t="s">
        <v>62</v>
      </c>
      <c r="M157" s="143"/>
      <c r="N157" s="211" t="s">
        <v>282</v>
      </c>
      <c r="O157" s="212"/>
      <c r="P157" s="212"/>
      <c r="Q157" s="143"/>
      <c r="R157" s="213"/>
      <c r="S157" s="212"/>
      <c r="T157" s="145"/>
      <c r="AB157" s="214" t="str">
        <f>IFERROR(__xludf.DUMMYFUNCTION("FILTER('설정시트'!$D$7:$K$20,'설정시트'!$C$7:$C$20=I157)"),"관리비")</f>
        <v>관리비</v>
      </c>
      <c r="AC157" s="214" t="str">
        <f>IFERROR(__xludf.DUMMYFUNCTION("""COMPUTED_VALUE"""),"대출이자")</f>
        <v>대출이자</v>
      </c>
      <c r="AD157" s="214" t="str">
        <f>IFERROR(__xludf.DUMMYFUNCTION("""COMPUTED_VALUE"""),"통신비")</f>
        <v>통신비</v>
      </c>
      <c r="AE157" s="214" t="str">
        <f>IFERROR(__xludf.DUMMYFUNCTION("""COMPUTED_VALUE"""),"보험료")</f>
        <v>보험료</v>
      </c>
      <c r="AF157" s="214" t="str">
        <f>IFERROR(__xludf.DUMMYFUNCTION("""COMPUTED_VALUE"""),"곗돈")</f>
        <v>곗돈</v>
      </c>
      <c r="AG157" s="214"/>
      <c r="AH157" s="214"/>
      <c r="AI157" s="214"/>
    </row>
    <row r="158">
      <c r="H158" s="208">
        <v>45714.0</v>
      </c>
      <c r="I158" s="217" t="s">
        <v>31</v>
      </c>
      <c r="J158" s="217" t="s">
        <v>30</v>
      </c>
      <c r="K158" s="218">
        <v>5900.0</v>
      </c>
      <c r="L158" s="211" t="s">
        <v>64</v>
      </c>
      <c r="M158" s="143"/>
      <c r="N158" s="211" t="s">
        <v>377</v>
      </c>
      <c r="O158" s="212"/>
      <c r="P158" s="212"/>
      <c r="Q158" s="143"/>
      <c r="R158" s="213"/>
      <c r="S158" s="212"/>
      <c r="T158" s="145"/>
      <c r="AB158" s="214" t="str">
        <f>IFERROR(__xludf.DUMMYFUNCTION("FILTER('설정시트'!$D$7:$K$20,'설정시트'!$C$7:$C$20=I158)"),"식재료비")</f>
        <v>식재료비</v>
      </c>
      <c r="AC158" s="214" t="str">
        <f>IFERROR(__xludf.DUMMYFUNCTION("""COMPUTED_VALUE"""),"회사점심")</f>
        <v>회사점심</v>
      </c>
      <c r="AD158" s="214" t="str">
        <f>IFERROR(__xludf.DUMMYFUNCTION("""COMPUTED_VALUE"""),"간식/카페")</f>
        <v>간식/카페</v>
      </c>
      <c r="AE158" s="214" t="str">
        <f>IFERROR(__xludf.DUMMYFUNCTION("""COMPUTED_VALUE"""),"외식/배달")</f>
        <v>외식/배달</v>
      </c>
      <c r="AF158" s="214" t="str">
        <f>IFERROR(__xludf.DUMMYFUNCTION("""COMPUTED_VALUE"""),"기타")</f>
        <v>기타</v>
      </c>
      <c r="AG158" s="214"/>
      <c r="AH158" s="214"/>
      <c r="AI158" s="214"/>
    </row>
    <row r="159">
      <c r="H159" s="208">
        <v>45714.0</v>
      </c>
      <c r="I159" s="217" t="s">
        <v>31</v>
      </c>
      <c r="J159" s="217" t="s">
        <v>29</v>
      </c>
      <c r="K159" s="218">
        <v>10000.0</v>
      </c>
      <c r="L159" s="211" t="s">
        <v>64</v>
      </c>
      <c r="M159" s="143"/>
      <c r="N159" s="211" t="s">
        <v>375</v>
      </c>
      <c r="O159" s="212"/>
      <c r="P159" s="212"/>
      <c r="Q159" s="143"/>
      <c r="R159" s="213"/>
      <c r="S159" s="212"/>
      <c r="T159" s="145"/>
      <c r="AB159" s="214" t="str">
        <f>IFERROR(__xludf.DUMMYFUNCTION("FILTER('설정시트'!$D$7:$K$20,'설정시트'!$C$7:$C$20=I159)"),"식재료비")</f>
        <v>식재료비</v>
      </c>
      <c r="AC159" s="214" t="str">
        <f>IFERROR(__xludf.DUMMYFUNCTION("""COMPUTED_VALUE"""),"회사점심")</f>
        <v>회사점심</v>
      </c>
      <c r="AD159" s="214" t="str">
        <f>IFERROR(__xludf.DUMMYFUNCTION("""COMPUTED_VALUE"""),"간식/카페")</f>
        <v>간식/카페</v>
      </c>
      <c r="AE159" s="214" t="str">
        <f>IFERROR(__xludf.DUMMYFUNCTION("""COMPUTED_VALUE"""),"외식/배달")</f>
        <v>외식/배달</v>
      </c>
      <c r="AF159" s="214" t="str">
        <f>IFERROR(__xludf.DUMMYFUNCTION("""COMPUTED_VALUE"""),"기타")</f>
        <v>기타</v>
      </c>
      <c r="AG159" s="214"/>
      <c r="AH159" s="214"/>
      <c r="AI159" s="214"/>
    </row>
    <row r="160">
      <c r="H160" s="208">
        <v>45715.0</v>
      </c>
      <c r="I160" s="217" t="s">
        <v>52</v>
      </c>
      <c r="J160" s="217" t="s">
        <v>50</v>
      </c>
      <c r="K160" s="218">
        <v>600.0</v>
      </c>
      <c r="L160" s="211" t="s">
        <v>64</v>
      </c>
      <c r="M160" s="143"/>
      <c r="N160" s="211" t="s">
        <v>378</v>
      </c>
      <c r="O160" s="212"/>
      <c r="P160" s="212"/>
      <c r="Q160" s="143"/>
      <c r="R160" s="213"/>
      <c r="S160" s="212"/>
      <c r="T160" s="145"/>
      <c r="AB160" s="214" t="str">
        <f>IFERROR(__xludf.DUMMYFUNCTION("FILTER('설정시트'!$D$7:$K$20,'설정시트'!$C$7:$C$20=I160)"),"축의/부의금")</f>
        <v>축의/부의금</v>
      </c>
      <c r="AC160" s="214" t="str">
        <f>IFERROR(__xludf.DUMMYFUNCTION("""COMPUTED_VALUE"""),"생신/생일선물")</f>
        <v>생신/생일선물</v>
      </c>
      <c r="AD160" s="214" t="str">
        <f>IFERROR(__xludf.DUMMYFUNCTION("""COMPUTED_VALUE"""),"명절/어버이날")</f>
        <v>명절/어버이날</v>
      </c>
      <c r="AE160" s="214" t="str">
        <f>IFERROR(__xludf.DUMMYFUNCTION("""COMPUTED_VALUE"""),"여행")</f>
        <v>여행</v>
      </c>
      <c r="AF160" s="214" t="str">
        <f>IFERROR(__xludf.DUMMYFUNCTION("""COMPUTED_VALUE"""),"기타")</f>
        <v>기타</v>
      </c>
      <c r="AG160" s="214" t="str">
        <f>IFERROR(__xludf.DUMMYFUNCTION("""COMPUTED_VALUE"""),"출산")</f>
        <v>출산</v>
      </c>
      <c r="AH160" s="214"/>
      <c r="AI160" s="214"/>
    </row>
    <row r="161">
      <c r="H161" s="208">
        <v>45715.0</v>
      </c>
      <c r="I161" s="217" t="s">
        <v>38</v>
      </c>
      <c r="J161" s="217" t="s">
        <v>34</v>
      </c>
      <c r="K161" s="218">
        <v>5187.0</v>
      </c>
      <c r="L161" s="211" t="s">
        <v>64</v>
      </c>
      <c r="M161" s="143"/>
      <c r="N161" s="211" t="s">
        <v>379</v>
      </c>
      <c r="O161" s="212"/>
      <c r="P161" s="212"/>
      <c r="Q161" s="143"/>
      <c r="R161" s="213"/>
      <c r="S161" s="212"/>
      <c r="T161" s="145"/>
      <c r="AB161" s="214" t="str">
        <f>IFERROR(__xludf.DUMMYFUNCTION("FILTER('설정시트'!$D$7:$K$20,'설정시트'!$C$7:$C$20=I161)"),"의류/잡화")</f>
        <v>의류/잡화</v>
      </c>
      <c r="AC161" s="214" t="str">
        <f>IFERROR(__xludf.DUMMYFUNCTION("""COMPUTED_VALUE"""),"OTT")</f>
        <v>OTT</v>
      </c>
      <c r="AD161" s="214" t="str">
        <f>IFERROR(__xludf.DUMMYFUNCTION("""COMPUTED_VALUE"""),"문화생활")</f>
        <v>문화생활</v>
      </c>
      <c r="AE161" s="214" t="str">
        <f>IFERROR(__xludf.DUMMYFUNCTION("""COMPUTED_VALUE"""),"자기계발")</f>
        <v>자기계발</v>
      </c>
      <c r="AF161" s="214" t="str">
        <f>IFERROR(__xludf.DUMMYFUNCTION("""COMPUTED_VALUE"""),"미용")</f>
        <v>미용</v>
      </c>
      <c r="AG161" s="214"/>
      <c r="AH161" s="214" t="str">
        <f>IFERROR(__xludf.DUMMYFUNCTION("""COMPUTED_VALUE"""),"기타")</f>
        <v>기타</v>
      </c>
      <c r="AI161" s="214"/>
    </row>
    <row r="162">
      <c r="H162" s="208">
        <v>45715.0</v>
      </c>
      <c r="I162" s="217" t="s">
        <v>52</v>
      </c>
      <c r="J162" s="217" t="s">
        <v>50</v>
      </c>
      <c r="K162" s="218">
        <v>60000.0</v>
      </c>
      <c r="L162" s="211" t="s">
        <v>63</v>
      </c>
      <c r="M162" s="143"/>
      <c r="N162" s="211" t="s">
        <v>380</v>
      </c>
      <c r="O162" s="212"/>
      <c r="P162" s="212"/>
      <c r="Q162" s="143"/>
      <c r="R162" s="213"/>
      <c r="S162" s="212"/>
      <c r="T162" s="145"/>
      <c r="AB162" s="214" t="str">
        <f>IFERROR(__xludf.DUMMYFUNCTION("FILTER('설정시트'!$D$7:$K$20,'설정시트'!$C$7:$C$20=I162)"),"축의/부의금")</f>
        <v>축의/부의금</v>
      </c>
      <c r="AC162" s="214" t="str">
        <f>IFERROR(__xludf.DUMMYFUNCTION("""COMPUTED_VALUE"""),"생신/생일선물")</f>
        <v>생신/생일선물</v>
      </c>
      <c r="AD162" s="214" t="str">
        <f>IFERROR(__xludf.DUMMYFUNCTION("""COMPUTED_VALUE"""),"명절/어버이날")</f>
        <v>명절/어버이날</v>
      </c>
      <c r="AE162" s="214" t="str">
        <f>IFERROR(__xludf.DUMMYFUNCTION("""COMPUTED_VALUE"""),"여행")</f>
        <v>여행</v>
      </c>
      <c r="AF162" s="214" t="str">
        <f>IFERROR(__xludf.DUMMYFUNCTION("""COMPUTED_VALUE"""),"기타")</f>
        <v>기타</v>
      </c>
      <c r="AG162" s="214" t="str">
        <f>IFERROR(__xludf.DUMMYFUNCTION("""COMPUTED_VALUE"""),"출산")</f>
        <v>출산</v>
      </c>
      <c r="AH162" s="214"/>
      <c r="AI162" s="214"/>
    </row>
    <row r="163">
      <c r="H163" s="208">
        <v>45715.0</v>
      </c>
      <c r="I163" s="217" t="s">
        <v>52</v>
      </c>
      <c r="J163" s="217" t="s">
        <v>50</v>
      </c>
      <c r="K163" s="218">
        <v>1000.0</v>
      </c>
      <c r="L163" s="211" t="s">
        <v>62</v>
      </c>
      <c r="M163" s="143"/>
      <c r="N163" s="211" t="s">
        <v>381</v>
      </c>
      <c r="O163" s="212"/>
      <c r="P163" s="212"/>
      <c r="Q163" s="143"/>
      <c r="R163" s="213"/>
      <c r="S163" s="212"/>
      <c r="T163" s="145"/>
      <c r="AB163" s="214" t="str">
        <f>IFERROR(__xludf.DUMMYFUNCTION("FILTER('설정시트'!$D$7:$K$20,'설정시트'!$C$7:$C$20=I163)"),"축의/부의금")</f>
        <v>축의/부의금</v>
      </c>
      <c r="AC163" s="214" t="str">
        <f>IFERROR(__xludf.DUMMYFUNCTION("""COMPUTED_VALUE"""),"생신/생일선물")</f>
        <v>생신/생일선물</v>
      </c>
      <c r="AD163" s="214" t="str">
        <f>IFERROR(__xludf.DUMMYFUNCTION("""COMPUTED_VALUE"""),"명절/어버이날")</f>
        <v>명절/어버이날</v>
      </c>
      <c r="AE163" s="214" t="str">
        <f>IFERROR(__xludf.DUMMYFUNCTION("""COMPUTED_VALUE"""),"여행")</f>
        <v>여행</v>
      </c>
      <c r="AF163" s="214" t="str">
        <f>IFERROR(__xludf.DUMMYFUNCTION("""COMPUTED_VALUE"""),"기타")</f>
        <v>기타</v>
      </c>
      <c r="AG163" s="214" t="str">
        <f>IFERROR(__xludf.DUMMYFUNCTION("""COMPUTED_VALUE"""),"출산")</f>
        <v>출산</v>
      </c>
      <c r="AH163" s="214"/>
      <c r="AI163" s="214"/>
    </row>
    <row r="164">
      <c r="H164" s="208">
        <v>45715.0</v>
      </c>
      <c r="I164" s="217" t="s">
        <v>52</v>
      </c>
      <c r="J164" s="217" t="s">
        <v>50</v>
      </c>
      <c r="K164" s="218">
        <v>17000.0</v>
      </c>
      <c r="L164" s="211" t="s">
        <v>61</v>
      </c>
      <c r="M164" s="143"/>
      <c r="N164" s="211" t="s">
        <v>382</v>
      </c>
      <c r="O164" s="212"/>
      <c r="P164" s="212"/>
      <c r="Q164" s="143"/>
      <c r="R164" s="213"/>
      <c r="S164" s="212"/>
      <c r="T164" s="145"/>
      <c r="AB164" s="214" t="str">
        <f>IFERROR(__xludf.DUMMYFUNCTION("FILTER('설정시트'!$D$7:$K$20,'설정시트'!$C$7:$C$20=I164)"),"축의/부의금")</f>
        <v>축의/부의금</v>
      </c>
      <c r="AC164" s="214" t="str">
        <f>IFERROR(__xludf.DUMMYFUNCTION("""COMPUTED_VALUE"""),"생신/생일선물")</f>
        <v>생신/생일선물</v>
      </c>
      <c r="AD164" s="214" t="str">
        <f>IFERROR(__xludf.DUMMYFUNCTION("""COMPUTED_VALUE"""),"명절/어버이날")</f>
        <v>명절/어버이날</v>
      </c>
      <c r="AE164" s="214" t="str">
        <f>IFERROR(__xludf.DUMMYFUNCTION("""COMPUTED_VALUE"""),"여행")</f>
        <v>여행</v>
      </c>
      <c r="AF164" s="214" t="str">
        <f>IFERROR(__xludf.DUMMYFUNCTION("""COMPUTED_VALUE"""),"기타")</f>
        <v>기타</v>
      </c>
      <c r="AG164" s="214" t="str">
        <f>IFERROR(__xludf.DUMMYFUNCTION("""COMPUTED_VALUE"""),"출산")</f>
        <v>출산</v>
      </c>
      <c r="AH164" s="214"/>
      <c r="AI164" s="214"/>
    </row>
    <row r="165">
      <c r="H165" s="208">
        <v>45715.0</v>
      </c>
      <c r="I165" s="217" t="s">
        <v>52</v>
      </c>
      <c r="J165" s="217" t="s">
        <v>50</v>
      </c>
      <c r="K165" s="218">
        <v>26000.0</v>
      </c>
      <c r="L165" s="211" t="s">
        <v>61</v>
      </c>
      <c r="M165" s="143"/>
      <c r="N165" s="211" t="s">
        <v>383</v>
      </c>
      <c r="O165" s="212"/>
      <c r="P165" s="212"/>
      <c r="Q165" s="143"/>
      <c r="R165" s="213"/>
      <c r="S165" s="212"/>
      <c r="T165" s="145"/>
      <c r="AB165" s="214" t="str">
        <f>IFERROR(__xludf.DUMMYFUNCTION("FILTER('설정시트'!$D$7:$K$20,'설정시트'!$C$7:$C$20=I165)"),"축의/부의금")</f>
        <v>축의/부의금</v>
      </c>
      <c r="AC165" s="214" t="str">
        <f>IFERROR(__xludf.DUMMYFUNCTION("""COMPUTED_VALUE"""),"생신/생일선물")</f>
        <v>생신/생일선물</v>
      </c>
      <c r="AD165" s="214" t="str">
        <f>IFERROR(__xludf.DUMMYFUNCTION("""COMPUTED_VALUE"""),"명절/어버이날")</f>
        <v>명절/어버이날</v>
      </c>
      <c r="AE165" s="214" t="str">
        <f>IFERROR(__xludf.DUMMYFUNCTION("""COMPUTED_VALUE"""),"여행")</f>
        <v>여행</v>
      </c>
      <c r="AF165" s="214" t="str">
        <f>IFERROR(__xludf.DUMMYFUNCTION("""COMPUTED_VALUE"""),"기타")</f>
        <v>기타</v>
      </c>
      <c r="AG165" s="214" t="str">
        <f>IFERROR(__xludf.DUMMYFUNCTION("""COMPUTED_VALUE"""),"출산")</f>
        <v>출산</v>
      </c>
      <c r="AH165" s="214"/>
      <c r="AI165" s="214"/>
    </row>
    <row r="166">
      <c r="H166" s="208">
        <v>45715.0</v>
      </c>
      <c r="I166" s="217" t="s">
        <v>52</v>
      </c>
      <c r="J166" s="217" t="s">
        <v>50</v>
      </c>
      <c r="K166" s="218">
        <v>14500.0</v>
      </c>
      <c r="L166" s="211" t="s">
        <v>61</v>
      </c>
      <c r="M166" s="143"/>
      <c r="N166" s="211" t="s">
        <v>384</v>
      </c>
      <c r="O166" s="212"/>
      <c r="P166" s="212"/>
      <c r="Q166" s="143"/>
      <c r="R166" s="213"/>
      <c r="S166" s="212"/>
      <c r="T166" s="145"/>
      <c r="AB166" s="214" t="str">
        <f>IFERROR(__xludf.DUMMYFUNCTION("FILTER('설정시트'!$D$7:$K$20,'설정시트'!$C$7:$C$20=I166)"),"축의/부의금")</f>
        <v>축의/부의금</v>
      </c>
      <c r="AC166" s="214" t="str">
        <f>IFERROR(__xludf.DUMMYFUNCTION("""COMPUTED_VALUE"""),"생신/생일선물")</f>
        <v>생신/생일선물</v>
      </c>
      <c r="AD166" s="214" t="str">
        <f>IFERROR(__xludf.DUMMYFUNCTION("""COMPUTED_VALUE"""),"명절/어버이날")</f>
        <v>명절/어버이날</v>
      </c>
      <c r="AE166" s="214" t="str">
        <f>IFERROR(__xludf.DUMMYFUNCTION("""COMPUTED_VALUE"""),"여행")</f>
        <v>여행</v>
      </c>
      <c r="AF166" s="214" t="str">
        <f>IFERROR(__xludf.DUMMYFUNCTION("""COMPUTED_VALUE"""),"기타")</f>
        <v>기타</v>
      </c>
      <c r="AG166" s="214" t="str">
        <f>IFERROR(__xludf.DUMMYFUNCTION("""COMPUTED_VALUE"""),"출산")</f>
        <v>출산</v>
      </c>
      <c r="AH166" s="214"/>
      <c r="AI166" s="214"/>
    </row>
    <row r="167">
      <c r="H167" s="208">
        <v>45715.0</v>
      </c>
      <c r="I167" s="217" t="s">
        <v>3</v>
      </c>
      <c r="J167" s="217" t="s">
        <v>8</v>
      </c>
      <c r="K167" s="218">
        <v>528000.0</v>
      </c>
      <c r="L167" s="213"/>
      <c r="M167" s="143"/>
      <c r="N167" s="211" t="s">
        <v>385</v>
      </c>
      <c r="O167" s="212"/>
      <c r="P167" s="212"/>
      <c r="Q167" s="143"/>
      <c r="R167" s="213"/>
      <c r="S167" s="212"/>
      <c r="T167" s="145"/>
      <c r="AB167" s="214" t="str">
        <f>IFERROR(__xludf.DUMMYFUNCTION("FILTER('설정시트'!$D$7:$K$20,'설정시트'!$C$7:$C$20=I167)"),"🍪 월급")</f>
        <v>🍪 월급</v>
      </c>
      <c r="AC167" s="214" t="str">
        <f>IFERROR(__xludf.DUMMYFUNCTION("""COMPUTED_VALUE"""),"🍪 부수입")</f>
        <v>🍪 부수입</v>
      </c>
      <c r="AD167" s="214" t="str">
        <f>IFERROR(__xludf.DUMMYFUNCTION("""COMPUTED_VALUE"""),"🐻 월급")</f>
        <v>🐻 월급</v>
      </c>
      <c r="AE167" s="214" t="str">
        <f>IFERROR(__xludf.DUMMYFUNCTION("""COMPUTED_VALUE"""),"🐻 부수입")</f>
        <v>🐻 부수입</v>
      </c>
      <c r="AF167" s="214" t="str">
        <f>IFERROR(__xludf.DUMMYFUNCTION("""COMPUTED_VALUE"""),"기타")</f>
        <v>기타</v>
      </c>
      <c r="AG167" s="214"/>
      <c r="AH167" s="214"/>
      <c r="AI167" s="214"/>
    </row>
    <row r="168">
      <c r="H168" s="208">
        <v>45716.0</v>
      </c>
      <c r="I168" s="217" t="s">
        <v>52</v>
      </c>
      <c r="J168" s="217" t="s">
        <v>50</v>
      </c>
      <c r="K168" s="218">
        <v>900.0</v>
      </c>
      <c r="L168" s="211" t="s">
        <v>64</v>
      </c>
      <c r="M168" s="143"/>
      <c r="N168" s="211" t="s">
        <v>386</v>
      </c>
      <c r="O168" s="212"/>
      <c r="P168" s="212"/>
      <c r="Q168" s="143"/>
      <c r="R168" s="213"/>
      <c r="S168" s="212"/>
      <c r="T168" s="145"/>
      <c r="AB168" s="214" t="str">
        <f>IFERROR(__xludf.DUMMYFUNCTION("FILTER('설정시트'!$D$7:$K$20,'설정시트'!$C$7:$C$20=I168)"),"축의/부의금")</f>
        <v>축의/부의금</v>
      </c>
      <c r="AC168" s="214" t="str">
        <f>IFERROR(__xludf.DUMMYFUNCTION("""COMPUTED_VALUE"""),"생신/생일선물")</f>
        <v>생신/생일선물</v>
      </c>
      <c r="AD168" s="214" t="str">
        <f>IFERROR(__xludf.DUMMYFUNCTION("""COMPUTED_VALUE"""),"명절/어버이날")</f>
        <v>명절/어버이날</v>
      </c>
      <c r="AE168" s="214" t="str">
        <f>IFERROR(__xludf.DUMMYFUNCTION("""COMPUTED_VALUE"""),"여행")</f>
        <v>여행</v>
      </c>
      <c r="AF168" s="214" t="str">
        <f>IFERROR(__xludf.DUMMYFUNCTION("""COMPUTED_VALUE"""),"기타")</f>
        <v>기타</v>
      </c>
      <c r="AG168" s="214" t="str">
        <f>IFERROR(__xludf.DUMMYFUNCTION("""COMPUTED_VALUE"""),"출산")</f>
        <v>출산</v>
      </c>
      <c r="AH168" s="214"/>
      <c r="AI168" s="214"/>
    </row>
    <row r="169">
      <c r="H169" s="208">
        <v>45716.0</v>
      </c>
      <c r="I169" s="217" t="s">
        <v>52</v>
      </c>
      <c r="J169" s="217" t="s">
        <v>50</v>
      </c>
      <c r="K169" s="218">
        <v>14300.0</v>
      </c>
      <c r="L169" s="211" t="s">
        <v>63</v>
      </c>
      <c r="M169" s="143"/>
      <c r="N169" s="211" t="s">
        <v>387</v>
      </c>
      <c r="O169" s="212"/>
      <c r="P169" s="212"/>
      <c r="Q169" s="143"/>
      <c r="R169" s="213"/>
      <c r="S169" s="212"/>
      <c r="T169" s="145"/>
      <c r="AB169" s="214" t="str">
        <f>IFERROR(__xludf.DUMMYFUNCTION("FILTER('설정시트'!$D$7:$K$20,'설정시트'!$C$7:$C$20=I169)"),"축의/부의금")</f>
        <v>축의/부의금</v>
      </c>
      <c r="AC169" s="214" t="str">
        <f>IFERROR(__xludf.DUMMYFUNCTION("""COMPUTED_VALUE"""),"생신/생일선물")</f>
        <v>생신/생일선물</v>
      </c>
      <c r="AD169" s="214" t="str">
        <f>IFERROR(__xludf.DUMMYFUNCTION("""COMPUTED_VALUE"""),"명절/어버이날")</f>
        <v>명절/어버이날</v>
      </c>
      <c r="AE169" s="214" t="str">
        <f>IFERROR(__xludf.DUMMYFUNCTION("""COMPUTED_VALUE"""),"여행")</f>
        <v>여행</v>
      </c>
      <c r="AF169" s="214" t="str">
        <f>IFERROR(__xludf.DUMMYFUNCTION("""COMPUTED_VALUE"""),"기타")</f>
        <v>기타</v>
      </c>
      <c r="AG169" s="214" t="str">
        <f>IFERROR(__xludf.DUMMYFUNCTION("""COMPUTED_VALUE"""),"출산")</f>
        <v>출산</v>
      </c>
      <c r="AH169" s="214"/>
      <c r="AI169" s="214"/>
    </row>
    <row r="170">
      <c r="H170" s="208">
        <v>45716.0</v>
      </c>
      <c r="I170" s="217" t="s">
        <v>52</v>
      </c>
      <c r="J170" s="217" t="s">
        <v>50</v>
      </c>
      <c r="K170" s="218">
        <v>20000.0</v>
      </c>
      <c r="L170" s="211" t="s">
        <v>63</v>
      </c>
      <c r="M170" s="143"/>
      <c r="N170" s="211" t="s">
        <v>388</v>
      </c>
      <c r="O170" s="212"/>
      <c r="P170" s="212"/>
      <c r="Q170" s="143"/>
      <c r="R170" s="213"/>
      <c r="S170" s="212"/>
      <c r="T170" s="145"/>
      <c r="AB170" s="214" t="str">
        <f>IFERROR(__xludf.DUMMYFUNCTION("FILTER('설정시트'!$D$7:$K$20,'설정시트'!$C$7:$C$20=I170)"),"축의/부의금")</f>
        <v>축의/부의금</v>
      </c>
      <c r="AC170" s="214" t="str">
        <f>IFERROR(__xludf.DUMMYFUNCTION("""COMPUTED_VALUE"""),"생신/생일선물")</f>
        <v>생신/생일선물</v>
      </c>
      <c r="AD170" s="214" t="str">
        <f>IFERROR(__xludf.DUMMYFUNCTION("""COMPUTED_VALUE"""),"명절/어버이날")</f>
        <v>명절/어버이날</v>
      </c>
      <c r="AE170" s="214" t="str">
        <f>IFERROR(__xludf.DUMMYFUNCTION("""COMPUTED_VALUE"""),"여행")</f>
        <v>여행</v>
      </c>
      <c r="AF170" s="214" t="str">
        <f>IFERROR(__xludf.DUMMYFUNCTION("""COMPUTED_VALUE"""),"기타")</f>
        <v>기타</v>
      </c>
      <c r="AG170" s="214" t="str">
        <f>IFERROR(__xludf.DUMMYFUNCTION("""COMPUTED_VALUE"""),"출산")</f>
        <v>출산</v>
      </c>
      <c r="AH170" s="214"/>
      <c r="AI170" s="214"/>
    </row>
    <row r="171">
      <c r="H171" s="208">
        <v>45716.0</v>
      </c>
      <c r="I171" s="217" t="s">
        <v>52</v>
      </c>
      <c r="J171" s="217" t="s">
        <v>50</v>
      </c>
      <c r="K171" s="218">
        <v>48000.0</v>
      </c>
      <c r="L171" s="211" t="s">
        <v>63</v>
      </c>
      <c r="M171" s="143"/>
      <c r="N171" s="211" t="s">
        <v>389</v>
      </c>
      <c r="O171" s="212"/>
      <c r="P171" s="212"/>
      <c r="Q171" s="143"/>
      <c r="R171" s="213"/>
      <c r="S171" s="212"/>
      <c r="T171" s="145"/>
      <c r="AB171" s="214" t="str">
        <f>IFERROR(__xludf.DUMMYFUNCTION("FILTER('설정시트'!$D$7:$K$20,'설정시트'!$C$7:$C$20=I171)"),"축의/부의금")</f>
        <v>축의/부의금</v>
      </c>
      <c r="AC171" s="214" t="str">
        <f>IFERROR(__xludf.DUMMYFUNCTION("""COMPUTED_VALUE"""),"생신/생일선물")</f>
        <v>생신/생일선물</v>
      </c>
      <c r="AD171" s="214" t="str">
        <f>IFERROR(__xludf.DUMMYFUNCTION("""COMPUTED_VALUE"""),"명절/어버이날")</f>
        <v>명절/어버이날</v>
      </c>
      <c r="AE171" s="214" t="str">
        <f>IFERROR(__xludf.DUMMYFUNCTION("""COMPUTED_VALUE"""),"여행")</f>
        <v>여행</v>
      </c>
      <c r="AF171" s="214" t="str">
        <f>IFERROR(__xludf.DUMMYFUNCTION("""COMPUTED_VALUE"""),"기타")</f>
        <v>기타</v>
      </c>
      <c r="AG171" s="214" t="str">
        <f>IFERROR(__xludf.DUMMYFUNCTION("""COMPUTED_VALUE"""),"출산")</f>
        <v>출산</v>
      </c>
      <c r="AH171" s="214"/>
      <c r="AI171" s="214"/>
    </row>
    <row r="172">
      <c r="H172" s="208">
        <v>45716.0</v>
      </c>
      <c r="I172" s="217" t="s">
        <v>52</v>
      </c>
      <c r="J172" s="217" t="s">
        <v>50</v>
      </c>
      <c r="K172" s="218">
        <v>8600.0</v>
      </c>
      <c r="L172" s="211" t="s">
        <v>61</v>
      </c>
      <c r="M172" s="143"/>
      <c r="N172" s="211" t="s">
        <v>390</v>
      </c>
      <c r="O172" s="212"/>
      <c r="P172" s="212"/>
      <c r="Q172" s="143"/>
      <c r="R172" s="213"/>
      <c r="S172" s="212"/>
      <c r="T172" s="145"/>
      <c r="AB172" s="214" t="str">
        <f>IFERROR(__xludf.DUMMYFUNCTION("FILTER('설정시트'!$D$7:$K$20,'설정시트'!$C$7:$C$20=I172)"),"축의/부의금")</f>
        <v>축의/부의금</v>
      </c>
      <c r="AC172" s="214" t="str">
        <f>IFERROR(__xludf.DUMMYFUNCTION("""COMPUTED_VALUE"""),"생신/생일선물")</f>
        <v>생신/생일선물</v>
      </c>
      <c r="AD172" s="214" t="str">
        <f>IFERROR(__xludf.DUMMYFUNCTION("""COMPUTED_VALUE"""),"명절/어버이날")</f>
        <v>명절/어버이날</v>
      </c>
      <c r="AE172" s="214" t="str">
        <f>IFERROR(__xludf.DUMMYFUNCTION("""COMPUTED_VALUE"""),"여행")</f>
        <v>여행</v>
      </c>
      <c r="AF172" s="214" t="str">
        <f>IFERROR(__xludf.DUMMYFUNCTION("""COMPUTED_VALUE"""),"기타")</f>
        <v>기타</v>
      </c>
      <c r="AG172" s="214" t="str">
        <f>IFERROR(__xludf.DUMMYFUNCTION("""COMPUTED_VALUE"""),"출산")</f>
        <v>출산</v>
      </c>
      <c r="AH172" s="214"/>
      <c r="AI172" s="214"/>
    </row>
    <row r="173">
      <c r="H173" s="208">
        <v>45716.0</v>
      </c>
      <c r="I173" s="217" t="s">
        <v>52</v>
      </c>
      <c r="J173" s="217" t="s">
        <v>50</v>
      </c>
      <c r="K173" s="218">
        <v>10000.0</v>
      </c>
      <c r="L173" s="211" t="s">
        <v>61</v>
      </c>
      <c r="M173" s="143"/>
      <c r="N173" s="211" t="s">
        <v>391</v>
      </c>
      <c r="O173" s="212"/>
      <c r="P173" s="212"/>
      <c r="Q173" s="143"/>
      <c r="R173" s="213"/>
      <c r="S173" s="212"/>
      <c r="T173" s="145"/>
      <c r="AB173" s="214" t="str">
        <f>IFERROR(__xludf.DUMMYFUNCTION("FILTER('설정시트'!$D$7:$K$20,'설정시트'!$C$7:$C$20=I173)"),"축의/부의금")</f>
        <v>축의/부의금</v>
      </c>
      <c r="AC173" s="214" t="str">
        <f>IFERROR(__xludf.DUMMYFUNCTION("""COMPUTED_VALUE"""),"생신/생일선물")</f>
        <v>생신/생일선물</v>
      </c>
      <c r="AD173" s="214" t="str">
        <f>IFERROR(__xludf.DUMMYFUNCTION("""COMPUTED_VALUE"""),"명절/어버이날")</f>
        <v>명절/어버이날</v>
      </c>
      <c r="AE173" s="214" t="str">
        <f>IFERROR(__xludf.DUMMYFUNCTION("""COMPUTED_VALUE"""),"여행")</f>
        <v>여행</v>
      </c>
      <c r="AF173" s="214" t="str">
        <f>IFERROR(__xludf.DUMMYFUNCTION("""COMPUTED_VALUE"""),"기타")</f>
        <v>기타</v>
      </c>
      <c r="AG173" s="214" t="str">
        <f>IFERROR(__xludf.DUMMYFUNCTION("""COMPUTED_VALUE"""),"출산")</f>
        <v>출산</v>
      </c>
      <c r="AH173" s="214"/>
      <c r="AI173" s="214"/>
    </row>
    <row r="174">
      <c r="H174" s="208">
        <v>45714.0</v>
      </c>
      <c r="I174" s="217" t="s">
        <v>46</v>
      </c>
      <c r="J174" s="217" t="s">
        <v>50</v>
      </c>
      <c r="K174" s="218">
        <v>165780.0</v>
      </c>
      <c r="L174" s="211" t="s">
        <v>58</v>
      </c>
      <c r="M174" s="143"/>
      <c r="N174" s="211" t="s">
        <v>392</v>
      </c>
      <c r="O174" s="212"/>
      <c r="P174" s="212"/>
      <c r="Q174" s="143"/>
      <c r="R174" s="213"/>
      <c r="S174" s="212"/>
      <c r="T174" s="145"/>
      <c r="AB174" s="214" t="str">
        <f>IFERROR(__xludf.DUMMYFUNCTION("FILTER('설정시트'!$D$7:$K$20,'설정시트'!$C$7:$C$20=I174)"),"축의/부의금")</f>
        <v>축의/부의금</v>
      </c>
      <c r="AC174" s="214" t="str">
        <f>IFERROR(__xludf.DUMMYFUNCTION("""COMPUTED_VALUE"""),"생신/생일선물")</f>
        <v>생신/생일선물</v>
      </c>
      <c r="AD174" s="214" t="str">
        <f>IFERROR(__xludf.DUMMYFUNCTION("""COMPUTED_VALUE"""),"명절/어버이날")</f>
        <v>명절/어버이날</v>
      </c>
      <c r="AE174" s="214" t="str">
        <f>IFERROR(__xludf.DUMMYFUNCTION("""COMPUTED_VALUE"""),"여행")</f>
        <v>여행</v>
      </c>
      <c r="AF174" s="214" t="str">
        <f>IFERROR(__xludf.DUMMYFUNCTION("""COMPUTED_VALUE"""),"기타")</f>
        <v>기타</v>
      </c>
      <c r="AG174" s="214" t="str">
        <f>IFERROR(__xludf.DUMMYFUNCTION("""COMPUTED_VALUE"""),"출산")</f>
        <v>출산</v>
      </c>
      <c r="AH174" s="214"/>
      <c r="AI174" s="214"/>
    </row>
    <row r="175">
      <c r="H175" s="208">
        <v>45714.0</v>
      </c>
      <c r="I175" s="217" t="s">
        <v>26</v>
      </c>
      <c r="J175" s="217" t="s">
        <v>28</v>
      </c>
      <c r="K175" s="218">
        <v>43800.0</v>
      </c>
      <c r="L175" s="211" t="s">
        <v>58</v>
      </c>
      <c r="M175" s="143"/>
      <c r="N175" s="211" t="s">
        <v>393</v>
      </c>
      <c r="O175" s="212"/>
      <c r="P175" s="212"/>
      <c r="Q175" s="143"/>
      <c r="R175" s="211" t="s">
        <v>394</v>
      </c>
      <c r="S175" s="212"/>
      <c r="T175" s="145"/>
      <c r="AB175" s="214" t="str">
        <f>IFERROR(__xludf.DUMMYFUNCTION("FILTER('설정시트'!$D$7:$K$20,'설정시트'!$C$7:$C$20=I175)"),"식재료비")</f>
        <v>식재료비</v>
      </c>
      <c r="AC175" s="214" t="str">
        <f>IFERROR(__xludf.DUMMYFUNCTION("""COMPUTED_VALUE"""),"회사점심")</f>
        <v>회사점심</v>
      </c>
      <c r="AD175" s="214" t="str">
        <f>IFERROR(__xludf.DUMMYFUNCTION("""COMPUTED_VALUE"""),"간식/카페")</f>
        <v>간식/카페</v>
      </c>
      <c r="AE175" s="214" t="str">
        <f>IFERROR(__xludf.DUMMYFUNCTION("""COMPUTED_VALUE"""),"외식/배달")</f>
        <v>외식/배달</v>
      </c>
      <c r="AF175" s="214" t="str">
        <f>IFERROR(__xludf.DUMMYFUNCTION("""COMPUTED_VALUE"""),"기타")</f>
        <v>기타</v>
      </c>
      <c r="AG175" s="214"/>
      <c r="AH175" s="214"/>
      <c r="AI175" s="214"/>
    </row>
    <row r="176">
      <c r="H176" s="208">
        <v>45714.0</v>
      </c>
      <c r="I176" s="217" t="s">
        <v>22</v>
      </c>
      <c r="J176" s="217" t="s">
        <v>23</v>
      </c>
      <c r="K176" s="218">
        <v>29900.0</v>
      </c>
      <c r="L176" s="211" t="s">
        <v>58</v>
      </c>
      <c r="M176" s="143"/>
      <c r="N176" s="211" t="s">
        <v>395</v>
      </c>
      <c r="O176" s="212"/>
      <c r="P176" s="212"/>
      <c r="Q176" s="143"/>
      <c r="R176" s="213"/>
      <c r="S176" s="212"/>
      <c r="T176" s="145"/>
      <c r="AB176" s="214" t="str">
        <f>IFERROR(__xludf.DUMMYFUNCTION("FILTER('설정시트'!$D$7:$K$20,'설정시트'!$C$7:$C$20=I176)"),"주방/욕실")</f>
        <v>주방/욕실</v>
      </c>
      <c r="AC176" s="214" t="str">
        <f>IFERROR(__xludf.DUMMYFUNCTION("""COMPUTED_VALUE"""),"소모품")</f>
        <v>소모품</v>
      </c>
      <c r="AD176" s="214" t="str">
        <f>IFERROR(__xludf.DUMMYFUNCTION("""COMPUTED_VALUE"""),"기타")</f>
        <v>기타</v>
      </c>
      <c r="AE176" s="214"/>
      <c r="AF176" s="214"/>
      <c r="AG176" s="214"/>
      <c r="AH176" s="214"/>
      <c r="AI176" s="214"/>
    </row>
    <row r="177">
      <c r="H177" s="208">
        <v>45714.0</v>
      </c>
      <c r="I177" s="217" t="s">
        <v>26</v>
      </c>
      <c r="J177" s="217" t="s">
        <v>30</v>
      </c>
      <c r="K177" s="218">
        <v>42500.0</v>
      </c>
      <c r="L177" s="211" t="s">
        <v>58</v>
      </c>
      <c r="M177" s="143"/>
      <c r="N177" s="211" t="s">
        <v>396</v>
      </c>
      <c r="O177" s="212"/>
      <c r="P177" s="212"/>
      <c r="Q177" s="143"/>
      <c r="R177" s="213"/>
      <c r="S177" s="212"/>
      <c r="T177" s="145"/>
      <c r="AB177" s="214" t="str">
        <f>IFERROR(__xludf.DUMMYFUNCTION("FILTER('설정시트'!$D$7:$K$20,'설정시트'!$C$7:$C$20=I177)"),"식재료비")</f>
        <v>식재료비</v>
      </c>
      <c r="AC177" s="214" t="str">
        <f>IFERROR(__xludf.DUMMYFUNCTION("""COMPUTED_VALUE"""),"회사점심")</f>
        <v>회사점심</v>
      </c>
      <c r="AD177" s="214" t="str">
        <f>IFERROR(__xludf.DUMMYFUNCTION("""COMPUTED_VALUE"""),"간식/카페")</f>
        <v>간식/카페</v>
      </c>
      <c r="AE177" s="214" t="str">
        <f>IFERROR(__xludf.DUMMYFUNCTION("""COMPUTED_VALUE"""),"외식/배달")</f>
        <v>외식/배달</v>
      </c>
      <c r="AF177" s="214" t="str">
        <f>IFERROR(__xludf.DUMMYFUNCTION("""COMPUTED_VALUE"""),"기타")</f>
        <v>기타</v>
      </c>
      <c r="AG177" s="214"/>
      <c r="AH177" s="214"/>
      <c r="AI177" s="214"/>
    </row>
    <row r="178">
      <c r="H178" s="208">
        <v>45716.0</v>
      </c>
      <c r="I178" s="217" t="s">
        <v>39</v>
      </c>
      <c r="J178" s="217" t="s">
        <v>43</v>
      </c>
      <c r="K178" s="220">
        <f>3100+4400</f>
        <v>7500</v>
      </c>
      <c r="L178" s="211" t="s">
        <v>58</v>
      </c>
      <c r="M178" s="143"/>
      <c r="N178" s="211" t="s">
        <v>397</v>
      </c>
      <c r="O178" s="212"/>
      <c r="P178" s="212"/>
      <c r="Q178" s="143"/>
      <c r="R178" s="213"/>
      <c r="S178" s="212"/>
      <c r="T178" s="145"/>
      <c r="AB178" s="214" t="str">
        <f>IFERROR(__xludf.DUMMYFUNCTION("FILTER('설정시트'!$D$7:$K$20,'설정시트'!$C$7:$C$20=I178)"),"약국")</f>
        <v>약국</v>
      </c>
      <c r="AC178" s="214" t="str">
        <f>IFERROR(__xludf.DUMMYFUNCTION("""COMPUTED_VALUE"""),"병원비")</f>
        <v>병원비</v>
      </c>
      <c r="AD178" s="214" t="str">
        <f>IFERROR(__xludf.DUMMYFUNCTION("""COMPUTED_VALUE"""),"영양제")</f>
        <v>영양제</v>
      </c>
      <c r="AE178" s="214" t="str">
        <f>IFERROR(__xludf.DUMMYFUNCTION("""COMPUTED_VALUE"""),"교통비")</f>
        <v>교통비</v>
      </c>
      <c r="AF178" s="214" t="str">
        <f>IFERROR(__xludf.DUMMYFUNCTION("""COMPUTED_VALUE"""),"주유비")</f>
        <v>주유비</v>
      </c>
      <c r="AG178" s="214"/>
      <c r="AH178" s="214" t="str">
        <f>IFERROR(__xludf.DUMMYFUNCTION("""COMPUTED_VALUE"""),"기타")</f>
        <v>기타</v>
      </c>
      <c r="AI178" s="214"/>
    </row>
    <row r="179">
      <c r="H179" s="208">
        <v>45716.0</v>
      </c>
      <c r="I179" s="217" t="s">
        <v>32</v>
      </c>
      <c r="J179" s="217" t="s">
        <v>34</v>
      </c>
      <c r="K179" s="218">
        <v>7890.0</v>
      </c>
      <c r="L179" s="211" t="s">
        <v>58</v>
      </c>
      <c r="M179" s="143"/>
      <c r="N179" s="211" t="s">
        <v>278</v>
      </c>
      <c r="O179" s="212"/>
      <c r="P179" s="212"/>
      <c r="Q179" s="143"/>
      <c r="R179" s="213"/>
      <c r="S179" s="212"/>
      <c r="T179" s="145"/>
      <c r="AB179" s="214" t="str">
        <f>IFERROR(__xludf.DUMMYFUNCTION("FILTER('설정시트'!$D$7:$K$20,'설정시트'!$C$7:$C$20=I179)"),"의류/잡화")</f>
        <v>의류/잡화</v>
      </c>
      <c r="AC179" s="214" t="str">
        <f>IFERROR(__xludf.DUMMYFUNCTION("""COMPUTED_VALUE"""),"OTT")</f>
        <v>OTT</v>
      </c>
      <c r="AD179" s="214" t="str">
        <f>IFERROR(__xludf.DUMMYFUNCTION("""COMPUTED_VALUE"""),"문화생활")</f>
        <v>문화생활</v>
      </c>
      <c r="AE179" s="214" t="str">
        <f>IFERROR(__xludf.DUMMYFUNCTION("""COMPUTED_VALUE"""),"자기계발")</f>
        <v>자기계발</v>
      </c>
      <c r="AF179" s="214" t="str">
        <f>IFERROR(__xludf.DUMMYFUNCTION("""COMPUTED_VALUE"""),"미용")</f>
        <v>미용</v>
      </c>
      <c r="AG179" s="214"/>
      <c r="AH179" s="214" t="str">
        <f>IFERROR(__xludf.DUMMYFUNCTION("""COMPUTED_VALUE"""),"기타")</f>
        <v>기타</v>
      </c>
      <c r="AI179" s="214"/>
    </row>
    <row r="180">
      <c r="H180" s="208">
        <v>45716.0</v>
      </c>
      <c r="I180" s="217" t="s">
        <v>46</v>
      </c>
      <c r="J180" s="217" t="s">
        <v>50</v>
      </c>
      <c r="K180" s="218">
        <v>30000.0</v>
      </c>
      <c r="L180" s="211" t="s">
        <v>58</v>
      </c>
      <c r="M180" s="143"/>
      <c r="N180" s="211" t="s">
        <v>398</v>
      </c>
      <c r="O180" s="212"/>
      <c r="P180" s="212"/>
      <c r="Q180" s="143"/>
      <c r="R180" s="213"/>
      <c r="S180" s="212"/>
      <c r="T180" s="145"/>
      <c r="AB180" s="214" t="str">
        <f>IFERROR(__xludf.DUMMYFUNCTION("FILTER('설정시트'!$D$7:$K$20,'설정시트'!$C$7:$C$20=I180)"),"축의/부의금")</f>
        <v>축의/부의금</v>
      </c>
      <c r="AC180" s="214" t="str">
        <f>IFERROR(__xludf.DUMMYFUNCTION("""COMPUTED_VALUE"""),"생신/생일선물")</f>
        <v>생신/생일선물</v>
      </c>
      <c r="AD180" s="214" t="str">
        <f>IFERROR(__xludf.DUMMYFUNCTION("""COMPUTED_VALUE"""),"명절/어버이날")</f>
        <v>명절/어버이날</v>
      </c>
      <c r="AE180" s="214" t="str">
        <f>IFERROR(__xludf.DUMMYFUNCTION("""COMPUTED_VALUE"""),"여행")</f>
        <v>여행</v>
      </c>
      <c r="AF180" s="214" t="str">
        <f>IFERROR(__xludf.DUMMYFUNCTION("""COMPUTED_VALUE"""),"기타")</f>
        <v>기타</v>
      </c>
      <c r="AG180" s="214" t="str">
        <f>IFERROR(__xludf.DUMMYFUNCTION("""COMPUTED_VALUE"""),"출산")</f>
        <v>출산</v>
      </c>
      <c r="AH180" s="214"/>
      <c r="AI180" s="214"/>
    </row>
    <row r="181">
      <c r="H181" s="208">
        <v>45716.0</v>
      </c>
      <c r="I181" s="217" t="s">
        <v>46</v>
      </c>
      <c r="J181" s="217" t="s">
        <v>50</v>
      </c>
      <c r="K181" s="218">
        <v>16000.0</v>
      </c>
      <c r="L181" s="211" t="s">
        <v>58</v>
      </c>
      <c r="M181" s="143"/>
      <c r="N181" s="211" t="s">
        <v>399</v>
      </c>
      <c r="O181" s="212"/>
      <c r="P181" s="212"/>
      <c r="Q181" s="143"/>
      <c r="R181" s="213"/>
      <c r="S181" s="212"/>
      <c r="T181" s="145"/>
      <c r="AB181" s="214" t="str">
        <f>IFERROR(__xludf.DUMMYFUNCTION("FILTER('설정시트'!$D$7:$K$20,'설정시트'!$C$7:$C$20=I181)"),"축의/부의금")</f>
        <v>축의/부의금</v>
      </c>
      <c r="AC181" s="214" t="str">
        <f>IFERROR(__xludf.DUMMYFUNCTION("""COMPUTED_VALUE"""),"생신/생일선물")</f>
        <v>생신/생일선물</v>
      </c>
      <c r="AD181" s="214" t="str">
        <f>IFERROR(__xludf.DUMMYFUNCTION("""COMPUTED_VALUE"""),"명절/어버이날")</f>
        <v>명절/어버이날</v>
      </c>
      <c r="AE181" s="214" t="str">
        <f>IFERROR(__xludf.DUMMYFUNCTION("""COMPUTED_VALUE"""),"여행")</f>
        <v>여행</v>
      </c>
      <c r="AF181" s="214" t="str">
        <f>IFERROR(__xludf.DUMMYFUNCTION("""COMPUTED_VALUE"""),"기타")</f>
        <v>기타</v>
      </c>
      <c r="AG181" s="214" t="str">
        <f>IFERROR(__xludf.DUMMYFUNCTION("""COMPUTED_VALUE"""),"출산")</f>
        <v>출산</v>
      </c>
      <c r="AH181" s="214"/>
      <c r="AI181" s="214"/>
    </row>
    <row r="182">
      <c r="H182" s="208">
        <v>45716.0</v>
      </c>
      <c r="I182" s="217" t="s">
        <v>46</v>
      </c>
      <c r="J182" s="217" t="s">
        <v>50</v>
      </c>
      <c r="K182" s="218">
        <v>1700.0</v>
      </c>
      <c r="L182" s="211" t="s">
        <v>58</v>
      </c>
      <c r="M182" s="143"/>
      <c r="N182" s="211" t="s">
        <v>400</v>
      </c>
      <c r="O182" s="212"/>
      <c r="P182" s="212"/>
      <c r="Q182" s="143"/>
      <c r="R182" s="213"/>
      <c r="S182" s="212"/>
      <c r="T182" s="145"/>
      <c r="AB182" s="214" t="str">
        <f>IFERROR(__xludf.DUMMYFUNCTION("FILTER('설정시트'!$D$7:$K$20,'설정시트'!$C$7:$C$20=I182)"),"축의/부의금")</f>
        <v>축의/부의금</v>
      </c>
      <c r="AC182" s="214" t="str">
        <f>IFERROR(__xludf.DUMMYFUNCTION("""COMPUTED_VALUE"""),"생신/생일선물")</f>
        <v>생신/생일선물</v>
      </c>
      <c r="AD182" s="214" t="str">
        <f>IFERROR(__xludf.DUMMYFUNCTION("""COMPUTED_VALUE"""),"명절/어버이날")</f>
        <v>명절/어버이날</v>
      </c>
      <c r="AE182" s="214" t="str">
        <f>IFERROR(__xludf.DUMMYFUNCTION("""COMPUTED_VALUE"""),"여행")</f>
        <v>여행</v>
      </c>
      <c r="AF182" s="214" t="str">
        <f>IFERROR(__xludf.DUMMYFUNCTION("""COMPUTED_VALUE"""),"기타")</f>
        <v>기타</v>
      </c>
      <c r="AG182" s="214" t="str">
        <f>IFERROR(__xludf.DUMMYFUNCTION("""COMPUTED_VALUE"""),"출산")</f>
        <v>출산</v>
      </c>
      <c r="AH182" s="214"/>
      <c r="AI182" s="214"/>
    </row>
    <row r="183">
      <c r="H183" s="208">
        <v>45713.0</v>
      </c>
      <c r="I183" s="217" t="s">
        <v>32</v>
      </c>
      <c r="J183" s="217" t="s">
        <v>35</v>
      </c>
      <c r="K183" s="218">
        <v>11000.0</v>
      </c>
      <c r="L183" s="211" t="s">
        <v>55</v>
      </c>
      <c r="M183" s="143"/>
      <c r="N183" s="211" t="s">
        <v>401</v>
      </c>
      <c r="O183" s="212"/>
      <c r="P183" s="212"/>
      <c r="Q183" s="143"/>
      <c r="R183" s="211"/>
      <c r="S183" s="212"/>
      <c r="T183" s="145"/>
      <c r="AB183" s="214" t="str">
        <f>IFERROR(__xludf.DUMMYFUNCTION("FILTER('설정시트'!$D$7:$K$20,'설정시트'!$C$7:$C$20=I183)"),"의류/잡화")</f>
        <v>의류/잡화</v>
      </c>
      <c r="AC183" s="214" t="str">
        <f>IFERROR(__xludf.DUMMYFUNCTION("""COMPUTED_VALUE"""),"OTT")</f>
        <v>OTT</v>
      </c>
      <c r="AD183" s="214" t="str">
        <f>IFERROR(__xludf.DUMMYFUNCTION("""COMPUTED_VALUE"""),"문화생활")</f>
        <v>문화생활</v>
      </c>
      <c r="AE183" s="214" t="str">
        <f>IFERROR(__xludf.DUMMYFUNCTION("""COMPUTED_VALUE"""),"자기계발")</f>
        <v>자기계발</v>
      </c>
      <c r="AF183" s="214" t="str">
        <f>IFERROR(__xludf.DUMMYFUNCTION("""COMPUTED_VALUE"""),"미용")</f>
        <v>미용</v>
      </c>
      <c r="AG183" s="214"/>
      <c r="AH183" s="214" t="str">
        <f>IFERROR(__xludf.DUMMYFUNCTION("""COMPUTED_VALUE"""),"기타")</f>
        <v>기타</v>
      </c>
      <c r="AI183" s="214"/>
    </row>
    <row r="184">
      <c r="H184" s="208">
        <v>45713.0</v>
      </c>
      <c r="I184" s="217" t="s">
        <v>32</v>
      </c>
      <c r="J184" s="217" t="s">
        <v>35</v>
      </c>
      <c r="K184" s="218">
        <v>12000.0</v>
      </c>
      <c r="L184" s="211" t="s">
        <v>55</v>
      </c>
      <c r="M184" s="143"/>
      <c r="N184" s="211" t="s">
        <v>401</v>
      </c>
      <c r="O184" s="212"/>
      <c r="P184" s="212"/>
      <c r="Q184" s="143"/>
      <c r="R184" s="213"/>
      <c r="S184" s="212"/>
      <c r="T184" s="145"/>
      <c r="AB184" s="214" t="str">
        <f>IFERROR(__xludf.DUMMYFUNCTION("FILTER('설정시트'!$D$7:$K$20,'설정시트'!$C$7:$C$20=I184)"),"의류/잡화")</f>
        <v>의류/잡화</v>
      </c>
      <c r="AC184" s="214" t="str">
        <f>IFERROR(__xludf.DUMMYFUNCTION("""COMPUTED_VALUE"""),"OTT")</f>
        <v>OTT</v>
      </c>
      <c r="AD184" s="214" t="str">
        <f>IFERROR(__xludf.DUMMYFUNCTION("""COMPUTED_VALUE"""),"문화생활")</f>
        <v>문화생활</v>
      </c>
      <c r="AE184" s="214" t="str">
        <f>IFERROR(__xludf.DUMMYFUNCTION("""COMPUTED_VALUE"""),"자기계발")</f>
        <v>자기계발</v>
      </c>
      <c r="AF184" s="214" t="str">
        <f>IFERROR(__xludf.DUMMYFUNCTION("""COMPUTED_VALUE"""),"미용")</f>
        <v>미용</v>
      </c>
      <c r="AG184" s="214"/>
      <c r="AH184" s="214" t="str">
        <f>IFERROR(__xludf.DUMMYFUNCTION("""COMPUTED_VALUE"""),"기타")</f>
        <v>기타</v>
      </c>
      <c r="AI184" s="214"/>
    </row>
    <row r="185">
      <c r="H185" s="208">
        <v>45716.0</v>
      </c>
      <c r="I185" s="217" t="s">
        <v>22</v>
      </c>
      <c r="J185" s="217" t="s">
        <v>8</v>
      </c>
      <c r="K185" s="218">
        <v>30000.0</v>
      </c>
      <c r="L185" s="211" t="s">
        <v>55</v>
      </c>
      <c r="M185" s="143"/>
      <c r="N185" s="211" t="s">
        <v>402</v>
      </c>
      <c r="O185" s="212"/>
      <c r="P185" s="212"/>
      <c r="Q185" s="143"/>
      <c r="R185" s="213"/>
      <c r="S185" s="212"/>
      <c r="T185" s="145"/>
      <c r="AB185" s="214" t="str">
        <f>IFERROR(__xludf.DUMMYFUNCTION("FILTER('설정시트'!$D$7:$K$20,'설정시트'!$C$7:$C$20=I185)"),"주방/욕실")</f>
        <v>주방/욕실</v>
      </c>
      <c r="AC185" s="214" t="str">
        <f>IFERROR(__xludf.DUMMYFUNCTION("""COMPUTED_VALUE"""),"소모품")</f>
        <v>소모품</v>
      </c>
      <c r="AD185" s="214" t="str">
        <f>IFERROR(__xludf.DUMMYFUNCTION("""COMPUTED_VALUE"""),"기타")</f>
        <v>기타</v>
      </c>
      <c r="AE185" s="214"/>
      <c r="AF185" s="214"/>
      <c r="AG185" s="214"/>
      <c r="AH185" s="214"/>
      <c r="AI185" s="214"/>
    </row>
    <row r="186">
      <c r="H186" s="208"/>
      <c r="I186" s="222"/>
      <c r="J186" s="217"/>
      <c r="K186" s="218"/>
      <c r="L186" s="211"/>
      <c r="M186" s="143"/>
      <c r="N186" s="211" t="s">
        <v>308</v>
      </c>
      <c r="O186" s="212"/>
      <c r="P186" s="212"/>
      <c r="Q186" s="143"/>
      <c r="R186" s="213"/>
      <c r="S186" s="212"/>
      <c r="T186" s="145"/>
      <c r="AB186" s="214" t="str">
        <f>IFERROR(__xludf.DUMMYFUNCTION("FILTER('설정시트'!$D$7:$K$20,'설정시트'!$C$7:$C$20=I186)"),"#N/A")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08"/>
      <c r="I187" s="222"/>
      <c r="J187" s="217"/>
      <c r="K187" s="218"/>
      <c r="L187" s="211"/>
      <c r="M187" s="143"/>
      <c r="N187" s="211" t="s">
        <v>403</v>
      </c>
      <c r="O187" s="212"/>
      <c r="P187" s="212"/>
      <c r="Q187" s="143"/>
      <c r="R187" s="213"/>
      <c r="S187" s="212"/>
      <c r="T187" s="145"/>
      <c r="AB187" s="214" t="str">
        <f>IFERROR(__xludf.DUMMYFUNCTION("FILTER('설정시트'!$D$7:$K$20,'설정시트'!$C$7:$C$20=I187)"),"#N/A")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08"/>
      <c r="I188" s="222"/>
      <c r="J188" s="217"/>
      <c r="K188" s="218"/>
      <c r="L188" s="211"/>
      <c r="M188" s="143"/>
      <c r="N188" s="211" t="s">
        <v>308</v>
      </c>
      <c r="O188" s="212"/>
      <c r="P188" s="212"/>
      <c r="Q188" s="143"/>
      <c r="R188" s="213"/>
      <c r="S188" s="212"/>
      <c r="T188" s="145"/>
      <c r="AB188" s="214" t="str">
        <f>IFERROR(__xludf.DUMMYFUNCTION("FILTER('설정시트'!$D$7:$K$20,'설정시트'!$C$7:$C$20=I188)"),"#N/A")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08"/>
      <c r="I189" s="222"/>
      <c r="J189" s="217"/>
      <c r="K189" s="218"/>
      <c r="L189" s="211"/>
      <c r="M189" s="143"/>
      <c r="N189" s="211"/>
      <c r="O189" s="212"/>
      <c r="P189" s="212"/>
      <c r="Q189" s="143"/>
      <c r="R189" s="213"/>
      <c r="S189" s="212"/>
      <c r="T189" s="145"/>
      <c r="AB189" s="214" t="str">
        <f>IFERROR(__xludf.DUMMYFUNCTION("FILTER('설정시트'!$D$7:$K$20,'설정시트'!$C$7:$C$20=I189)"),"#N/A")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08"/>
      <c r="I190" s="217"/>
      <c r="J190" s="217"/>
      <c r="K190" s="218"/>
      <c r="L190" s="213"/>
      <c r="M190" s="143"/>
      <c r="N190" s="211"/>
      <c r="O190" s="212"/>
      <c r="P190" s="212"/>
      <c r="Q190" s="143"/>
      <c r="R190" s="213"/>
      <c r="S190" s="212"/>
      <c r="T190" s="145"/>
      <c r="AB190" s="214" t="str">
        <f>IFERROR(__xludf.DUMMYFUNCTION("FILTER('설정시트'!$D$7:$K$20,'설정시트'!$C$7:$C$20=I190)"),"#N/A")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IFERROR(__xludf.DUMMYFUNCTION("FILTER('설정시트'!$D$7:$K$20,'설정시트'!$C$7:$C$20=I191)"),"#N/A")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IFERROR(__xludf.DUMMYFUNCTION("FILTER('설정시트'!$D$7:$K$20,'설정시트'!$C$7:$C$20=I192)"),"#N/A")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IFERROR(__xludf.DUMMYFUNCTION("FILTER('설정시트'!$D$7:$K$20,'설정시트'!$C$7:$C$20=I193)"),"#N/A")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IFERROR(__xludf.DUMMYFUNCTION("FILTER('설정시트'!$D$7:$K$20,'설정시트'!$C$7:$C$20=I194)"),"#N/A")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IFERROR(__xludf.DUMMYFUNCTION("FILTER('설정시트'!$D$7:$K$20,'설정시트'!$C$7:$C$20=I195)"),"#N/A")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IFERROR(__xludf.DUMMYFUNCTION("FILTER('설정시트'!$D$7:$K$20,'설정시트'!$C$7:$C$20=I196)"),"#N/A")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IFERROR(__xludf.DUMMYFUNCTION("FILTER('설정시트'!$D$7:$K$20,'설정시트'!$C$7:$C$20=I197)"),"#N/A")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IFERROR(__xludf.DUMMYFUNCTION("FILTER('설정시트'!$D$7:$K$20,'설정시트'!$C$7:$C$20=I198)"),"#N/A")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IFERROR(__xludf.DUMMYFUNCTION("FILTER('설정시트'!$D$7:$K$20,'설정시트'!$C$7:$C$20=I199)"),"#N/A")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IFERROR(__xludf.DUMMYFUNCTION("FILTER('설정시트'!$D$7:$K$20,'설정시트'!$C$7:$C$20=I200)"),"#N/A")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IFERROR(__xludf.DUMMYFUNCTION("FILTER('설정시트'!$D$7:$K$20,'설정시트'!$C$7:$C$20=I201)"),"#N/A")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IFERROR(__xludf.DUMMYFUNCTION("FILTER('설정시트'!$D$7:$K$20,'설정시트'!$C$7:$C$20=I202)"),"#N/A")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IFERROR(__xludf.DUMMYFUNCTION("FILTER('설정시트'!$D$7:$K$20,'설정시트'!$C$7:$C$20=I203)"),"#N/A")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IFERROR(__xludf.DUMMYFUNCTION("FILTER('설정시트'!$D$7:$K$20,'설정시트'!$C$7:$C$20=I204)"),"#N/A")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IFERROR(__xludf.DUMMYFUNCTION("FILTER('설정시트'!$D$7:$K$20,'설정시트'!$C$7:$C$20=I205)"),"#N/A")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IFERROR(__xludf.DUMMYFUNCTION("FILTER('설정시트'!$D$7:$K$20,'설정시트'!$C$7:$C$20=I206)"),"#N/A")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IFERROR(__xludf.DUMMYFUNCTION("FILTER('설정시트'!$D$7:$K$20,'설정시트'!$C$7:$C$20=I207)"),"#N/A")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IFERROR(__xludf.DUMMYFUNCTION("FILTER('설정시트'!$D$7:$K$20,'설정시트'!$C$7:$C$20=I208)"),"#N/A")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IFERROR(__xludf.DUMMYFUNCTION("FILTER('설정시트'!$D$7:$K$20,'설정시트'!$C$7:$C$20=I209)"),"#N/A")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IFERROR(__xludf.DUMMYFUNCTION("FILTER('설정시트'!$D$7:$K$20,'설정시트'!$C$7:$C$20=I210)"),"#N/A")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IFERROR(__xludf.DUMMYFUNCTION("FILTER('설정시트'!$D$7:$K$20,'설정시트'!$C$7:$C$20=I211)"),"#N/A")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IFERROR(__xludf.DUMMYFUNCTION("FILTER('설정시트'!$D$7:$K$20,'설정시트'!$C$7:$C$20=I212)"),"#N/A")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IFERROR(__xludf.DUMMYFUNCTION("FILTER('설정시트'!$D$7:$K$20,'설정시트'!$C$7:$C$20=I213)"),"#N/A")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IFERROR(__xludf.DUMMYFUNCTION("FILTER('설정시트'!$D$7:$K$20,'설정시트'!$C$7:$C$20=I214)"),"#N/A")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IFERROR(__xludf.DUMMYFUNCTION("FILTER('설정시트'!$D$7:$K$20,'설정시트'!$C$7:$C$20=I215)"),"#N/A")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IFERROR(__xludf.DUMMYFUNCTION("FILTER('설정시트'!$D$7:$K$20,'설정시트'!$C$7:$C$20=I216)"),"#N/A")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IFERROR(__xludf.DUMMYFUNCTION("FILTER('설정시트'!$D$7:$K$20,'설정시트'!$C$7:$C$20=I217)"),"#N/A")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IFERROR(__xludf.DUMMYFUNCTION("FILTER('설정시트'!$D$7:$K$20,'설정시트'!$C$7:$C$20=I218)"),"#N/A")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IFERROR(__xludf.DUMMYFUNCTION("FILTER('설정시트'!$D$7:$K$20,'설정시트'!$C$7:$C$20=I219)"),"#N/A")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IFERROR(__xludf.DUMMYFUNCTION("FILTER('설정시트'!$D$7:$K$20,'설정시트'!$C$7:$C$20=I220)"),"#N/A")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IFERROR(__xludf.DUMMYFUNCTION("FILTER('설정시트'!$D$7:$K$20,'설정시트'!$C$7:$C$20=I221)"),"#N/A")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IFERROR(__xludf.DUMMYFUNCTION("FILTER('설정시트'!$D$7:$K$20,'설정시트'!$C$7:$C$20=I222)"),"#N/A")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IFERROR(__xludf.DUMMYFUNCTION("FILTER('설정시트'!$D$7:$K$20,'설정시트'!$C$7:$C$20=I223)"),"#N/A")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IFERROR(__xludf.DUMMYFUNCTION("FILTER('설정시트'!$D$7:$K$20,'설정시트'!$C$7:$C$20=I224)"),"#N/A")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IFERROR(__xludf.DUMMYFUNCTION("FILTER('설정시트'!$D$7:$K$20,'설정시트'!$C$7:$C$20=I225)"),"#N/A")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IFERROR(__xludf.DUMMYFUNCTION("FILTER('설정시트'!$D$7:$K$20,'설정시트'!$C$7:$C$20=I226)"),"#N/A")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IFERROR(__xludf.DUMMYFUNCTION("FILTER('설정시트'!$D$7:$K$20,'설정시트'!$C$7:$C$20=I227)"),"#N/A")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IFERROR(__xludf.DUMMYFUNCTION("FILTER('설정시트'!$D$7:$K$20,'설정시트'!$C$7:$C$20=I228)"),"#N/A")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IFERROR(__xludf.DUMMYFUNCTION("FILTER('설정시트'!$D$7:$K$20,'설정시트'!$C$7:$C$20=I229)"),"#N/A")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IFERROR(__xludf.DUMMYFUNCTION("FILTER('설정시트'!$D$7:$K$20,'설정시트'!$C$7:$C$20=I230)"),"#N/A")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IFERROR(__xludf.DUMMYFUNCTION("FILTER('설정시트'!$D$7:$K$20,'설정시트'!$C$7:$C$20=I231)"),"#N/A")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IFERROR(__xludf.DUMMYFUNCTION("FILTER('설정시트'!$D$7:$K$20,'설정시트'!$C$7:$C$20=I232)"),"#N/A")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IFERROR(__xludf.DUMMYFUNCTION("FILTER('설정시트'!$D$7:$K$20,'설정시트'!$C$7:$C$20=I233)"),"#N/A")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IFERROR(__xludf.DUMMYFUNCTION("FILTER('설정시트'!$D$7:$K$20,'설정시트'!$C$7:$C$20=I234)"),"#N/A")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IFERROR(__xludf.DUMMYFUNCTION("FILTER('설정시트'!$D$7:$K$20,'설정시트'!$C$7:$C$20=I235)"),"#N/A")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IFERROR(__xludf.DUMMYFUNCTION("FILTER('설정시트'!$D$7:$K$20,'설정시트'!$C$7:$C$20=I236)"),"#N/A")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IFERROR(__xludf.DUMMYFUNCTION("FILTER('설정시트'!$D$7:$K$20,'설정시트'!$C$7:$C$20=I237)"),"#N/A")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IFERROR(__xludf.DUMMYFUNCTION("FILTER('설정시트'!$D$7:$K$20,'설정시트'!$C$7:$C$20=I238)"),"#N/A")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IFERROR(__xludf.DUMMYFUNCTION("FILTER('설정시트'!$D$7:$K$20,'설정시트'!$C$7:$C$20=I239)"),"#N/A")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IFERROR(__xludf.DUMMYFUNCTION("FILTER('설정시트'!$D$7:$K$20,'설정시트'!$C$7:$C$20=I240)"),"#N/A")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IFERROR(__xludf.DUMMYFUNCTION("FILTER('설정시트'!$D$7:$K$20,'설정시트'!$C$7:$C$20=I241)"),"#N/A")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IFERROR(__xludf.DUMMYFUNCTION("FILTER('설정시트'!$D$7:$K$20,'설정시트'!$C$7:$C$20=I242)"),"#N/A")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IFERROR(__xludf.DUMMYFUNCTION("FILTER('설정시트'!$D$7:$K$20,'설정시트'!$C$7:$C$20=I243)"),"#N/A")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IFERROR(__xludf.DUMMYFUNCTION("FILTER('설정시트'!$D$7:$K$20,'설정시트'!$C$7:$C$20=I244)"),"#N/A")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IFERROR(__xludf.DUMMYFUNCTION("FILTER('설정시트'!$D$7:$K$20,'설정시트'!$C$7:$C$20=I245)"),"#N/A")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IFERROR(__xludf.DUMMYFUNCTION("FILTER('설정시트'!$D$7:$K$20,'설정시트'!$C$7:$C$20=I246)"),"#N/A")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IFERROR(__xludf.DUMMYFUNCTION("FILTER('설정시트'!$D$7:$K$20,'설정시트'!$C$7:$C$20=I247)"),"#N/A")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IFERROR(__xludf.DUMMYFUNCTION("FILTER('설정시트'!$D$7:$K$20,'설정시트'!$C$7:$C$20=I248)"),"#N/A")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IFERROR(__xludf.DUMMYFUNCTION("FILTER('설정시트'!$D$7:$K$20,'설정시트'!$C$7:$C$20=I249)"),"#N/A")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IFERROR(__xludf.DUMMYFUNCTION("FILTER('설정시트'!$D$7:$K$20,'설정시트'!$C$7:$C$20=I250)"),"#N/A")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IFERROR(__xludf.DUMMYFUNCTION("FILTER('설정시트'!$D$7:$K$20,'설정시트'!$C$7:$C$20=I251)"),"#N/A")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IFERROR(__xludf.DUMMYFUNCTION("FILTER('설정시트'!$D$7:$K$20,'설정시트'!$C$7:$C$20=I252)"),"#N/A")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IFERROR(__xludf.DUMMYFUNCTION("FILTER('설정시트'!$D$7:$K$20,'설정시트'!$C$7:$C$20=I253)"),"#N/A")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IFERROR(__xludf.DUMMYFUNCTION("FILTER('설정시트'!$D$7:$K$20,'설정시트'!$C$7:$C$20=I254)"),"#N/A")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IFERROR(__xludf.DUMMYFUNCTION("FILTER('설정시트'!$D$7:$K$20,'설정시트'!$C$7:$C$20=I255)"),"#N/A")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IFERROR(__xludf.DUMMYFUNCTION("FILTER('설정시트'!$D$7:$K$20,'설정시트'!$C$7:$C$20=I256)"),"#N/A")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IFERROR(__xludf.DUMMYFUNCTION("FILTER('설정시트'!$D$7:$K$20,'설정시트'!$C$7:$C$20=I257)"),"#N/A")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IFERROR(__xludf.DUMMYFUNCTION("FILTER('설정시트'!$D$7:$K$20,'설정시트'!$C$7:$C$20=I258)"),"#N/A")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IFERROR(__xludf.DUMMYFUNCTION("FILTER('설정시트'!$D$7:$K$20,'설정시트'!$C$7:$C$20=I259)"),"#N/A")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IFERROR(__xludf.DUMMYFUNCTION("FILTER('설정시트'!$D$7:$K$20,'설정시트'!$C$7:$C$20=I260)"),"#N/A")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IFERROR(__xludf.DUMMYFUNCTION("FILTER('설정시트'!$D$7:$K$20,'설정시트'!$C$7:$C$20=I261)"),"#N/A")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IFERROR(__xludf.DUMMYFUNCTION("FILTER('설정시트'!$D$7:$K$20,'설정시트'!$C$7:$C$20=I262)"),"#N/A")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IFERROR(__xludf.DUMMYFUNCTION("FILTER('설정시트'!$D$7:$K$20,'설정시트'!$C$7:$C$20=I263)"),"#N/A")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IFERROR(__xludf.DUMMYFUNCTION("FILTER('설정시트'!$D$7:$K$20,'설정시트'!$C$7:$C$20=I264)"),"#N/A")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IFERROR(__xludf.DUMMYFUNCTION("FILTER('설정시트'!$D$7:$K$20,'설정시트'!$C$7:$C$20=I265)"),"#N/A")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IFERROR(__xludf.DUMMYFUNCTION("FILTER('설정시트'!$D$7:$K$20,'설정시트'!$C$7:$C$20=I266)"),"#N/A")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IFERROR(__xludf.DUMMYFUNCTION("FILTER('설정시트'!$D$7:$K$20,'설정시트'!$C$7:$C$20=I267)"),"#N/A")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IFERROR(__xludf.DUMMYFUNCTION("FILTER('설정시트'!$D$7:$K$20,'설정시트'!$C$7:$C$20=I268)"),"#N/A")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IFERROR(__xludf.DUMMYFUNCTION("FILTER('설정시트'!$D$7:$K$20,'설정시트'!$C$7:$C$20=I269)"),"#N/A")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IFERROR(__xludf.DUMMYFUNCTION("FILTER('설정시트'!$D$7:$K$20,'설정시트'!$C$7:$C$20=I270)"),"#N/A")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IFERROR(__xludf.DUMMYFUNCTION("FILTER('설정시트'!$D$7:$K$20,'설정시트'!$C$7:$C$20=I271)"),"#N/A")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IFERROR(__xludf.DUMMYFUNCTION("FILTER('설정시트'!$D$7:$K$20,'설정시트'!$C$7:$C$20=I272)"),"#N/A")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IFERROR(__xludf.DUMMYFUNCTION("FILTER('설정시트'!$D$7:$K$20,'설정시트'!$C$7:$C$20=I273)"),"#N/A")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IFERROR(__xludf.DUMMYFUNCTION("FILTER('설정시트'!$D$7:$K$20,'설정시트'!$C$7:$C$20=I274)"),"#N/A")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IFERROR(__xludf.DUMMYFUNCTION("FILTER('설정시트'!$D$7:$K$20,'설정시트'!$C$7:$C$20=I275)"),"#N/A")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IFERROR(__xludf.DUMMYFUNCTION("FILTER('설정시트'!$D$7:$K$20,'설정시트'!$C$7:$C$20=I276)"),"#N/A")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IFERROR(__xludf.DUMMYFUNCTION("FILTER('설정시트'!$D$7:$K$20,'설정시트'!$C$7:$C$20=I277)"),"#N/A")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IFERROR(__xludf.DUMMYFUNCTION("FILTER('설정시트'!$D$7:$K$20,'설정시트'!$C$7:$C$20=I278)"),"#N/A")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IFERROR(__xludf.DUMMYFUNCTION("FILTER('설정시트'!$D$7:$K$20,'설정시트'!$C$7:$C$20=I279)"),"#N/A")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IFERROR(__xludf.DUMMYFUNCTION("FILTER('설정시트'!$D$7:$K$20,'설정시트'!$C$7:$C$20=I280)"),"#N/A")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IFERROR(__xludf.DUMMYFUNCTION("FILTER('설정시트'!$D$7:$K$20,'설정시트'!$C$7:$C$20=I281)"),"#N/A")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IFERROR(__xludf.DUMMYFUNCTION("FILTER('설정시트'!$D$7:$K$20,'설정시트'!$C$7:$C$20=I282)"),"#N/A")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IFERROR(__xludf.DUMMYFUNCTION("FILTER('설정시트'!$D$7:$K$20,'설정시트'!$C$7:$C$20=I283)"),"#N/A")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IFERROR(__xludf.DUMMYFUNCTION("FILTER('설정시트'!$D$7:$K$20,'설정시트'!$C$7:$C$20=I284)"),"#N/A")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IFERROR(__xludf.DUMMYFUNCTION("FILTER('설정시트'!$D$7:$K$20,'설정시트'!$C$7:$C$20=I285)"),"#N/A")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IFERROR(__xludf.DUMMYFUNCTION("FILTER('설정시트'!$D$7:$K$20,'설정시트'!$C$7:$C$20=I286)"),"#N/A")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IFERROR(__xludf.DUMMYFUNCTION("FILTER('설정시트'!$D$7:$K$20,'설정시트'!$C$7:$C$20=I287)"),"#N/A")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IFERROR(__xludf.DUMMYFUNCTION("FILTER('설정시트'!$D$7:$K$20,'설정시트'!$C$7:$C$20=I288)"),"#N/A")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IFERROR(__xludf.DUMMYFUNCTION("FILTER('설정시트'!$D$7:$K$20,'설정시트'!$C$7:$C$20=I289)"),"#N/A")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IFERROR(__xludf.DUMMYFUNCTION("FILTER('설정시트'!$D$7:$K$20,'설정시트'!$C$7:$C$20=I290)"),"#N/A")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IFERROR(__xludf.DUMMYFUNCTION("FILTER('설정시트'!$D$7:$K$20,'설정시트'!$C$7:$C$20=I291)"),"#N/A")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IFERROR(__xludf.DUMMYFUNCTION("FILTER('설정시트'!$D$7:$K$20,'설정시트'!$C$7:$C$20=I292)"),"#N/A")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IFERROR(__xludf.DUMMYFUNCTION("FILTER('설정시트'!$D$7:$K$20,'설정시트'!$C$7:$C$20=I293)"),"#N/A")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IFERROR(__xludf.DUMMYFUNCTION("FILTER('설정시트'!$D$7:$K$20,'설정시트'!$C$7:$C$20=I294)"),"#N/A")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IFERROR(__xludf.DUMMYFUNCTION("FILTER('설정시트'!$D$7:$K$20,'설정시트'!$C$7:$C$20=I295)"),"#N/A")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IFERROR(__xludf.DUMMYFUNCTION("FILTER('설정시트'!$D$7:$K$20,'설정시트'!$C$7:$C$20=I296)"),"#N/A")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IFERROR(__xludf.DUMMYFUNCTION("FILTER('설정시트'!$D$7:$K$20,'설정시트'!$C$7:$C$20=I297)"),"#N/A")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IFERROR(__xludf.DUMMYFUNCTION("FILTER('설정시트'!$D$7:$K$20,'설정시트'!$C$7:$C$20=I298)"),"#N/A")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IFERROR(__xludf.DUMMYFUNCTION("FILTER('설정시트'!$D$7:$K$20,'설정시트'!$C$7:$C$20=I299)"),"#N/A")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IFERROR(__xludf.DUMMYFUNCTION("FILTER('설정시트'!$D$7:$K$20,'설정시트'!$C$7:$C$20=I300)"),"#N/A")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IFERROR(__xludf.DUMMYFUNCTION("FILTER('설정시트'!$D$7:$K$20,'설정시트'!$C$7:$C$20=I301)"),"#N/A")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IFERROR(__xludf.DUMMYFUNCTION("FILTER('설정시트'!$D$7:$K$20,'설정시트'!$C$7:$C$20=I302)"),"#N/A")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IFERROR(__xludf.DUMMYFUNCTION("FILTER('설정시트'!$D$7:$K$20,'설정시트'!$C$7:$C$20=I303)"),"#N/A")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IFERROR(__xludf.DUMMYFUNCTION("FILTER('설정시트'!$D$7:$K$20,'설정시트'!$C$7:$C$20=I304)"),"#N/A")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IFERROR(__xludf.DUMMYFUNCTION("FILTER('설정시트'!$D$7:$K$20,'설정시트'!$C$7:$C$20=I305)"),"#N/A")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IFERROR(__xludf.DUMMYFUNCTION("FILTER('설정시트'!$D$7:$K$20,'설정시트'!$C$7:$C$20=I306)"),"#N/A")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IFERROR(__xludf.DUMMYFUNCTION("FILTER('설정시트'!$D$7:$K$20,'설정시트'!$C$7:$C$20=I307)"),"#N/A")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IFERROR(__xludf.DUMMYFUNCTION("FILTER('설정시트'!$D$7:$K$20,'설정시트'!$C$7:$C$20=I308)"),"#N/A")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IFERROR(__xludf.DUMMYFUNCTION("FILTER('설정시트'!$D$7:$K$20,'설정시트'!$C$7:$C$20=I309)"),"#N/A")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IFERROR(__xludf.DUMMYFUNCTION("FILTER('설정시트'!$D$7:$K$20,'설정시트'!$C$7:$C$20=I310)"),"#N/A")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IFERROR(__xludf.DUMMYFUNCTION("FILTER('설정시트'!$D$7:$K$20,'설정시트'!$C$7:$C$20=I311)"),"#N/A")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IFERROR(__xludf.DUMMYFUNCTION("FILTER('설정시트'!$D$7:$K$20,'설정시트'!$C$7:$C$20=I312)"),"#N/A")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IFERROR(__xludf.DUMMYFUNCTION("FILTER('설정시트'!$D$7:$K$20,'설정시트'!$C$7:$C$20=I313)"),"#N/A")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IFERROR(__xludf.DUMMYFUNCTION("FILTER('설정시트'!$D$7:$K$20,'설정시트'!$C$7:$C$20=I314)"),"#N/A")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IFERROR(__xludf.DUMMYFUNCTION("FILTER('설정시트'!$D$7:$K$20,'설정시트'!$C$7:$C$20=I315)"),"#N/A")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IFERROR(__xludf.DUMMYFUNCTION("FILTER('설정시트'!$D$7:$K$20,'설정시트'!$C$7:$C$20=I316)"),"#N/A")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IFERROR(__xludf.DUMMYFUNCTION("FILTER('설정시트'!$D$7:$K$20,'설정시트'!$C$7:$C$20=I317)"),"#N/A")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IFERROR(__xludf.DUMMYFUNCTION("FILTER('설정시트'!$D$7:$K$20,'설정시트'!$C$7:$C$20=I318)"),"#N/A")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IFERROR(__xludf.DUMMYFUNCTION("FILTER('설정시트'!$D$7:$K$20,'설정시트'!$C$7:$C$20=I319)"),"#N/A")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IFERROR(__xludf.DUMMYFUNCTION("FILTER('설정시트'!$D$7:$K$20,'설정시트'!$C$7:$C$20=I320)"),"#N/A")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IFERROR(__xludf.DUMMYFUNCTION("FILTER('설정시트'!$D$7:$K$20,'설정시트'!$C$7:$C$20=I321)"),"#N/A")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IFERROR(__xludf.DUMMYFUNCTION("FILTER('설정시트'!$D$7:$K$20,'설정시트'!$C$7:$C$20=I322)"),"#N/A")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IFERROR(__xludf.DUMMYFUNCTION("FILTER('설정시트'!$D$7:$K$20,'설정시트'!$C$7:$C$20=I323)"),"#N/A")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IFERROR(__xludf.DUMMYFUNCTION("FILTER('설정시트'!$D$7:$K$20,'설정시트'!$C$7:$C$20=I324)"),"#N/A")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IFERROR(__xludf.DUMMYFUNCTION("FILTER('설정시트'!$D$7:$K$20,'설정시트'!$C$7:$C$20=I325)"),"#N/A")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IFERROR(__xludf.DUMMYFUNCTION("FILTER('설정시트'!$D$7:$K$20,'설정시트'!$C$7:$C$20=I326)"),"#N/A")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IFERROR(__xludf.DUMMYFUNCTION("FILTER('설정시트'!$D$7:$K$20,'설정시트'!$C$7:$C$20=I327)"),"#N/A")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IFERROR(__xludf.DUMMYFUNCTION("FILTER('설정시트'!$D$7:$K$20,'설정시트'!$C$7:$C$20=I328)"),"#N/A")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IFERROR(__xludf.DUMMYFUNCTION("FILTER('설정시트'!$D$7:$K$20,'설정시트'!$C$7:$C$20=I329)"),"#N/A")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IFERROR(__xludf.DUMMYFUNCTION("FILTER('설정시트'!$D$7:$K$20,'설정시트'!$C$7:$C$20=I330)"),"#N/A")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IFERROR(__xludf.DUMMYFUNCTION("FILTER('설정시트'!$D$7:$K$20,'설정시트'!$C$7:$C$20=I331)"),"#N/A")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IFERROR(__xludf.DUMMYFUNCTION("FILTER('설정시트'!$D$7:$K$20,'설정시트'!$C$7:$C$20=I332)"),"#N/A")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IFERROR(__xludf.DUMMYFUNCTION("FILTER('설정시트'!$D$7:$K$20,'설정시트'!$C$7:$C$20=I333)"),"#N/A")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IFERROR(__xludf.DUMMYFUNCTION("FILTER('설정시트'!$D$7:$K$20,'설정시트'!$C$7:$C$20=I334)"),"#N/A")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IFERROR(__xludf.DUMMYFUNCTION("FILTER('설정시트'!$D$7:$K$20,'설정시트'!$C$7:$C$20=I335)"),"#N/A")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IFERROR(__xludf.DUMMYFUNCTION("FILTER('설정시트'!$D$7:$K$20,'설정시트'!$C$7:$C$20=I336)"),"#N/A")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IFERROR(__xludf.DUMMYFUNCTION("FILTER('설정시트'!$D$7:$K$20,'설정시트'!$C$7:$C$20=I337)"),"#N/A")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IFERROR(__xludf.DUMMYFUNCTION("FILTER('설정시트'!$D$7:$K$20,'설정시트'!$C$7:$C$20=I338)"),"#N/A")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IFERROR(__xludf.DUMMYFUNCTION("FILTER('설정시트'!$D$7:$K$20,'설정시트'!$C$7:$C$20=I339)"),"#N/A")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IFERROR(__xludf.DUMMYFUNCTION("FILTER('설정시트'!$D$7:$K$20,'설정시트'!$C$7:$C$20=I340)"),"#N/A")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IFERROR(__xludf.DUMMYFUNCTION("FILTER('설정시트'!$D$7:$K$20,'설정시트'!$C$7:$C$20=I341)"),"#N/A")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IFERROR(__xludf.DUMMYFUNCTION("FILTER('설정시트'!$D$7:$K$20,'설정시트'!$C$7:$C$20=I342)"),"#N/A")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IFERROR(__xludf.DUMMYFUNCTION("FILTER('설정시트'!$D$7:$K$20,'설정시트'!$C$7:$C$20=I343)"),"#N/A")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IFERROR(__xludf.DUMMYFUNCTION("FILTER('설정시트'!$D$7:$K$20,'설정시트'!$C$7:$C$20=I344)"),"#N/A")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IFERROR(__xludf.DUMMYFUNCTION("FILTER('설정시트'!$D$7:$K$20,'설정시트'!$C$7:$C$20=I345)"),"#N/A")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IFERROR(__xludf.DUMMYFUNCTION("FILTER('설정시트'!$D$7:$K$20,'설정시트'!$C$7:$C$20=I346)"),"#N/A")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IFERROR(__xludf.DUMMYFUNCTION("FILTER('설정시트'!$D$7:$K$20,'설정시트'!$C$7:$C$20=I347)"),"#N/A")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IFERROR(__xludf.DUMMYFUNCTION("FILTER('설정시트'!$D$7:$K$20,'설정시트'!$C$7:$C$20=I348)"),"#N/A")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IFERROR(__xludf.DUMMYFUNCTION("FILTER('설정시트'!$D$7:$K$20,'설정시트'!$C$7:$C$20=I349)"),"#N/A")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IFERROR(__xludf.DUMMYFUNCTION("FILTER('설정시트'!$D$7:$K$20,'설정시트'!$C$7:$C$20=I350)"),"#N/A")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IFERROR(__xludf.DUMMYFUNCTION("FILTER('설정시트'!$D$7:$K$20,'설정시트'!$C$7:$C$20=I351)"),"#N/A")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IFERROR(__xludf.DUMMYFUNCTION("FILTER('설정시트'!$D$7:$K$20,'설정시트'!$C$7:$C$20=I352)"),"#N/A")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IFERROR(__xludf.DUMMYFUNCTION("FILTER('설정시트'!$D$7:$K$20,'설정시트'!$C$7:$C$20=I353)"),"#N/A")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IFERROR(__xludf.DUMMYFUNCTION("FILTER('설정시트'!$D$7:$K$20,'설정시트'!$C$7:$C$20=I354)"),"#N/A")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IFERROR(__xludf.DUMMYFUNCTION("FILTER('설정시트'!$D$7:$K$20,'설정시트'!$C$7:$C$20=I355)"),"#N/A")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IFERROR(__xludf.DUMMYFUNCTION("FILTER('설정시트'!$D$7:$K$20,'설정시트'!$C$7:$C$20=I356)"),"#N/A")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IFERROR(__xludf.DUMMYFUNCTION("FILTER('설정시트'!$D$7:$K$20,'설정시트'!$C$7:$C$20=I357)"),"#N/A")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IFERROR(__xludf.DUMMYFUNCTION("FILTER('설정시트'!$D$7:$K$20,'설정시트'!$C$7:$C$20=I358)"),"#N/A")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IFERROR(__xludf.DUMMYFUNCTION("FILTER('설정시트'!$D$7:$K$20,'설정시트'!$C$7:$C$20=I359)"),"#N/A")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IFERROR(__xludf.DUMMYFUNCTION("FILTER('설정시트'!$D$7:$K$20,'설정시트'!$C$7:$C$20=I360)"),"#N/A")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IFERROR(__xludf.DUMMYFUNCTION("FILTER('설정시트'!$D$7:$K$20,'설정시트'!$C$7:$C$20=I361)"),"#N/A")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IFERROR(__xludf.DUMMYFUNCTION("FILTER('설정시트'!$D$7:$K$20,'설정시트'!$C$7:$C$20=I362)"),"#N/A")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IFERROR(__xludf.DUMMYFUNCTION("FILTER('설정시트'!$D$7:$K$20,'설정시트'!$C$7:$C$20=I363)"),"#N/A")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IFERROR(__xludf.DUMMYFUNCTION("FILTER('설정시트'!$D$7:$K$20,'설정시트'!$C$7:$C$20=I364)"),"#N/A")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IFERROR(__xludf.DUMMYFUNCTION("FILTER('설정시트'!$D$7:$K$20,'설정시트'!$C$7:$C$20=I365)"),"#N/A")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IFERROR(__xludf.DUMMYFUNCTION("FILTER('설정시트'!$D$7:$K$20,'설정시트'!$C$7:$C$20=I366)"),"#N/A")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IFERROR(__xludf.DUMMYFUNCTION("FILTER('설정시트'!$D$7:$K$20,'설정시트'!$C$7:$C$20=I367)"),"#N/A")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IFERROR(__xludf.DUMMYFUNCTION("FILTER('설정시트'!$D$7:$K$20,'설정시트'!$C$7:$C$20=I368)"),"#N/A")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IFERROR(__xludf.DUMMYFUNCTION("FILTER('설정시트'!$D$7:$K$20,'설정시트'!$C$7:$C$20=I369)"),"#N/A")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IFERROR(__xludf.DUMMYFUNCTION("FILTER('설정시트'!$D$7:$K$20,'설정시트'!$C$7:$C$20=I370)"),"#N/A")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IFERROR(__xludf.DUMMYFUNCTION("FILTER('설정시트'!$D$7:$K$20,'설정시트'!$C$7:$C$20=I371)"),"#N/A")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IFERROR(__xludf.DUMMYFUNCTION("FILTER('설정시트'!$D$7:$K$20,'설정시트'!$C$7:$C$20=I372)"),"#N/A")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IFERROR(__xludf.DUMMYFUNCTION("FILTER('설정시트'!$D$7:$K$20,'설정시트'!$C$7:$C$20=I373)"),"#N/A")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IFERROR(__xludf.DUMMYFUNCTION("FILTER('설정시트'!$D$7:$K$20,'설정시트'!$C$7:$C$20=I374)"),"#N/A")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IFERROR(__xludf.DUMMYFUNCTION("FILTER('설정시트'!$D$7:$K$20,'설정시트'!$C$7:$C$20=I375)"),"#N/A")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IFERROR(__xludf.DUMMYFUNCTION("FILTER('설정시트'!$D$7:$K$20,'설정시트'!$C$7:$C$20=I376)"),"#N/A")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IFERROR(__xludf.DUMMYFUNCTION("FILTER('설정시트'!$D$7:$K$20,'설정시트'!$C$7:$C$20=I377)"),"#N/A")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IFERROR(__xludf.DUMMYFUNCTION("FILTER('설정시트'!$D$7:$K$20,'설정시트'!$C$7:$C$20=I378)"),"#N/A")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IFERROR(__xludf.DUMMYFUNCTION("FILTER('설정시트'!$D$7:$K$20,'설정시트'!$C$7:$C$20=I379)"),"#N/A")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IFERROR(__xludf.DUMMYFUNCTION("FILTER('설정시트'!$D$7:$K$20,'설정시트'!$C$7:$C$20=I380)"),"#N/A")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IFERROR(__xludf.DUMMYFUNCTION("FILTER('설정시트'!$D$7:$K$20,'설정시트'!$C$7:$C$20=I381)"),"#N/A")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IFERROR(__xludf.DUMMYFUNCTION("FILTER('설정시트'!$D$7:$K$20,'설정시트'!$C$7:$C$20=I382)"),"#N/A")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IFERROR(__xludf.DUMMYFUNCTION("FILTER('설정시트'!$D$7:$K$20,'설정시트'!$C$7:$C$20=I383)"),"#N/A")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IFERROR(__xludf.DUMMYFUNCTION("FILTER('설정시트'!$D$7:$K$20,'설정시트'!$C$7:$C$20=I384)"),"#N/A")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IFERROR(__xludf.DUMMYFUNCTION("FILTER('설정시트'!$D$7:$K$20,'설정시트'!$C$7:$C$20=I385)"),"#N/A")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IFERROR(__xludf.DUMMYFUNCTION("FILTER('설정시트'!$D$7:$K$20,'설정시트'!$C$7:$C$20=I386)"),"#N/A")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IFERROR(__xludf.DUMMYFUNCTION("FILTER('설정시트'!$D$7:$K$20,'설정시트'!$C$7:$C$20=I387)"),"#N/A")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IFERROR(__xludf.DUMMYFUNCTION("FILTER('설정시트'!$D$7:$K$20,'설정시트'!$C$7:$C$20=I388)"),"#N/A")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IFERROR(__xludf.DUMMYFUNCTION("FILTER('설정시트'!$D$7:$K$20,'설정시트'!$C$7:$C$20=I389)"),"#N/A")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IFERROR(__xludf.DUMMYFUNCTION("FILTER('설정시트'!$D$7:$K$20,'설정시트'!$C$7:$C$20=I390)"),"#N/A")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IFERROR(__xludf.DUMMYFUNCTION("FILTER('설정시트'!$D$7:$K$20,'설정시트'!$C$7:$C$20=I391)"),"#N/A")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IFERROR(__xludf.DUMMYFUNCTION("FILTER('설정시트'!$D$7:$K$20,'설정시트'!$C$7:$C$20=I392)"),"#N/A")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IFERROR(__xludf.DUMMYFUNCTION("FILTER('설정시트'!$D$7:$K$20,'설정시트'!$C$7:$C$20=I393)"),"#N/A")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IFERROR(__xludf.DUMMYFUNCTION("FILTER('설정시트'!$D$7:$K$20,'설정시트'!$C$7:$C$20=I394)"),"#N/A")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IFERROR(__xludf.DUMMYFUNCTION("FILTER('설정시트'!$D$7:$K$20,'설정시트'!$C$7:$C$20=I395)"),"#N/A")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IFERROR(__xludf.DUMMYFUNCTION("FILTER('설정시트'!$D$7:$K$20,'설정시트'!$C$7:$C$20=I396)"),"#N/A")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IFERROR(__xludf.DUMMYFUNCTION("FILTER('설정시트'!$D$7:$K$20,'설정시트'!$C$7:$C$20=I397)"),"#N/A")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IFERROR(__xludf.DUMMYFUNCTION("FILTER('설정시트'!$D$7:$K$20,'설정시트'!$C$7:$C$20=I398)"),"#N/A")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IFERROR(__xludf.DUMMYFUNCTION("FILTER('설정시트'!$D$7:$K$20,'설정시트'!$C$7:$C$20=I399)"),"#N/A")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IFERROR(__xludf.DUMMYFUNCTION("FILTER('설정시트'!$D$7:$K$20,'설정시트'!$C$7:$C$20=I400)"),"#N/A")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IFERROR(__xludf.DUMMYFUNCTION("FILTER('설정시트'!$D$7:$K$20,'설정시트'!$C$7:$C$20=I401)"),"#N/A")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IFERROR(__xludf.DUMMYFUNCTION("FILTER('설정시트'!$D$7:$K$20,'설정시트'!$C$7:$C$20=I402)"),"#N/A")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IFERROR(__xludf.DUMMYFUNCTION("FILTER('설정시트'!$D$7:$K$20,'설정시트'!$C$7:$C$20=I403)"),"#N/A")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IFERROR(__xludf.DUMMYFUNCTION("FILTER('설정시트'!$D$7:$K$20,'설정시트'!$C$7:$C$20=I404)"),"#N/A")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IFERROR(__xludf.DUMMYFUNCTION("FILTER('설정시트'!$D$7:$K$20,'설정시트'!$C$7:$C$20=I405)"),"#N/A")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IFERROR(__xludf.DUMMYFUNCTION("FILTER('설정시트'!$D$7:$K$20,'설정시트'!$C$7:$C$20=I406)"),"#N/A")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IFERROR(__xludf.DUMMYFUNCTION("FILTER('설정시트'!$D$7:$K$20,'설정시트'!$C$7:$C$20=I407)"),"#N/A")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IFERROR(__xludf.DUMMYFUNCTION("FILTER('설정시트'!$D$7:$K$20,'설정시트'!$C$7:$C$20=I408)"),"#N/A")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IFERROR(__xludf.DUMMYFUNCTION("FILTER('설정시트'!$D$7:$K$20,'설정시트'!$C$7:$C$20=I409)"),"#N/A")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IFERROR(__xludf.DUMMYFUNCTION("FILTER('설정시트'!$D$7:$K$20,'설정시트'!$C$7:$C$20=I410)"),"#N/A")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IFERROR(__xludf.DUMMYFUNCTION("FILTER('설정시트'!$D$7:$K$20,'설정시트'!$C$7:$C$20=I411)"),"#N/A")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IFERROR(__xludf.DUMMYFUNCTION("FILTER('설정시트'!$D$7:$K$20,'설정시트'!$C$7:$C$20=I412)"),"#N/A")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IFERROR(__xludf.DUMMYFUNCTION("FILTER('설정시트'!$D$7:$K$20,'설정시트'!$C$7:$C$20=I413)"),"#N/A")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IFERROR(__xludf.DUMMYFUNCTION("FILTER('설정시트'!$D$7:$K$20,'설정시트'!$C$7:$C$20=I414)"),"#N/A")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IFERROR(__xludf.DUMMYFUNCTION("FILTER('설정시트'!$D$7:$K$20,'설정시트'!$C$7:$C$20=I415)"),"#N/A")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IFERROR(__xludf.DUMMYFUNCTION("FILTER('설정시트'!$D$7:$K$20,'설정시트'!$C$7:$C$20=I416)"),"#N/A")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IFERROR(__xludf.DUMMYFUNCTION("FILTER('설정시트'!$D$7:$K$20,'설정시트'!$C$7:$C$20=I417)"),"#N/A")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IFERROR(__xludf.DUMMYFUNCTION("FILTER('설정시트'!$D$7:$K$20,'설정시트'!$C$7:$C$20=I418)"),"#N/A")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IFERROR(__xludf.DUMMYFUNCTION("FILTER('설정시트'!$D$7:$K$20,'설정시트'!$C$7:$C$20=I419)"),"#N/A")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IFERROR(__xludf.DUMMYFUNCTION("FILTER('설정시트'!$D$7:$K$20,'설정시트'!$C$7:$C$20=I420)"),"#N/A")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IFERROR(__xludf.DUMMYFUNCTION("FILTER('설정시트'!$D$7:$K$20,'설정시트'!$C$7:$C$20=I421)"),"#N/A")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IFERROR(__xludf.DUMMYFUNCTION("FILTER('설정시트'!$D$7:$K$20,'설정시트'!$C$7:$C$20=I422)"),"#N/A")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IFERROR(__xludf.DUMMYFUNCTION("FILTER('설정시트'!$D$7:$K$20,'설정시트'!$C$7:$C$20=I423)"),"#N/A")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IFERROR(__xludf.DUMMYFUNCTION("FILTER('설정시트'!$D$7:$K$20,'설정시트'!$C$7:$C$20=I424)"),"#N/A")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IFERROR(__xludf.DUMMYFUNCTION("FILTER('설정시트'!$D$7:$K$20,'설정시트'!$C$7:$C$20=I425)"),"#N/A")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IFERROR(__xludf.DUMMYFUNCTION("FILTER('설정시트'!$D$7:$K$20,'설정시트'!$C$7:$C$20=I426)"),"#N/A")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IFERROR(__xludf.DUMMYFUNCTION("FILTER('설정시트'!$D$7:$K$20,'설정시트'!$C$7:$C$20=I427)"),"#N/A")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IFERROR(__xludf.DUMMYFUNCTION("FILTER('설정시트'!$D$7:$K$20,'설정시트'!$C$7:$C$20=I428)"),"#N/A")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IFERROR(__xludf.DUMMYFUNCTION("FILTER('설정시트'!$D$7:$K$20,'설정시트'!$C$7:$C$20=I429)"),"#N/A")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IFERROR(__xludf.DUMMYFUNCTION("FILTER('설정시트'!$D$7:$K$20,'설정시트'!$C$7:$C$20=I430)"),"#N/A")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IFERROR(__xludf.DUMMYFUNCTION("FILTER('설정시트'!$D$7:$K$20,'설정시트'!$C$7:$C$20=I431)"),"#N/A")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IFERROR(__xludf.DUMMYFUNCTION("FILTER('설정시트'!$D$7:$K$20,'설정시트'!$C$7:$C$20=I432)"),"#N/A")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IFERROR(__xludf.DUMMYFUNCTION("FILTER('설정시트'!$D$7:$K$20,'설정시트'!$C$7:$C$20=I433)"),"#N/A")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IFERROR(__xludf.DUMMYFUNCTION("FILTER('설정시트'!$D$7:$K$20,'설정시트'!$C$7:$C$20=I434)"),"#N/A")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IFERROR(__xludf.DUMMYFUNCTION("FILTER('설정시트'!$D$7:$K$20,'설정시트'!$C$7:$C$20=I435)"),"#N/A")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IFERROR(__xludf.DUMMYFUNCTION("FILTER('설정시트'!$D$7:$K$20,'설정시트'!$C$7:$C$20=I436)"),"#N/A")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IFERROR(__xludf.DUMMYFUNCTION("FILTER('설정시트'!$D$7:$K$20,'설정시트'!$C$7:$C$20=I437)"),"#N/A")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IFERROR(__xludf.DUMMYFUNCTION("FILTER('설정시트'!$D$7:$K$20,'설정시트'!$C$7:$C$20=I438)"),"#N/A")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IFERROR(__xludf.DUMMYFUNCTION("FILTER('설정시트'!$D$7:$K$20,'설정시트'!$C$7:$C$20=I439)"),"#N/A")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IFERROR(__xludf.DUMMYFUNCTION("FILTER('설정시트'!$D$7:$K$20,'설정시트'!$C$7:$C$20=I440)"),"#N/A")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IFERROR(__xludf.DUMMYFUNCTION("FILTER('설정시트'!$D$7:$K$20,'설정시트'!$C$7:$C$20=I441)"),"#N/A")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IFERROR(__xludf.DUMMYFUNCTION("FILTER('설정시트'!$D$7:$K$20,'설정시트'!$C$7:$C$20=I442)"),"#N/A")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IFERROR(__xludf.DUMMYFUNCTION("FILTER('설정시트'!$D$7:$K$20,'설정시트'!$C$7:$C$20=I443)"),"#N/A")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IFERROR(__xludf.DUMMYFUNCTION("FILTER('설정시트'!$D$7:$K$20,'설정시트'!$C$7:$C$20=I444)"),"#N/A")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IFERROR(__xludf.DUMMYFUNCTION("FILTER('설정시트'!$D$7:$K$20,'설정시트'!$C$7:$C$20=I445)"),"#N/A")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IFERROR(__xludf.DUMMYFUNCTION("FILTER('설정시트'!$D$7:$K$20,'설정시트'!$C$7:$C$20=I446)"),"#N/A")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IFERROR(__xludf.DUMMYFUNCTION("FILTER('설정시트'!$D$7:$K$20,'설정시트'!$C$7:$C$20=I447)"),"#N/A")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IFERROR(__xludf.DUMMYFUNCTION("FILTER('설정시트'!$D$7:$K$20,'설정시트'!$C$7:$C$20=I448)"),"#N/A")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IFERROR(__xludf.DUMMYFUNCTION("FILTER('설정시트'!$D$7:$K$20,'설정시트'!$C$7:$C$20=I449)"),"#N/A")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IFERROR(__xludf.DUMMYFUNCTION("FILTER('설정시트'!$D$7:$K$20,'설정시트'!$C$7:$C$20=I450)"),"#N/A")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IFERROR(__xludf.DUMMYFUNCTION("FILTER('설정시트'!$D$7:$K$20,'설정시트'!$C$7:$C$20=I451)"),"#N/A")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IFERROR(__xludf.DUMMYFUNCTION("FILTER('설정시트'!$D$7:$K$20,'설정시트'!$C$7:$C$20=I452)"),"#N/A")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IFERROR(__xludf.DUMMYFUNCTION("FILTER('설정시트'!$D$7:$K$20,'설정시트'!$C$7:$C$20=I453)"),"#N/A")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IFERROR(__xludf.DUMMYFUNCTION("FILTER('설정시트'!$D$7:$K$20,'설정시트'!$C$7:$C$20=I454)"),"#N/A")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IFERROR(__xludf.DUMMYFUNCTION("FILTER('설정시트'!$D$7:$K$20,'설정시트'!$C$7:$C$20=I455)"),"#N/A")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IFERROR(__xludf.DUMMYFUNCTION("FILTER('설정시트'!$D$7:$K$20,'설정시트'!$C$7:$C$20=I456)"),"#N/A")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IFERROR(__xludf.DUMMYFUNCTION("FILTER('설정시트'!$D$7:$K$20,'설정시트'!$C$7:$C$20=I457)"),"#N/A")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IFERROR(__xludf.DUMMYFUNCTION("FILTER('설정시트'!$D$7:$K$20,'설정시트'!$C$7:$C$20=I458)"),"#N/A")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IFERROR(__xludf.DUMMYFUNCTION("FILTER('설정시트'!$D$7:$K$20,'설정시트'!$C$7:$C$20=I459)"),"#N/A")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IFERROR(__xludf.DUMMYFUNCTION("FILTER('설정시트'!$D$7:$K$20,'설정시트'!$C$7:$C$20=I460)"),"#N/A")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IFERROR(__xludf.DUMMYFUNCTION("FILTER('설정시트'!$D$7:$K$20,'설정시트'!$C$7:$C$20=I461)"),"#N/A")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IFERROR(__xludf.DUMMYFUNCTION("FILTER('설정시트'!$D$7:$K$20,'설정시트'!$C$7:$C$20=I462)"),"#N/A")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IFERROR(__xludf.DUMMYFUNCTION("FILTER('설정시트'!$D$7:$K$20,'설정시트'!$C$7:$C$20=I463)"),"#N/A")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IFERROR(__xludf.DUMMYFUNCTION("FILTER('설정시트'!$D$7:$K$20,'설정시트'!$C$7:$C$20=I464)"),"#N/A")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IFERROR(__xludf.DUMMYFUNCTION("FILTER('설정시트'!$D$7:$K$20,'설정시트'!$C$7:$C$20=I465)"),"#N/A")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IFERROR(__xludf.DUMMYFUNCTION("FILTER('설정시트'!$D$7:$K$20,'설정시트'!$C$7:$C$20=I466)"),"#N/A")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IFERROR(__xludf.DUMMYFUNCTION("FILTER('설정시트'!$D$7:$K$20,'설정시트'!$C$7:$C$20=I467)"),"#N/A")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IFERROR(__xludf.DUMMYFUNCTION("FILTER('설정시트'!$D$7:$K$20,'설정시트'!$C$7:$C$20=I468)"),"#N/A")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IFERROR(__xludf.DUMMYFUNCTION("FILTER('설정시트'!$D$7:$K$20,'설정시트'!$C$7:$C$20=I469)"),"#N/A")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IFERROR(__xludf.DUMMYFUNCTION("FILTER('설정시트'!$D$7:$K$20,'설정시트'!$C$7:$C$20=I470)"),"#N/A")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IFERROR(__xludf.DUMMYFUNCTION("FILTER('설정시트'!$D$7:$K$20,'설정시트'!$C$7:$C$20=I471)"),"#N/A")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IFERROR(__xludf.DUMMYFUNCTION("FILTER('설정시트'!$D$7:$K$20,'설정시트'!$C$7:$C$20=I472)"),"#N/A")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IFERROR(__xludf.DUMMYFUNCTION("FILTER('설정시트'!$D$7:$K$20,'설정시트'!$C$7:$C$20=I473)"),"#N/A")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IFERROR(__xludf.DUMMYFUNCTION("FILTER('설정시트'!$D$7:$K$20,'설정시트'!$C$7:$C$20=I474)"),"#N/A")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IFERROR(__xludf.DUMMYFUNCTION("FILTER('설정시트'!$D$7:$K$20,'설정시트'!$C$7:$C$20=I475)"),"#N/A")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IFERROR(__xludf.DUMMYFUNCTION("FILTER('설정시트'!$D$7:$K$20,'설정시트'!$C$7:$C$20=I476)"),"#N/A")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IFERROR(__xludf.DUMMYFUNCTION("FILTER('설정시트'!$D$7:$K$20,'설정시트'!$C$7:$C$20=I477)"),"#N/A")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IFERROR(__xludf.DUMMYFUNCTION("FILTER('설정시트'!$D$7:$K$20,'설정시트'!$C$7:$C$20=I478)"),"#N/A")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IFERROR(__xludf.DUMMYFUNCTION("FILTER('설정시트'!$D$7:$K$20,'설정시트'!$C$7:$C$20=I479)"),"#N/A")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IFERROR(__xludf.DUMMYFUNCTION("FILTER('설정시트'!$D$7:$K$20,'설정시트'!$C$7:$C$20=I480)"),"#N/A")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IFERROR(__xludf.DUMMYFUNCTION("FILTER('설정시트'!$D$7:$K$20,'설정시트'!$C$7:$C$20=I481)"),"#N/A")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IFERROR(__xludf.DUMMYFUNCTION("FILTER('설정시트'!$D$7:$K$20,'설정시트'!$C$7:$C$20=I482)"),"#N/A")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IFERROR(__xludf.DUMMYFUNCTION("FILTER('설정시트'!$D$7:$K$20,'설정시트'!$C$7:$C$20=I483)"),"#N/A")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IFERROR(__xludf.DUMMYFUNCTION("FILTER('설정시트'!$D$7:$K$20,'설정시트'!$C$7:$C$20=I484)"),"#N/A")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IFERROR(__xludf.DUMMYFUNCTION("FILTER('설정시트'!$D$7:$K$20,'설정시트'!$C$7:$C$20=I485)"),"#N/A")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IFERROR(__xludf.DUMMYFUNCTION("FILTER('설정시트'!$D$7:$K$20,'설정시트'!$C$7:$C$20=I486)"),"#N/A")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IFERROR(__xludf.DUMMYFUNCTION("FILTER('설정시트'!$D$7:$K$20,'설정시트'!$C$7:$C$20=I487)"),"#N/A")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IFERROR(__xludf.DUMMYFUNCTION("FILTER('설정시트'!$D$7:$K$20,'설정시트'!$C$7:$C$20=I488)"),"#N/A")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IFERROR(__xludf.DUMMYFUNCTION("FILTER('설정시트'!$D$7:$K$20,'설정시트'!$C$7:$C$20=I489)"),"#N/A")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IFERROR(__xludf.DUMMYFUNCTION("FILTER('설정시트'!$D$7:$K$20,'설정시트'!$C$7:$C$20=I490)"),"#N/A")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IFERROR(__xludf.DUMMYFUNCTION("FILTER('설정시트'!$D$7:$K$20,'설정시트'!$C$7:$C$20=I491)"),"#N/A")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IFERROR(__xludf.DUMMYFUNCTION("FILTER('설정시트'!$D$7:$K$20,'설정시트'!$C$7:$C$20=I492)"),"#N/A")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IFERROR(__xludf.DUMMYFUNCTION("FILTER('설정시트'!$D$7:$K$20,'설정시트'!$C$7:$C$20=I493)"),"#N/A")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IFERROR(__xludf.DUMMYFUNCTION("FILTER('설정시트'!$D$7:$K$20,'설정시트'!$C$7:$C$20=I494)"),"#N/A")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IFERROR(__xludf.DUMMYFUNCTION("FILTER('설정시트'!$D$7:$K$20,'설정시트'!$C$7:$C$20=I495)"),"#N/A")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IFERROR(__xludf.DUMMYFUNCTION("FILTER('설정시트'!$D$7:$K$20,'설정시트'!$C$7:$C$20=I496)"),"#N/A")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IFERROR(__xludf.DUMMYFUNCTION("FILTER('설정시트'!$D$7:$K$20,'설정시트'!$C$7:$C$20=I497)"),"#N/A")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IFERROR(__xludf.DUMMYFUNCTION("FILTER('설정시트'!$D$7:$K$20,'설정시트'!$C$7:$C$20=I498)"),"#N/A")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IFERROR(__xludf.DUMMYFUNCTION("FILTER('설정시트'!$D$7:$K$20,'설정시트'!$C$7:$C$20=I499)"),"#N/A")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IFERROR(__xludf.DUMMYFUNCTION("FILTER('설정시트'!$D$7:$K$20,'설정시트'!$C$7:$C$20=I500)"),"#N/A")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48029EEC-043B-4596-BD82-4885B5601D90}" filter="1" showAutoFilter="1">
      <autoFilter ref="$I$61:$L$500"/>
    </customSheetView>
    <customSheetView guid="{1306F103-82DB-4721-A081-DFC677B29403}" filter="1" showAutoFilter="1">
      <autoFilter ref="$H$61:$J$179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95">
      <formula1>'2월'!$AB$95:$AI$95</formula1>
    </dataValidation>
    <dataValidation type="list" allowBlank="1" showErrorMessage="1" sqref="J347">
      <formula1>'2월'!$AB$347:$AI$347</formula1>
    </dataValidation>
    <dataValidation type="list" allowBlank="1" showErrorMessage="1" sqref="J144">
      <formula1>'2월'!$AB$144:$AI$144</formula1>
    </dataValidation>
    <dataValidation type="list" allowBlank="1" showErrorMessage="1" sqref="J238">
      <formula1>'2월'!$AB$238:$AI$238</formula1>
    </dataValidation>
    <dataValidation type="list" allowBlank="1" showErrorMessage="1" sqref="J253">
      <formula1>'2월'!$AB$253:$AI$253</formula1>
    </dataValidation>
    <dataValidation type="list" allowBlank="1" showErrorMessage="1" sqref="J342">
      <formula1>'2월'!$AB$342:$AI$342</formula1>
    </dataValidation>
    <dataValidation type="list" allowBlank="1" showErrorMessage="1" sqref="J149">
      <formula1>'2월'!$AB$149:$AI$149</formula1>
    </dataValidation>
    <dataValidation type="list" allowBlank="1" showErrorMessage="1" sqref="J456">
      <formula1>'2월'!$AB$456:$AI$456</formula1>
    </dataValidation>
    <dataValidation type="list" allowBlank="1" showErrorMessage="1" sqref="J451">
      <formula1>'2월'!$AB$451:$AI$451</formula1>
    </dataValidation>
    <dataValidation type="list" allowBlank="1" showErrorMessage="1" sqref="J398">
      <formula1>'2월'!$AB$398:$AI$398</formula1>
    </dataValidation>
    <dataValidation type="list" allowBlank="1" showErrorMessage="1" sqref="J109">
      <formula1>'2월'!$AB$109:$AI$109</formula1>
    </dataValidation>
    <dataValidation type="list" allowBlank="1" showErrorMessage="1" sqref="J218">
      <formula1>'2월'!$AB$218:$AI$218</formula1>
    </dataValidation>
    <dataValidation type="list" allowBlank="1" showErrorMessage="1" sqref="J124">
      <formula1>'2월'!$AB$124:$AI$124</formula1>
    </dataValidation>
    <dataValidation type="list" allowBlank="1" showErrorMessage="1" sqref="J195">
      <formula1>'2월'!$AB$195:$AI$195</formula1>
    </dataValidation>
    <dataValidation type="list" allowBlank="1" showErrorMessage="1" sqref="J81">
      <formula1>'2월'!$AB$81:$AI$81</formula1>
    </dataValidation>
    <dataValidation type="list" allowBlank="1" showErrorMessage="1" sqref="J327">
      <formula1>'2월'!$AB$327:$AI$327</formula1>
    </dataValidation>
    <dataValidation type="list" allowBlank="1" showErrorMessage="1" sqref="J233">
      <formula1>'2월'!$AB$233:$AI$233</formula1>
    </dataValidation>
    <dataValidation type="list" allowBlank="1" showErrorMessage="1" sqref="J322">
      <formula1>'2월'!$AB$322:$AI$322</formula1>
    </dataValidation>
    <dataValidation type="list" allowBlank="1" showErrorMessage="1" sqref="J393">
      <formula1>'2월'!$AB$393:$AI$393</formula1>
    </dataValidation>
    <dataValidation type="list" allowBlank="1" showErrorMessage="1" sqref="J129">
      <formula1>'2월'!$AB$129:$AI$129</formula1>
    </dataValidation>
    <dataValidation type="list" allowBlank="1" showErrorMessage="1" sqref="J284">
      <formula1>'2월'!$AB$284:$AI$284</formula1>
    </dataValidation>
    <dataValidation type="list" allowBlank="1" showErrorMessage="1" sqref="J289">
      <formula1>'2월'!$AB$289:$AI$289</formula1>
    </dataValidation>
    <dataValidation type="list" allowBlank="1" showErrorMessage="1" sqref="J436">
      <formula1>'2월'!$AB$436:$AI$436</formula1>
    </dataValidation>
    <dataValidation type="list" allowBlank="1" showErrorMessage="1" sqref="J431">
      <formula1>'2월'!$AB$431:$AI$431</formula1>
    </dataValidation>
    <dataValidation type="list" allowBlank="1" showErrorMessage="1" sqref="J222">
      <formula1>'2월'!$AB$222:$AI$222</formula1>
    </dataValidation>
    <dataValidation type="list" allowBlank="1" showErrorMessage="1" sqref="J411">
      <formula1>'2월'!$AB$411:$AI$411</formula1>
    </dataValidation>
    <dataValidation type="list" allowBlank="1" showErrorMessage="1" sqref="J269">
      <formula1>'2월'!$AB$269:$AI$269</formula1>
    </dataValidation>
    <dataValidation type="list" allowBlank="1" showErrorMessage="1" sqref="J496">
      <formula1>'2월'!$AB$496:$AI$496</formula1>
    </dataValidation>
    <dataValidation type="list" allowBlank="1" showErrorMessage="1" sqref="J189">
      <formula1>'2월'!$AB$189:$AI$189</formula1>
    </dataValidation>
    <dataValidation type="list" allowBlank="1" showErrorMessage="1" sqref="J302">
      <formula1>'2월'!$AB$302:$AI$302</formula1>
    </dataValidation>
    <dataValidation type="list" allowBlank="1" showErrorMessage="1" sqref="J487">
      <formula1>'2월'!$AB$487:$AI$487</formula1>
    </dataValidation>
    <dataValidation type="list" allowBlank="1" showErrorMessage="1" sqref="J331">
      <formula1>'2월'!$AB$331:$AI$331</formula1>
    </dataValidation>
    <dataValidation type="list" allowBlank="1" showErrorMessage="1" sqref="J83">
      <formula1>'2월'!$AB$83:$AI$83</formula1>
    </dataValidation>
    <dataValidation type="list" allowBlank="1" showErrorMessage="1" sqref="J213">
      <formula1>'2월'!$AB$213:$AI$213</formula1>
    </dataValidation>
    <dataValidation type="list" allowBlank="1" showErrorMessage="1" sqref="J420">
      <formula1>'2월'!$AB$420:$AI$420</formula1>
    </dataValidation>
    <dataValidation type="list" allowBlank="1" showErrorMessage="1" sqref="J278">
      <formula1>'2월'!$AB$278:$AI$278</formula1>
    </dataValidation>
    <dataValidation type="list" allowBlank="1" showErrorMessage="1" sqref="J104">
      <formula1>'2월'!$AB$104:$AI$104</formula1>
    </dataValidation>
    <dataValidation type="list" allowBlank="1" showErrorMessage="1" sqref="J113">
      <formula1>'2월'!$AB$113:$AI$113</formula1>
    </dataValidation>
    <dataValidation type="list" allowBlank="1" showErrorMessage="1" sqref="J378">
      <formula1>'2월'!$AB$378:$AI$378</formula1>
    </dataValidation>
    <dataValidation type="list" allowBlank="1" showErrorMessage="1" sqref="J387">
      <formula1>'2월'!$AB$387:$AI$387</formula1>
    </dataValidation>
    <dataValidation type="list" allowBlank="1" showErrorMessage="1" sqref="J476">
      <formula1>'2월'!$AB$476:$AI$476</formula1>
    </dataValidation>
    <dataValidation type="list" allowBlank="1" showErrorMessage="1" sqref="J367">
      <formula1>'2월'!$AB$367:$AI$367</formula1>
    </dataValidation>
    <dataValidation type="list" allowBlank="1" showErrorMessage="1" sqref="J447">
      <formula1>'2월'!$AB$447:$AI$447</formula1>
    </dataValidation>
    <dataValidation type="list" allowBlank="1" showErrorMessage="1" sqref="J400">
      <formula1>'2월'!$AB$400:$AI$400</formula1>
    </dataValidation>
    <dataValidation type="list" allowBlank="1" showErrorMessage="1" sqref="J150">
      <formula1>'2월'!$AB$150:$AI$150</formula1>
    </dataValidation>
    <dataValidation type="list" allowBlank="1" showErrorMessage="1" sqref="J311">
      <formula1>'2월'!$AB$311:$AI$311</formula1>
    </dataValidation>
    <dataValidation type="list" allowBlank="1" showErrorMessage="1" sqref="J258">
      <formula1>'2월'!$AB$258:$AI$258</formula1>
    </dataValidation>
    <dataValidation type="list" allowBlank="1" showErrorMessage="1" sqref="J78">
      <formula1>'2월'!$AB$78:$AI$78</formula1>
    </dataValidation>
    <dataValidation type="list" allowBlank="1" showErrorMessage="1" sqref="J467">
      <formula1>'2월'!$AB$467:$AI$467</formula1>
    </dataValidation>
    <dataValidation type="list" allowBlank="1" showErrorMessage="1" sqref="J169">
      <formula1>'2월'!$AB$169:$AI$169</formula1>
    </dataValidation>
    <dataValidation type="list" allowBlank="1" showErrorMessage="1" sqref="J500">
      <formula1>'2월'!$AB$500:$AI$500</formula1>
    </dataValidation>
    <dataValidation type="list" allowBlank="1" showErrorMessage="1" sqref="J249">
      <formula1>'2월'!$AB$249:$AI$249</formula1>
    </dataValidation>
    <dataValidation type="list" allowBlank="1" showErrorMessage="1" sqref="J202">
      <formula1>'2월'!$AB$202:$AI$202</formula1>
    </dataValidation>
    <dataValidation type="list" allowBlank="1" showErrorMessage="1" sqref="J358">
      <formula1>'2월'!$AB$358:$AI$358</formula1>
    </dataValidation>
    <dataValidation type="list" allowBlank="1" showErrorMessage="1" sqref="J333">
      <formula1>'2월'!$AB$333:$AI$333</formula1>
    </dataValidation>
    <dataValidation type="list" allowBlank="1" showErrorMessage="1" sqref="J300">
      <formula1>'2월'!$AB$300:$AI$300</formula1>
    </dataValidation>
    <dataValidation type="list" allowBlank="1" showErrorMessage="1" sqref="J480">
      <formula1>'2월'!$AB$480:$AI$480</formula1>
    </dataValidation>
    <dataValidation type="list" allowBlank="1" showErrorMessage="1" sqref="J442">
      <formula1>'2월'!$AB$442:$AI$442</formula1>
    </dataValidation>
    <dataValidation type="list" allowBlank="1" showErrorMessage="1" sqref="J427">
      <formula1>'2월'!$AB$427:$AI$427</formula1>
    </dataValidation>
    <dataValidation type="list" allowBlank="1" showErrorMessage="1" sqref="J224">
      <formula1>'2월'!$AB$224:$AI$224</formula1>
    </dataValidation>
    <dataValidation type="list" allowBlank="1" showErrorMessage="1" sqref="J267">
      <formula1>'2월'!$AB$267:$AI$267</formula1>
    </dataValidation>
    <dataValidation type="list" allowBlank="1" showErrorMessage="1" sqref="J71">
      <formula1>'2월'!$AB$71:$AI$71</formula1>
    </dataValidation>
    <dataValidation type="list" allowBlank="1" showErrorMessage="1" sqref="J371">
      <formula1>'2월'!$AB$371:$AI$371</formula1>
    </dataValidation>
    <dataValidation type="list" allowBlank="1" showErrorMessage="1" sqref="J376">
      <formula1>'2월'!$AB$376:$AI$376</formula1>
    </dataValidation>
    <dataValidation type="list" allowBlank="1" showErrorMessage="1" sqref="J115">
      <formula1>'2월'!$AB$115:$AI$115</formula1>
    </dataValidation>
    <dataValidation type="list" allowBlank="1" showErrorMessage="1" sqref="J356">
      <formula1>'2월'!$AB$356:$AI$356</formula1>
    </dataValidation>
    <dataValidation type="list" allowBlank="1" showErrorMessage="1" sqref="J64">
      <formula1>'2월'!$AB$64:$AI$64</formula1>
    </dataValidation>
    <dataValidation type="list" allowBlank="1" showErrorMessage="1" sqref="J262">
      <formula1>'2월'!$AB$262:$AI$262</formula1>
    </dataValidation>
    <dataValidation type="list" allowBlank="1" showErrorMessage="1" sqref="J391">
      <formula1>'2월'!$AB$391:$AI$391</formula1>
    </dataValidation>
    <dataValidation type="list" allowBlank="1" showErrorMessage="1" sqref="J229">
      <formula1>'2월'!$AB$229:$AI$229</formula1>
    </dataValidation>
    <dataValidation type="list" allowBlank="1" showErrorMessage="1" sqref="J465">
      <formula1>'2월'!$AB$465:$AI$465</formula1>
    </dataValidation>
    <dataValidation type="list" allowBlank="1" showErrorMessage="1" sqref="J498">
      <formula1>'2월'!$AB$498:$AI$498</formula1>
    </dataValidation>
    <dataValidation type="list" allowBlank="1" showErrorMessage="1" sqref="J158">
      <formula1>'2월'!$AB$158:$AI$158</formula1>
    </dataValidation>
    <dataValidation type="list" allowBlank="1" showErrorMessage="1" sqref="J153">
      <formula1>'2월'!$AB$153:$AI$153</formula1>
    </dataValidation>
    <dataValidation type="list" allowBlank="1" showErrorMessage="1" sqref="J338">
      <formula1>'2월'!$AB$338:$AI$338</formula1>
    </dataValidation>
    <dataValidation type="list" allowBlank="1" showErrorMessage="1" sqref="J351">
      <formula1>'2월'!$AB$351:$AI$351</formula1>
    </dataValidation>
    <dataValidation type="list" allowBlank="1" showErrorMessage="1" sqref="J204">
      <formula1>'2월'!$AB$204:$AI$204</formula1>
    </dataValidation>
    <dataValidation type="list" allowBlank="1" showErrorMessage="1" sqref="J193">
      <formula1>'2월'!$AB$193:$AI$193</formula1>
    </dataValidation>
    <dataValidation type="list" allowBlank="1" showErrorMessage="1" sqref="J407">
      <formula1>'2월'!$AB$407:$AI$407</formula1>
    </dataValidation>
    <dataValidation type="list" allowBlank="1" showErrorMessage="1" sqref="J478">
      <formula1>'2월'!$AB$478:$AI$478</formula1>
    </dataValidation>
    <dataValidation type="list" allowBlank="1" showErrorMessage="1" sqref="J445">
      <formula1>'2월'!$AB$445:$AI$445</formula1>
    </dataValidation>
    <dataValidation type="list" allowBlank="1" showErrorMessage="1" sqref="J460">
      <formula1>'2월'!$AB$460:$AI$460</formula1>
    </dataValidation>
    <dataValidation type="list" allowBlank="1" showErrorMessage="1" sqref="J242">
      <formula1>'2월'!$AB$242:$AI$242</formula1>
    </dataValidation>
    <dataValidation type="list" allowBlank="1" showErrorMessage="1" sqref="J336">
      <formula1>'2월'!$AB$336:$AI$336</formula1>
    </dataValidation>
    <dataValidation type="list" allowBlank="1" showErrorMessage="1" sqref="J76">
      <formula1>'2월'!$AB$76:$AI$76</formula1>
    </dataValidation>
    <dataValidation type="list" allowBlank="1" showErrorMessage="1" sqref="J369">
      <formula1>'2월'!$AB$369:$AI$369</formula1>
    </dataValidation>
    <dataValidation type="list" allowBlank="1" showErrorMessage="1" sqref="J170">
      <formula1>'2월'!$AB$170:$AI$170</formula1>
    </dataValidation>
    <dataValidation type="list" allowBlank="1" showErrorMessage="1" sqref="J389">
      <formula1>'2월'!$AB$389:$AI$389</formula1>
    </dataValidation>
    <dataValidation type="list" allowBlank="1" showErrorMessage="1" sqref="J209">
      <formula1>'2월'!$AB$209:$AI$209</formula1>
    </dataValidation>
    <dataValidation type="list" allowBlank="1" showErrorMessage="1" sqref="J298">
      <formula1>'2월'!$AB$298:$AI$298</formula1>
    </dataValidation>
    <dataValidation type="list" allowBlank="1" showErrorMessage="1" sqref="J247">
      <formula1>'2월'!$AB$247:$AI$247</formula1>
    </dataValidation>
    <dataValidation type="list" allowBlank="1" showErrorMessage="1" sqref="J422">
      <formula1>'2월'!$AB$422:$AI$422</formula1>
    </dataValidation>
    <dataValidation type="list" allowBlank="1" showErrorMessage="1" sqref="J440">
      <formula1>'2월'!$AB$440:$AI$440</formula1>
    </dataValidation>
    <dataValidation type="list" allowBlank="1" showErrorMessage="1" sqref="J138">
      <formula1>'2월'!$AB$138:$AI$138</formula1>
    </dataValidation>
    <dataValidation type="list" allowBlank="1" showErrorMessage="1" sqref="J318">
      <formula1>'2월'!$AB$318:$AI$318</formula1>
    </dataValidation>
    <dataValidation type="list" allowBlank="1" showErrorMessage="1" sqref="J133">
      <formula1>'2월'!$AB$133:$AI$133</formula1>
    </dataValidation>
    <dataValidation type="list" allowBlank="1" showErrorMessage="1" sqref="J313">
      <formula1>'2월'!$AB$313:$AI$313</formula1>
    </dataValidation>
    <dataValidation type="list" allowBlank="1" showErrorMessage="1" sqref="J316">
      <formula1>'2월'!$AB$316:$AI$316</formula1>
    </dataValidation>
    <dataValidation type="list" allowBlank="1" showErrorMessage="1" sqref="J425">
      <formula1>'2월'!$AB$425:$AI$425</formula1>
    </dataValidation>
    <dataValidation type="list" allowBlank="1" showErrorMessage="1" sqref="J175">
      <formula1>'2월'!$AB$175:$AI$175</formula1>
    </dataValidation>
    <dataValidation type="list" allowBlank="1" showErrorMessage="1" sqref="J482">
      <formula1>'2월'!$AB$482:$AI$482</formula1>
    </dataValidation>
    <dataValidation type="list" allowBlank="1" showErrorMessage="1" sqref="J118">
      <formula1>'2월'!$AB$118:$AI$118</formula1>
    </dataValidation>
    <dataValidation type="list" allowBlank="1" showErrorMessage="1" sqref="J227">
      <formula1>'2월'!$AB$227:$AI$227</formula1>
    </dataValidation>
    <dataValidation type="list" allowBlank="1" showErrorMessage="1" sqref="J264">
      <formula1>'2월'!$AB$264:$AI$264</formula1>
    </dataValidation>
    <dataValidation type="list" allowBlank="1" showErrorMessage="1" sqref="J190">
      <formula1>'2월'!$AB$190:$AI$190</formula1>
    </dataValidation>
    <dataValidation type="list" allowBlank="1" showErrorMessage="1" sqref="J373">
      <formula1>'2월'!$AB$373:$AI$373</formula1>
    </dataValidation>
    <dataValidation type="list" allowBlank="1" showErrorMessage="1" sqref="J73">
      <formula1>'2월'!$AB$73:$AI$73</formula1>
    </dataValidation>
    <dataValidation type="list" allowBlank="1" showErrorMessage="1" sqref="J68">
      <formula1>'2월'!$AB$68:$AI$68</formula1>
    </dataValidation>
    <dataValidation type="list" allowBlank="1" showErrorMessage="1" sqref="J462">
      <formula1>'2월'!$AB$462:$AI$462</formula1>
    </dataValidation>
    <dataValidation type="list" allowBlank="1" showErrorMessage="1" sqref="J405">
      <formula1>'2월'!$AB$405:$AI$405</formula1>
    </dataValidation>
    <dataValidation type="list" allowBlank="1" showErrorMessage="1" sqref="J155">
      <formula1>'2월'!$AB$155:$AI$155</formula1>
    </dataValidation>
    <dataValidation type="list" allowBlank="1" showErrorMessage="1" sqref="J135">
      <formula1>'2월'!$AB$135:$AI$135</formula1>
    </dataValidation>
    <dataValidation type="list" allowBlank="1" showErrorMessage="1" sqref="J66">
      <formula1>'2월'!$AB$66:$AI$66</formula1>
    </dataValidation>
    <dataValidation type="list" allowBlank="1" showErrorMessage="1" sqref="J282">
      <formula1>'2월'!$AB$282:$AI$282</formula1>
    </dataValidation>
    <dataValidation type="list" allowBlank="1" showErrorMessage="1" sqref="J244">
      <formula1>'2월'!$AB$244:$AI$244</formula1>
    </dataValidation>
    <dataValidation type="list" allowBlank="1" showErrorMessage="1" sqref="J173">
      <formula1>'2월'!$AB$173:$AI$173</formula1>
    </dataValidation>
    <dataValidation type="list" allowBlank="1" showErrorMessage="1" sqref="J207">
      <formula1>'2월'!$AB$207:$AI$207</formula1>
    </dataValidation>
    <dataValidation type="list" allowBlank="1" showErrorMessage="1" sqref="J353">
      <formula1>'2월'!$AB$353:$AI$353</formula1>
    </dataValidation>
    <dataValidation type="list" allowBlank="1" showErrorMessage="1" sqref="J111">
      <formula1>'2월'!$AB$111:$AI$111</formula1>
    </dataValidation>
    <dataValidation type="list" allowBlank="1" showErrorMessage="1" sqref="J408">
      <formula1>'2월'!$AB$408:$AI$408</formula1>
    </dataValidation>
    <dataValidation type="list" allowBlank="1" showErrorMessage="1" sqref="J291">
      <formula1>'2월'!$AB$291:$AI$291</formula1>
    </dataValidation>
    <dataValidation type="list" allowBlank="1" showErrorMessage="1" sqref="J385">
      <formula1>'2월'!$AB$385:$AI$385</formula1>
    </dataValidation>
    <dataValidation type="list" allowBlank="1" showErrorMessage="1" sqref="J177">
      <formula1>'2월'!$AB$177:$AI$177</formula1>
    </dataValidation>
    <dataValidation type="list" allowBlank="1" showErrorMessage="1" sqref="J205">
      <formula1>'2월'!$AB$205:$AI$205</formula1>
    </dataValidation>
    <dataValidation type="list" allowBlank="1" showErrorMessage="1" sqref="J479">
      <formula1>'2월'!$AB$479:$AI$479</formula1>
    </dataValidation>
    <dataValidation type="list" allowBlank="1" showErrorMessage="1" sqref="J167">
      <formula1>'2월'!$AB$167:$AI$167</formula1>
    </dataValidation>
    <dataValidation type="list" allowBlank="1" showErrorMessage="1" sqref="J319">
      <formula1>'2월'!$AB$319:$AI$319</formula1>
    </dataValidation>
    <dataValidation type="list" allowBlank="1" showErrorMessage="1" sqref="J116">
      <formula1>'2월'!$AB$116:$AI$116</formula1>
    </dataValidation>
    <dataValidation type="list" allowBlank="1" showErrorMessage="1" sqref="J210">
      <formula1>'2월'!$AB$210:$AI$210</formula1>
    </dataValidation>
    <dataValidation type="list" allowBlank="1" showErrorMessage="1" sqref="J423">
      <formula1>'2월'!$AB$423:$AI$423</formula1>
    </dataValidation>
    <dataValidation type="list" allowBlank="1" showErrorMessage="1" sqref="J484">
      <formula1>'2월'!$AB$484:$AI$484</formula1>
    </dataValidation>
    <dataValidation type="list" allowBlank="1" showErrorMessage="1" sqref="J215">
      <formula1>'2월'!$AB$215:$AI$215</formula1>
    </dataValidation>
    <dataValidation type="list" allowBlank="1" showErrorMessage="1" sqref="J489">
      <formula1>'2월'!$AB$489:$AI$489</formula1>
    </dataValidation>
    <dataValidation type="list" allowBlank="1" showErrorMessage="1" sqref="J370">
      <formula1>'2월'!$AB$370:$AI$370</formula1>
    </dataValidation>
    <dataValidation type="list" allowBlank="1" showErrorMessage="1" sqref="J162">
      <formula1>'2월'!$AB$162:$AI$162</formula1>
    </dataValidation>
    <dataValidation type="list" allowBlank="1" showErrorMessage="1" sqref="J88">
      <formula1>'2월'!$AB$88:$AI$88</formula1>
    </dataValidation>
    <dataValidation type="list" allowBlank="1" showErrorMessage="1" sqref="J266">
      <formula1>'2월'!$AB$266:$AI$266</formula1>
    </dataValidation>
    <dataValidation type="list" allowBlank="1" showErrorMessage="1" sqref="J200">
      <formula1>'2월'!$AB$200:$AI$200</formula1>
    </dataValidation>
    <dataValidation type="list" allowBlank="1" showErrorMessage="1" sqref="J474">
      <formula1>'2월'!$AB$474:$AI$474</formula1>
    </dataValidation>
    <dataValidation type="list" allowBlank="1" showErrorMessage="1" sqref="J87">
      <formula1>'2월'!$AB$87:$AI$87</formula1>
    </dataValidation>
    <dataValidation type="list" allowBlank="1" showErrorMessage="1" sqref="J355">
      <formula1>'2월'!$AB$355:$AI$355</formula1>
    </dataValidation>
    <dataValidation type="list" allowBlank="1" showErrorMessage="1" sqref="J152">
      <formula1>'2월'!$AB$152:$AI$152</formula1>
    </dataValidation>
    <dataValidation type="list" allowBlank="1" showErrorMessage="1" sqref="J304">
      <formula1>'2월'!$AB$304:$AI$304</formula1>
    </dataValidation>
    <dataValidation type="list" allowBlank="1" showErrorMessage="1" sqref="J309">
      <formula1>'2월'!$AB$309:$AI$309</formula1>
    </dataValidation>
    <dataValidation type="list" allowBlank="1" showErrorMessage="1" sqref="J256">
      <formula1>'2월'!$AB$256:$AI$256</formula1>
    </dataValidation>
    <dataValidation type="list" allowBlank="1" showErrorMessage="1" sqref="J251">
      <formula1>'2월'!$AB$251:$AI$251</formula1>
    </dataValidation>
    <dataValidation type="list" allowBlank="1" showErrorMessage="1" sqref="J86">
      <formula1>'2월'!$AB$86:$AI$86</formula1>
    </dataValidation>
    <dataValidation type="list" allowBlank="1" showErrorMessage="1" sqref="J349">
      <formula1>'2월'!$AB$349:$AI$349</formula1>
    </dataValidation>
    <dataValidation type="list" allowBlank="1" showErrorMessage="1" sqref="J439">
      <formula1>'2월'!$AB$439:$AI$439</formula1>
    </dataValidation>
    <dataValidation type="list" allowBlank="1" showErrorMessage="1" sqref="J151">
      <formula1>'2월'!$AB$151:$AI$151</formula1>
    </dataValidation>
    <dataValidation type="list" allowBlank="1" showErrorMessage="1" sqref="J241">
      <formula1>'2월'!$AB$241:$AI$241</formula1>
    </dataValidation>
    <dataValidation type="list" allowBlank="1" showErrorMessage="1" sqref="J297">
      <formula1>'2월'!$AB$297:$AI$297</formula1>
    </dataValidation>
    <dataValidation type="list" allowBlank="1" showErrorMessage="1" sqref="J449">
      <formula1>'2월'!$AB$449:$AI$449</formula1>
    </dataValidation>
    <dataValidation type="list" allowBlank="1" showErrorMessage="1" sqref="J250">
      <formula1>'2월'!$AB$250:$AI$250</formula1>
    </dataValidation>
    <dataValidation type="list" allowBlank="1" showErrorMessage="1" sqref="J340">
      <formula1>'2월'!$AB$340:$AI$340</formula1>
    </dataValidation>
    <dataValidation type="list" allowBlank="1" showErrorMessage="1" sqref="J359">
      <formula1>'2월'!$AB$359:$AI$359</formula1>
    </dataValidation>
    <dataValidation type="list" allowBlank="1" showErrorMessage="1" sqref="J240">
      <formula1>'2월'!$AB$240:$AI$240</formula1>
    </dataValidation>
    <dataValidation type="list" allowBlank="1" showErrorMessage="1" sqref="J112">
      <formula1>'2월'!$AB$112:$AI$112</formula1>
    </dataValidation>
    <dataValidation type="list" allowBlank="1" showErrorMessage="1" sqref="J330">
      <formula1>'2월'!$AB$330:$AI$330</formula1>
    </dataValidation>
    <dataValidation type="list" allowBlank="1" showErrorMessage="1" sqref="J438">
      <formula1>'2월'!$AB$438:$AI$438</formula1>
    </dataValidation>
    <dataValidation type="list" allowBlank="1" showErrorMessage="1" sqref="J396">
      <formula1>'2월'!$AB$396:$AI$396</formula1>
    </dataValidation>
    <dataValidation type="list" allowBlank="1" showErrorMessage="1" sqref="J122">
      <formula1>'2월'!$AB$122:$AI$122</formula1>
    </dataValidation>
    <dataValidation type="list" allowBlank="1" showErrorMessage="1" sqref="J296">
      <formula1>'2월'!$AB$296:$AI$296</formula1>
    </dataValidation>
    <dataValidation type="list" allowBlank="1" showErrorMessage="1" sqref="J485">
      <formula1>'2월'!$AB$485:$AI$485</formula1>
    </dataValidation>
    <dataValidation type="list" allowBlank="1" showErrorMessage="1" sqref="J121">
      <formula1>'2월'!$AB$121:$AI$121</formula1>
    </dataValidation>
    <dataValidation type="list" allowBlank="1" showErrorMessage="1" sqref="J386">
      <formula1>'2월'!$AB$386:$AI$386</formula1>
    </dataValidation>
    <dataValidation type="list" allowBlank="1" showErrorMessage="1" sqref="J395">
      <formula1>'2월'!$AB$395:$AI$395</formula1>
    </dataValidation>
    <dataValidation type="list" allowBlank="1" showErrorMessage="1" sqref="J211">
      <formula1>'2월'!$AB$211:$AI$211</formula1>
    </dataValidation>
    <dataValidation type="list" allowBlank="1" showErrorMessage="1" sqref="J178">
      <formula1>'2월'!$AB$178:$AI$178</formula1>
    </dataValidation>
    <dataValidation type="list" allowBlank="1" showErrorMessage="1" sqref="J448">
      <formula1>'2월'!$AB$448:$AI$448</formula1>
    </dataValidation>
    <dataValidation type="list" allowBlank="1" showErrorMessage="1" sqref="J219">
      <formula1>'2월'!$AB$219:$AI$219</formula1>
    </dataValidation>
    <dataValidation type="list" allowBlank="1" showErrorMessage="1" sqref="J475">
      <formula1>'2월'!$AB$475:$AI$475</formula1>
    </dataValidation>
    <dataValidation type="list" allowBlank="1" showErrorMessage="1" sqref="J257">
      <formula1>'2월'!$AB$257:$AI$257</formula1>
    </dataValidation>
    <dataValidation type="list" allowBlank="1" showErrorMessage="1" sqref="J201">
      <formula1>'2월'!$AB$201:$AI$201</formula1>
    </dataValidation>
    <dataValidation type="list" allowBlank="1" showErrorMessage="1" sqref="J163">
      <formula1>'2월'!$AB$163:$AI$163</formula1>
    </dataValidation>
    <dataValidation type="list" allowBlank="1" showErrorMessage="1" sqref="J343">
      <formula1>'2월'!$AB$343:$AI$343</formula1>
    </dataValidation>
    <dataValidation type="list" allowBlank="1" showErrorMessage="1" sqref="J168">
      <formula1>'2월'!$AB$168:$AI$168</formula1>
    </dataValidation>
    <dataValidation type="list" allowBlank="1" showErrorMessage="1" sqref="J470">
      <formula1>'2월'!$AB$470:$AI$470</formula1>
    </dataValidation>
    <dataValidation type="list" allowBlank="1" showErrorMessage="1" sqref="J85">
      <formula1>'2월'!$AB$85:$AI$85</formula1>
    </dataValidation>
    <dataValidation type="list" allowBlank="1" showErrorMessage="1" sqref="J295">
      <formula1>'2월'!$AB$295:$AI$295</formula1>
    </dataValidation>
    <dataValidation type="list" allowBlank="1" showErrorMessage="1" sqref="J437">
      <formula1>'2월'!$AB$437:$AI$437</formula1>
    </dataValidation>
    <dataValidation type="list" allowBlank="1" showErrorMessage="1" sqref="J432">
      <formula1>'2월'!$AB$432:$AI$432</formula1>
    </dataValidation>
    <dataValidation type="list" allowBlank="1" showErrorMessage="1" sqref="J292">
      <formula1>'2월'!$AB$292:$AI$292</formula1>
    </dataValidation>
    <dataValidation type="list" allowBlank="1" showErrorMessage="1" sqref="J399">
      <formula1>'2월'!$AB$399:$AI$399</formula1>
    </dataValidation>
    <dataValidation type="list" allowBlank="1" showErrorMessage="1" sqref="J125">
      <formula1>'2월'!$AB$125:$AI$125</formula1>
    </dataValidation>
    <dataValidation type="list" allowBlank="1" showErrorMessage="1" sqref="J305">
      <formula1>'2월'!$AB$305:$AI$305</formula1>
    </dataValidation>
    <dataValidation type="list" allowBlank="1" showErrorMessage="1" sqref="J160">
      <formula1>'2월'!$AB$160:$AI$160</formula1>
    </dataValidation>
    <dataValidation type="list" allowBlank="1" showErrorMessage="1" sqref="J252">
      <formula1>'2월'!$AB$252:$AI$252</formula1>
    </dataValidation>
    <dataValidation type="list" allowBlank="1" showErrorMessage="1" sqref="J303">
      <formula1>'2월'!$AB$303:$AI$303</formula1>
    </dataValidation>
    <dataValidation type="list" allowBlank="1" showErrorMessage="1" sqref="J128">
      <formula1>'2월'!$AB$128:$AI$128</formula1>
    </dataValidation>
    <dataValidation type="list" allowBlank="1" showErrorMessage="1" sqref="J308">
      <formula1>'2월'!$AB$308:$AI$308</formula1>
    </dataValidation>
    <dataValidation type="list" allowBlank="1" showErrorMessage="1" sqref="J110">
      <formula1>'2월'!$AB$110:$AI$110</formula1>
    </dataValidation>
    <dataValidation type="list" allowBlank="1" showErrorMessage="1" sqref="J384">
      <formula1>'2월'!$AB$384:$AI$384</formula1>
    </dataValidation>
    <dataValidation type="list" allowBlank="1" showErrorMessage="1" sqref="J214">
      <formula1>'2월'!$AB$214:$AI$214</formula1>
    </dataValidation>
    <dataValidation type="list" allowBlank="1" showErrorMessage="1" sqref="J473">
      <formula1>'2월'!$AB$473:$AI$473</formula1>
    </dataValidation>
    <dataValidation type="list" allowBlank="1" showErrorMessage="1" sqref="J488">
      <formula1>'2월'!$AB$488:$AI$488</formula1>
    </dataValidation>
    <dataValidation type="list" allowBlank="1" showErrorMessage="1" sqref="J166">
      <formula1>'2월'!$AB$166:$AI$166</formula1>
    </dataValidation>
    <dataValidation type="list" allowBlank="1" showErrorMessage="1" sqref="J346">
      <formula1>'2월'!$AB$346:$AI$346</formula1>
    </dataValidation>
    <dataValidation type="list" allowBlank="1" showErrorMessage="1" sqref="J161">
      <formula1>'2월'!$AB$161:$AI$161</formula1>
    </dataValidation>
    <dataValidation type="list" allowBlank="1" showErrorMessage="1" sqref="J341">
      <formula1>'2월'!$AB$341:$AI$341</formula1>
    </dataValidation>
    <dataValidation type="list" allowBlank="1" showErrorMessage="1" sqref="J383">
      <formula1>'2월'!$AB$383:$AI$383</formula1>
    </dataValidation>
    <dataValidation type="list" allowBlank="1" showErrorMessage="1" sqref="J255">
      <formula1>'2월'!$AB$255:$AI$255</formula1>
    </dataValidation>
    <dataValidation type="list" allowBlank="1" showErrorMessage="1" sqref="J293">
      <formula1>'2월'!$AB$293:$AI$293</formula1>
    </dataValidation>
    <dataValidation type="list" allowBlank="1" showErrorMessage="1" sqref="J217">
      <formula1>'2월'!$AB$217:$AI$217</formula1>
    </dataValidation>
    <dataValidation type="list" allowBlank="1" showErrorMessage="1" sqref="J127">
      <formula1>'2월'!$AB$127:$AI$127</formula1>
    </dataValidation>
    <dataValidation type="list" allowBlank="1" showErrorMessage="1" sqref="J435">
      <formula1>'2월'!$AB$435:$AI$435</formula1>
    </dataValidation>
    <dataValidation type="list" allowBlank="1" showErrorMessage="1" sqref="J307">
      <formula1>'2월'!$AB$307:$AI$307</formula1>
    </dataValidation>
    <dataValidation type="list" allowBlank="1" showErrorMessage="1" sqref="J345">
      <formula1>'2월'!$AB$345:$AI$345</formula1>
    </dataValidation>
    <dataValidation type="list" allowBlank="1" showErrorMessage="1" sqref="J89">
      <formula1>'2월'!$AB$89:$AI$89</formula1>
    </dataValidation>
    <dataValidation type="list" allowBlank="1" showErrorMessage="1" sqref="J165">
      <formula1>'2월'!$AB$165:$AI$165</formula1>
    </dataValidation>
    <dataValidation type="list" allowBlank="1" showErrorMessage="1" sqref="J382">
      <formula1>'2월'!$AB$382:$AI$382</formula1>
    </dataValidation>
    <dataValidation type="list" allowBlank="1" showErrorMessage="1" sqref="J472">
      <formula1>'2월'!$AB$472:$AI$472</formula1>
    </dataValidation>
    <dataValidation type="list" allowBlank="1" showErrorMessage="1" sqref="J126">
      <formula1>'2월'!$AB$126:$AI$126</formula1>
    </dataValidation>
    <dataValidation type="list" allowBlank="1" showErrorMessage="1" sqref="J290">
      <formula1>'2월'!$AB$290:$AI$290</formula1>
    </dataValidation>
    <dataValidation type="list" allowBlank="1" showErrorMessage="1" sqref="J254">
      <formula1>'2월'!$AB$254:$AI$254</formula1>
    </dataValidation>
    <dataValidation type="list" allowBlank="1" showErrorMessage="1" sqref="J380">
      <formula1>'2월'!$AB$380:$AI$380</formula1>
    </dataValidation>
    <dataValidation type="list" allowBlank="1" showErrorMessage="1" sqref="J164">
      <formula1>'2월'!$AB$164:$AI$164</formula1>
    </dataValidation>
    <dataValidation type="list" allowBlank="1" showErrorMessage="1" sqref="J344">
      <formula1>'2월'!$AB$344:$AI$344</formula1>
    </dataValidation>
    <dataValidation type="list" allowBlank="1" showErrorMessage="1" sqref="J433">
      <formula1>'2월'!$AB$433:$AI$433</formula1>
    </dataValidation>
    <dataValidation type="list" allowBlank="1" showErrorMessage="1" sqref="J306">
      <formula1>'2월'!$AB$306:$AI$306</formula1>
    </dataValidation>
    <dataValidation type="list" allowBlank="1" showErrorMessage="1" sqref="J434">
      <formula1>'2월'!$AB$434:$AI$434</formula1>
    </dataValidation>
    <dataValidation type="list" allowBlank="1" showErrorMessage="1" sqref="J471">
      <formula1>'2월'!$AB$471:$AI$471</formula1>
    </dataValidation>
    <dataValidation type="list" allowBlank="1" showErrorMessage="1" sqref="J216">
      <formula1>'2월'!$AB$216:$AI$216</formula1>
    </dataValidation>
    <dataValidation type="list" allowBlank="1" showErrorMessage="1" sqref="J381">
      <formula1>'2월'!$AB$381:$AI$381</formula1>
    </dataValidation>
    <dataValidation type="list" allowBlank="1" showErrorMessage="1" sqref="J461">
      <formula1>'2월'!$AB$461:$AI$461</formula1>
    </dataValidation>
    <dataValidation type="list" allowBlank="1" showErrorMessage="1" sqref="J139">
      <formula1>'2월'!$AB$139:$AI$139</formula1>
    </dataValidation>
    <dataValidation type="list" allowBlank="1" showErrorMessage="1" sqref="J352">
      <formula1>'2월'!$AB$352:$AI$352</formula1>
    </dataValidation>
    <dataValidation type="list" allowBlank="1" showErrorMessage="1" sqref="J446">
      <formula1>'2월'!$AB$446:$AI$446</formula1>
    </dataValidation>
    <dataValidation type="list" allowBlank="1" showErrorMessage="1" sqref="J82">
      <formula1>'2월'!$AB$82:$AI$82</formula1>
    </dataValidation>
    <dataValidation type="list" allowBlank="1" showErrorMessage="1" sqref="J134">
      <formula1>'2월'!$AB$134:$AI$134</formula1>
    </dataValidation>
    <dataValidation type="list" allowBlank="1" showErrorMessage="1" sqref="J357">
      <formula1>'2월'!$AB$357:$AI$357</formula1>
    </dataValidation>
    <dataValidation type="list" allowBlank="1" showErrorMessage="1" sqref="J243">
      <formula1>'2월'!$AB$243:$AI$243</formula1>
    </dataValidation>
    <dataValidation type="list" allowBlank="1" showErrorMessage="1" sqref="J248">
      <formula1>'2월'!$AB$248:$AI$248</formula1>
    </dataValidation>
    <dataValidation type="list" allowBlank="1" showErrorMessage="1" sqref="J426">
      <formula1>'2월'!$AB$426:$AI$426</formula1>
    </dataValidation>
    <dataValidation type="list" allowBlank="1" showErrorMessage="1" sqref="J332">
      <formula1>'2월'!$AB$332:$AI$332</formula1>
    </dataValidation>
    <dataValidation type="list" allowBlank="1" showErrorMessage="1" sqref="J114">
      <formula1>'2월'!$AB$114:$AI$114</formula1>
    </dataValidation>
    <dataValidation type="list" allowBlank="1" showErrorMessage="1" sqref="J441">
      <formula1>'2월'!$AB$441:$AI$441</formula1>
    </dataValidation>
    <dataValidation type="list" allowBlank="1" showErrorMessage="1" sqref="J299">
      <formula1>'2월'!$AB$299:$AI$299</formula1>
    </dataValidation>
    <dataValidation type="list" allowBlank="1" showErrorMessage="1" sqref="J119">
      <formula1>'2월'!$AB$119:$AI$119</formula1>
    </dataValidation>
    <dataValidation type="list" allowBlank="1" showErrorMessage="1" sqref="J294">
      <formula1>'2월'!$AB$294:$AI$294</formula1>
    </dataValidation>
    <dataValidation type="list" allowBlank="1" showErrorMessage="1" sqref="J228">
      <formula1>'2월'!$AB$228:$AI$228</formula1>
    </dataValidation>
    <dataValidation type="list" allowBlank="1" showErrorMessage="1" sqref="J185">
      <formula1>'2월'!$AB$185:$AI$185</formula1>
    </dataValidation>
    <dataValidation type="list" allowBlank="1" showErrorMessage="1" sqref="J388">
      <formula1>'2월'!$AB$388:$AI$388</formula1>
    </dataValidation>
    <dataValidation type="list" allowBlank="1" showErrorMessage="1" sqref="J337">
      <formula1>'2월'!$AB$337:$AI$337</formula1>
    </dataValidation>
    <dataValidation type="list" allowBlank="1" showErrorMessage="1" sqref="J497">
      <formula1>'2월'!$AB$497:$AI$497</formula1>
    </dataValidation>
    <dataValidation type="list" allowBlank="1" showErrorMessage="1" sqref="J223">
      <formula1>'2월'!$AB$223:$AI$223</formula1>
    </dataValidation>
    <dataValidation type="list" allowBlank="1" showErrorMessage="1" sqref="J492">
      <formula1>'2월'!$AB$492:$AI$492</formula1>
    </dataValidation>
    <dataValidation type="list" allowBlank="1" showErrorMessage="1" sqref="J203">
      <formula1>'2월'!$AB$203:$AI$203</formula1>
    </dataValidation>
    <dataValidation type="list" allowBlank="1" showErrorMessage="1" sqref="J288">
      <formula1>'2월'!$AB$288:$AI$288</formula1>
    </dataValidation>
    <dataValidation type="list" allowBlank="1" showErrorMessage="1" sqref="J477">
      <formula1>'2월'!$AB$477:$AI$477</formula1>
    </dataValidation>
    <dataValidation type="list" allowBlank="1" showErrorMessage="1" sqref="J430">
      <formula1>'2월'!$AB$430:$AI$430</formula1>
    </dataValidation>
    <dataValidation type="list" allowBlank="1" showErrorMessage="1" sqref="J123">
      <formula1>'2월'!$AB$123:$AI$123</formula1>
    </dataValidation>
    <dataValidation type="list" allowBlank="1" showErrorMessage="1" sqref="J368">
      <formula1>'2월'!$AB$368:$AI$368</formula1>
    </dataValidation>
    <dataValidation type="list" allowBlank="1" showErrorMessage="1" sqref="J397">
      <formula1>'2월'!$AB$397:$AI$397</formula1>
    </dataValidation>
    <dataValidation type="list" allowBlank="1" showErrorMessage="1" sqref="J401">
      <formula1>'2월'!$AB$401:$AI$401</formula1>
    </dataValidation>
    <dataValidation type="list" allowBlank="1" showErrorMessage="1" sqref="J421">
      <formula1>'2월'!$AB$421:$AI$421</formula1>
    </dataValidation>
    <dataValidation type="list" allowBlank="1" showErrorMessage="1" sqref="J212">
      <formula1>'2월'!$AB$212:$AI$212</formula1>
    </dataValidation>
    <dataValidation type="list" allowBlank="1" showErrorMessage="1" sqref="J279">
      <formula1>'2월'!$AB$279:$AI$279</formula1>
    </dataValidation>
    <dataValidation type="list" allowBlank="1" showErrorMessage="1" sqref="J486">
      <formula1>'2월'!$AB$486:$AI$486</formula1>
    </dataValidation>
    <dataValidation type="list" allowBlank="1" showErrorMessage="1" sqref="J321">
      <formula1>'2월'!$AB$321:$AI$321</formula1>
    </dataValidation>
    <dataValidation type="list" allowBlank="1" showErrorMessage="1" sqref="J179">
      <formula1>'2월'!$AB$179:$AI$179</formula1>
    </dataValidation>
    <dataValidation type="list" allowBlank="1" showErrorMessage="1" sqref="J312">
      <formula1>'2월'!$AB$312:$AI$312</formula1>
    </dataValidation>
    <dataValidation type="list" allowBlank="1" showErrorMessage="1" sqref="J348">
      <formula1>'2월'!$AB$348:$AI$348</formula1>
    </dataValidation>
    <dataValidation type="list" allowBlank="1" showErrorMessage="1" sqref="J301">
      <formula1>'2월'!$AB$301:$AI$301</formula1>
    </dataValidation>
    <dataValidation type="list" allowBlank="1" showErrorMessage="1" sqref="J79">
      <formula1>'2월'!$AB$79:$AI$79</formula1>
    </dataValidation>
    <dataValidation type="list" allowBlank="1" showErrorMessage="1" sqref="J410">
      <formula1>'2월'!$AB$410:$AI$410</formula1>
    </dataValidation>
    <dataValidation type="list" allowBlank="1" showErrorMessage="1" sqref="J457">
      <formula1>'2월'!$AB$457:$AI$457</formula1>
    </dataValidation>
    <dataValidation type="list" allowBlank="1" showErrorMessage="1" sqref="J239">
      <formula1>'2월'!$AB$239:$AI$239</formula1>
    </dataValidation>
    <dataValidation type="list" allowBlank="1" showErrorMessage="1" sqref="J159">
      <formula1>'2월'!$AB$159:$AI$159</formula1>
    </dataValidation>
    <dataValidation type="list" allowBlank="1" showErrorMessage="1" sqref="J377">
      <formula1>'2월'!$AB$377:$AI$377</formula1>
    </dataValidation>
    <dataValidation type="list" allowBlank="1" showErrorMessage="1" sqref="J466">
      <formula1>'2월'!$AB$466:$AI$466</formula1>
    </dataValidation>
    <dataValidation type="list" allowBlank="1" showErrorMessage="1" sqref="J103">
      <formula1>'2월'!$AB$103:$AI$103</formula1>
    </dataValidation>
    <dataValidation type="list" allowBlank="1" showErrorMessage="1" sqref="J259">
      <formula1>'2월'!$AB$259:$AI$259</formula1>
    </dataValidation>
    <dataValidation type="list" allowBlank="1" showErrorMessage="1" sqref="J84">
      <formula1>'2월'!$AB$84:$AI$84</formula1>
    </dataValidation>
    <dataValidation type="list" allowBlank="1" showErrorMessage="1" sqref="J140">
      <formula1>'2월'!$AB$140:$AI$140</formula1>
    </dataValidation>
    <dataValidation type="list" allowBlank="1" showErrorMessage="1" sqref="J268">
      <formula1>'2월'!$AB$268:$AI$268</formula1>
    </dataValidation>
    <dataValidation type="list" allowBlank="1" showErrorMessage="1" sqref="J77">
      <formula1>'2월'!$AB$77:$AI$77</formula1>
    </dataValidation>
    <dataValidation type="list" allowBlank="1" showErrorMessage="1" sqref="J196">
      <formula1>'2월'!$AB$196:$AI$196</formula1>
    </dataValidation>
    <dataValidation type="list" allowBlank="1" showErrorMessage="1" sqref="J120">
      <formula1>'2월'!$AB$120:$AI$120</formula1>
    </dataValidation>
    <dataValidation type="list" allowBlank="1" showErrorMessage="1" sqref="J404">
      <formula1>'2월'!$AB$404:$AI$404</formula1>
    </dataValidation>
    <dataValidation type="list" allowBlank="1" showErrorMessage="1" sqref="J394">
      <formula1>'2월'!$AB$394:$AI$394</formula1>
    </dataValidation>
    <dataValidation type="list" allowBlank="1" showErrorMessage="1" sqref="J176">
      <formula1>'2월'!$AB$176:$AI$176</formula1>
    </dataValidation>
    <dataValidation type="list" allowBlank="1" showErrorMessage="1" sqref="J409">
      <formula1>'2월'!$AB$409:$AI$409</formula1>
    </dataValidation>
    <dataValidation type="list" allowBlank="1" showErrorMessage="1" sqref="J285">
      <formula1>'2월'!$AB$285:$AI$285</formula1>
    </dataValidation>
    <dataValidation type="list" allowBlank="1" showErrorMessage="1" sqref="J80">
      <formula1>'2월'!$AB$80:$AI$80</formula1>
    </dataValidation>
    <dataValidation type="list" allowBlank="1" showErrorMessage="1" sqref="J265">
      <formula1>'2월'!$AB$265:$AI$265</formula1>
    </dataValidation>
    <dataValidation type="list" allowBlank="1" showErrorMessage="1" sqref="J69">
      <formula1>'2월'!$AB$69:$AI$69</formula1>
    </dataValidation>
    <dataValidation type="list" allowBlank="1" showErrorMessage="1" sqref="J483">
      <formula1>'2월'!$AB$483:$AI$483</formula1>
    </dataValidation>
    <dataValidation type="list" allowBlank="1" showErrorMessage="1" sqref="J63">
      <formula1>'2월'!$AB$63:$AI$63</formula1>
    </dataValidation>
    <dataValidation type="list" allowBlank="1" showErrorMessage="1" sqref="J100">
      <formula1>'2월'!$AB$100:$AI$100</formula1>
    </dataValidation>
    <dataValidation type="list" allowBlank="1" showErrorMessage="1" sqref="J374">
      <formula1>'2월'!$AB$374:$AI$374</formula1>
    </dataValidation>
    <dataValidation type="list" allowBlank="1" showErrorMessage="1" sqref="J444">
      <formula1>'2월'!$AB$444:$AI$444</formula1>
    </dataValidation>
    <dataValidation type="list" allowBlank="1" showErrorMessage="1" sqref="J194">
      <formula1>'2월'!$AB$194:$AI$194</formula1>
    </dataValidation>
    <dataValidation type="list" allowBlank="1" showErrorMessage="1" sqref="J463">
      <formula1>'2월'!$AB$463:$AI$463</formula1>
    </dataValidation>
    <dataValidation type="list" allowBlank="1" showErrorMessage="1" sqref="J65">
      <formula1>'2월'!$AB$65:$AI$65</formula1>
    </dataValidation>
    <dataValidation type="list" allowBlank="1" showErrorMessage="1" sqref="J406">
      <formula1>'2월'!$AB$406:$AI$406</formula1>
    </dataValidation>
    <dataValidation type="list" allowBlank="1" showErrorMessage="1" sqref="J156">
      <formula1>'2월'!$AB$156:$AI$156</formula1>
    </dataValidation>
    <dataValidation type="list" allowBlank="1" showErrorMessage="1" sqref="J335">
      <formula1>'2월'!$AB$335:$AI$335</formula1>
    </dataValidation>
    <dataValidation type="list" allowBlank="1" showErrorMessage="1" sqref="J171">
      <formula1>'2월'!$AB$171:$AI$171</formula1>
    </dataValidation>
    <dataValidation type="list" allowBlank="1" showErrorMessage="1" sqref="J246">
      <formula1>'2월'!$AB$246:$AI$246</formula1>
    </dataValidation>
    <dataValidation type="list" allowBlank="1" showErrorMessage="1" sqref="J392">
      <formula1>'2월'!$AB$392:$AI$392</formula1>
    </dataValidation>
    <dataValidation type="list" allowBlank="1" showErrorMessage="1" sqref="J245">
      <formula1>'2월'!$AB$245:$AI$245</formula1>
    </dataValidation>
    <dataValidation type="list" allowBlank="1" showErrorMessage="1" sqref="J280">
      <formula1>'2월'!$AB$280:$AI$280</formula1>
    </dataValidation>
    <dataValidation type="list" allowBlank="1" showErrorMessage="1" sqref="J283">
      <formula1>'2월'!$AB$283:$AI$283</formula1>
    </dataValidation>
    <dataValidation type="list" allowBlank="1" showErrorMessage="1" sqref="J354">
      <formula1>'2월'!$AB$354:$AI$354</formula1>
    </dataValidation>
    <dataValidation type="list" allowBlank="1" showErrorMessage="1" sqref="J137">
      <formula1>'2월'!$AB$137:$AI$137</formula1>
    </dataValidation>
    <dataValidation type="list" allowBlank="1" showErrorMessage="1" sqref="J208">
      <formula1>'2월'!$AB$208:$AI$208</formula1>
    </dataValidation>
    <dataValidation type="list" allowBlank="1" showErrorMessage="1" sqref="J174">
      <formula1>'2월'!$AB$174:$AI$174</formula1>
    </dataValidation>
    <dataValidation type="list" allowBlank="1" showErrorMessage="1" sqref="J317">
      <formula1>'2월'!$AB$317:$AI$317</formula1>
    </dataValidation>
    <dataValidation type="list" allowBlank="1" showErrorMessage="1" sqref="J70">
      <formula1>'2월'!$AB$70:$AI$70</formula1>
    </dataValidation>
    <dataValidation type="list" allowBlank="1" showErrorMessage="1" sqref="J315">
      <formula1>'2월'!$AB$315:$AI$315</formula1>
    </dataValidation>
    <dataValidation type="list" allowBlank="1" showErrorMessage="1" sqref="J443">
      <formula1>'2월'!$AB$443:$AI$443</formula1>
    </dataValidation>
    <dataValidation type="list" allowBlank="1" showErrorMessage="1" sqref="J72">
      <formula1>'2월'!$AB$72:$AI$72</formula1>
    </dataValidation>
    <dataValidation type="list" allowBlank="1" showErrorMessage="1" sqref="J481">
      <formula1>'2월'!$AB$481:$AI$481</formula1>
    </dataValidation>
    <dataValidation type="list" allowBlank="1" showErrorMessage="1" sqref="J334">
      <formula1>'2월'!$AB$334:$AI$334</formula1>
    </dataValidation>
    <dataValidation type="list" allowBlank="1" showErrorMessage="1" sqref="J206">
      <formula1>'2월'!$AB$206:$AI$206</formula1>
    </dataValidation>
    <dataValidation type="list" allowBlank="1" showErrorMessage="1" sqref="J225">
      <formula1>'2월'!$AB$225:$AI$225</formula1>
    </dataValidation>
    <dataValidation type="list" allowBlank="1" showErrorMessage="1" sqref="J191">
      <formula1>'2월'!$AB$191:$AI$191</formula1>
    </dataValidation>
    <dataValidation type="list" allowBlank="1" showErrorMessage="1" sqref="J372">
      <formula1>'2월'!$AB$372:$AI$372</formula1>
    </dataValidation>
    <dataValidation type="list" allowBlank="1" showErrorMessage="1" sqref="J499">
      <formula1>'2월'!$AB$499:$AI$499</formula1>
    </dataValidation>
    <dataValidation type="list" allowBlank="1" showErrorMessage="1" sqref="J67">
      <formula1>'2월'!$AB$67:$AI$67</formula1>
    </dataValidation>
    <dataValidation type="list" allowBlank="1" showErrorMessage="1" sqref="J117">
      <formula1>'2월'!$AB$117:$AI$117</formula1>
    </dataValidation>
    <dataValidation type="list" allowBlank="1" showErrorMessage="1" sqref="J281">
      <formula1>'2월'!$AB$281:$AI$281</formula1>
    </dataValidation>
    <dataValidation type="list" allowBlank="1" showErrorMessage="1" sqref="J263">
      <formula1>'2월'!$AB$263:$AI$263</formula1>
    </dataValidation>
    <dataValidation type="list" allowBlank="1" showErrorMessage="1" sqref="J136">
      <formula1>'2월'!$AB$136:$AI$136</formula1>
    </dataValidation>
    <dataValidation type="list" allowBlank="1" showErrorMessage="1" sqref="J154">
      <formula1>'2월'!$AB$154:$AI$154</formula1>
    </dataValidation>
    <dataValidation type="list" allowBlank="1" showErrorMessage="1" sqref="J226">
      <formula1>'2월'!$AB$226:$AI$226</formula1>
    </dataValidation>
    <dataValidation type="list" allowBlank="1" showErrorMessage="1" sqref="J424">
      <formula1>'2월'!$AB$424:$AI$424</formula1>
    </dataValidation>
    <dataValidation type="list" allowBlank="1" showErrorMessage="1" sqref="J390">
      <formula1>'2월'!$AB$390:$AI$390</formula1>
    </dataValidation>
    <dataValidation type="list" allowBlank="1" showErrorMessage="1" sqref="J494">
      <formula1>'2월'!$AB$494:$AI$494</formula1>
    </dataValidation>
    <dataValidation type="list" allowBlank="1" showErrorMessage="1" sqref="J74">
      <formula1>'2월'!$AB$74:$AI$74</formula1>
    </dataValidation>
    <dataValidation type="list" allowBlank="1" showErrorMessage="1" sqref="J106">
      <formula1>'2월'!$AB$106:$AI$106</formula1>
    </dataValidation>
    <dataValidation type="list" allowBlank="1" showErrorMessage="1" sqref="J314">
      <formula1>'2월'!$AB$314:$AI$314</formula1>
    </dataValidation>
    <dataValidation type="list" allowBlank="1" showErrorMessage="1" sqref="J192">
      <formula1>'2월'!$AB$192:$AI$192</formula1>
    </dataValidation>
    <dataValidation type="list" allowBlank="1" showErrorMessage="1" sqref="J286">
      <formula1>'2월'!$AB$286:$AI$286</formula1>
    </dataValidation>
    <dataValidation type="list" allowBlank="1" showErrorMessage="1" sqref="J220">
      <formula1>'2월'!$AB$220:$AI$220</formula1>
    </dataValidation>
    <dataValidation type="list" allowBlank="1" showErrorMessage="1" sqref="J418">
      <formula1>'2월'!$AB$418:$AI$418</formula1>
    </dataValidation>
    <dataValidation type="list" allowBlank="1" showErrorMessage="1" sqref="J413">
      <formula1>'2월'!$AB$413:$AI$413</formula1>
    </dataValidation>
    <dataValidation type="list" allowBlank="1" showErrorMessage="1" sqref="J324">
      <formula1>'2월'!$AB$324:$AI$324</formula1>
    </dataValidation>
    <dataValidation type="list" allowBlank="1" showErrorMessage="1" sqref="J172">
      <formula1>'2월'!$AB$172:$AI$172</formula1>
    </dataValidation>
    <dataValidation type="list" allowBlank="1" showErrorMessage="1" sqref="J101">
      <formula1>'2월'!$AB$101:$AI$101</formula1>
    </dataValidation>
    <dataValidation type="list" allowBlank="1" showErrorMessage="1" sqref="J375">
      <formula1>'2월'!$AB$375:$AI$375</formula1>
    </dataValidation>
    <dataValidation type="list" allowBlank="1" showErrorMessage="1" sqref="J271">
      <formula1>'2월'!$AB$271:$AI$271</formula1>
    </dataValidation>
    <dataValidation type="list" allowBlank="1" showErrorMessage="1" sqref="J276">
      <formula1>'2월'!$AB$276:$AI$276</formula1>
    </dataValidation>
    <dataValidation type="list" allowBlank="1" showErrorMessage="1" sqref="J428">
      <formula1>'2월'!$AB$428:$AI$428</formula1>
    </dataValidation>
    <dataValidation type="list" allowBlank="1" showErrorMessage="1" sqref="J459">
      <formula1>'2월'!$AB$459:$AI$459</formula1>
    </dataValidation>
    <dataValidation type="list" allowBlank="1" showErrorMessage="1" sqref="L62:L500">
      <formula1>'설정시트'!$D$23:$N$23</formula1>
    </dataValidation>
    <dataValidation type="list" allowBlank="1" showErrorMessage="1" sqref="J157">
      <formula1>'2월'!$AB$157:$AI$157</formula1>
    </dataValidation>
    <dataValidation type="list" allowBlank="1" showErrorMessage="1" sqref="J365">
      <formula1>'2월'!$AB$365:$AI$365</formula1>
    </dataValidation>
    <dataValidation type="list" allowBlank="1" showErrorMessage="1" sqref="J147">
      <formula1>'2월'!$AB$147:$AI$147</formula1>
    </dataValidation>
    <dataValidation type="list" allowBlank="1" showErrorMessage="1" sqref="J261">
      <formula1>'2월'!$AB$261:$AI$261</formula1>
    </dataValidation>
    <dataValidation type="list" allowBlank="1" showErrorMessage="1" sqref="J360">
      <formula1>'2월'!$AB$360:$AI$360</formula1>
    </dataValidation>
    <dataValidation type="list" allowBlank="1" showErrorMessage="1" sqref="J469">
      <formula1>'2월'!$AB$469:$AI$469</formula1>
    </dataValidation>
    <dataValidation type="list" allowBlank="1" showErrorMessage="1" sqref="J75">
      <formula1>'2월'!$AB$75:$AI$75</formula1>
    </dataValidation>
    <dataValidation type="list" allowBlank="1" showErrorMessage="1" sqref="J403">
      <formula1>'2월'!$AB$403:$AI$403</formula1>
    </dataValidation>
    <dataValidation type="list" allowBlank="1" showErrorMessage="1" sqref="J464">
      <formula1>'2월'!$AB$464:$AI$464</formula1>
    </dataValidation>
    <dataValidation type="list" allowBlank="1" showErrorMessage="1" sqref="J458">
      <formula1>'2월'!$AB$458:$AI$458</formula1>
    </dataValidation>
    <dataValidation type="list" allowBlank="1" showErrorMessage="1" sqref="J142">
      <formula1>'2월'!$AB$142:$AI$142</formula1>
    </dataValidation>
    <dataValidation type="list" allowBlank="1" showErrorMessage="1" sqref="J260">
      <formula1>'2월'!$AB$260:$AI$260</formula1>
    </dataValidation>
    <dataValidation type="list" allowBlank="1" showErrorMessage="1" sqref="J350">
      <formula1>'2월'!$AB$350:$AI$350</formula1>
    </dataValidation>
    <dataValidation type="list" allowBlank="1" showErrorMessage="1" sqref="J62">
      <formula1>'2월'!$AB$62:$AI$62</formula1>
    </dataValidation>
    <dataValidation type="list" allowBlank="1" showErrorMessage="1" sqref="J231">
      <formula1>'2월'!$AB$231:$AI$231</formula1>
    </dataValidation>
    <dataValidation type="list" allowBlank="1" showErrorMessage="1" sqref="J402">
      <formula1>'2월'!$AB$402:$AI$402</formula1>
    </dataValidation>
    <dataValidation type="list" allowBlank="1" showErrorMessage="1" sqref="J468">
      <formula1>'2월'!$AB$468:$AI$468</formula1>
    </dataValidation>
    <dataValidation type="list" allowBlank="1" showErrorMessage="1" sqref="J419">
      <formula1>'2월'!$AB$419:$AI$419</formula1>
    </dataValidation>
    <dataValidation type="list" allowBlank="1" showErrorMessage="1" sqref="J132">
      <formula1>'2월'!$AB$132:$AI$132</formula1>
    </dataValidation>
    <dataValidation type="list" allowBlank="1" showErrorMessage="1" sqref="J198">
      <formula1>'2월'!$AB$198:$AI$198</formula1>
    </dataValidation>
    <dataValidation type="list" allowBlank="1" showErrorMessage="1" sqref="J141">
      <formula1>'2월'!$AB$141:$AI$141</formula1>
    </dataValidation>
    <dataValidation type="list" allowBlank="1" showErrorMessage="1" sqref="J91">
      <formula1>'2월'!$AB$91:$AI$91</formula1>
    </dataValidation>
    <dataValidation type="list" allowBlank="1" showErrorMessage="1" sqref="J287">
      <formula1>'2월'!$AB$287:$AI$287</formula1>
    </dataValidation>
    <dataValidation type="list" allowBlank="1" showErrorMessage="1" sqref="J90">
      <formula1>'2월'!$AB$90:$AI$90</formula1>
    </dataValidation>
    <dataValidation type="list" allowBlank="1" showErrorMessage="1" sqref="J221">
      <formula1>'2월'!$AB$221:$AI$221</formula1>
    </dataValidation>
    <dataValidation type="list" allowBlank="1" showErrorMessage="1" sqref="J495">
      <formula1>'2월'!$AB$495:$AI$495</formula1>
    </dataValidation>
    <dataValidation type="list" allowBlank="1" showErrorMessage="1" sqref="J329">
      <formula1>'2월'!$AB$329:$AI$329</formula1>
    </dataValidation>
    <dataValidation type="list" allowBlank="1" showErrorMessage="1" sqref="J188">
      <formula1>'2월'!$AB$188:$AI$188</formula1>
    </dataValidation>
    <dataValidation type="list" allowBlank="1" showErrorMessage="1" sqref="J197">
      <formula1>'2월'!$AB$197:$AI$197</formula1>
    </dataValidation>
    <dataValidation type="list" allowBlank="1" showErrorMessage="1" sqref="J131">
      <formula1>'2월'!$AB$131:$AI$131</formula1>
    </dataValidation>
    <dataValidation type="list" allowBlank="1" showErrorMessage="1" sqref="J102">
      <formula1>'2월'!$AB$102:$AI$102</formula1>
    </dataValidation>
    <dataValidation type="list" allowBlank="1" showErrorMessage="1" sqref="J339">
      <formula1>'2월'!$AB$339:$AI$339</formula1>
    </dataValidation>
    <dataValidation type="list" allowBlank="1" showErrorMessage="1" sqref="J310">
      <formula1>'2월'!$AB$310:$AI$310</formula1>
    </dataValidation>
    <dataValidation type="list" allowBlank="1" showErrorMessage="1" sqref="J230">
      <formula1>'2월'!$AB$230:$AI$230</formula1>
    </dataValidation>
    <dataValidation type="list" allowBlank="1" showErrorMessage="1" sqref="J187">
      <formula1>'2월'!$AB$187:$AI$187</formula1>
    </dataValidation>
    <dataValidation type="list" allowBlank="1" showErrorMessage="1" sqref="J277">
      <formula1>'2월'!$AB$277:$AI$277</formula1>
    </dataValidation>
    <dataValidation type="list" allowBlank="1" showErrorMessage="1" sqref="J429">
      <formula1>'2월'!$AB$429:$AI$429</formula1>
    </dataValidation>
    <dataValidation type="list" allowBlank="1" showErrorMessage="1" sqref="J320">
      <formula1>'2월'!$AB$320:$AI$320</formula1>
    </dataValidation>
    <dataValidation type="list" allowBlank="1" showErrorMessage="1" sqref="J272">
      <formula1>'2월'!$AB$272:$AI$272</formula1>
    </dataValidation>
    <dataValidation type="list" allowBlank="1" showErrorMessage="1" sqref="J98">
      <formula1>'2월'!$AB$98:$AI$98</formula1>
    </dataValidation>
    <dataValidation type="list" allowBlank="1" showErrorMessage="1" sqref="J234">
      <formula1>'2월'!$AB$234:$AI$234</formula1>
    </dataValidation>
    <dataValidation type="list" allowBlank="1" showErrorMessage="1" sqref="J92">
      <formula1>'2월'!$AB$92:$AI$92</formula1>
    </dataValidation>
    <dataValidation type="list" allowBlank="1" showErrorMessage="1" sqref="J490">
      <formula1>'2월'!$AB$490:$AI$490</formula1>
    </dataValidation>
    <dataValidation type="list" allowBlank="1" showErrorMessage="1" sqref="J130">
      <formula1>'2월'!$AB$130:$AI$130</formula1>
    </dataValidation>
    <dataValidation type="list" allowBlank="1" showErrorMessage="1" sqref="J148">
      <formula1>'2월'!$AB$148:$AI$148</formula1>
    </dataValidation>
    <dataValidation type="list" allowBlank="1" showErrorMessage="1" sqref="J328">
      <formula1>'2월'!$AB$328:$AI$328</formula1>
    </dataValidation>
    <dataValidation type="list" allowBlank="1" showErrorMessage="1" sqref="J323">
      <formula1>'2월'!$AB$323:$AI$323</formula1>
    </dataValidation>
    <dataValidation type="list" allowBlank="1" showErrorMessage="1" sqref="J361">
      <formula1>'2월'!$AB$361:$AI$361</formula1>
    </dataValidation>
    <dataValidation type="list" allowBlank="1" showErrorMessage="1" sqref="J186">
      <formula1>'2월'!$AB$186:$AI$186</formula1>
    </dataValidation>
    <dataValidation type="list" allowBlank="1" showErrorMessage="1" sqref="J366">
      <formula1>'2월'!$AB$366:$AI$366</formula1>
    </dataValidation>
    <dataValidation type="list" allowBlank="1" showErrorMessage="1" sqref="J237">
      <formula1>'2월'!$AB$237:$AI$237</formula1>
    </dataValidation>
    <dataValidation type="list" allowBlank="1" showErrorMessage="1" sqref="J93">
      <formula1>'2월'!$AB$93:$AI$93</formula1>
    </dataValidation>
    <dataValidation type="list" allowBlank="1" showErrorMessage="1" sqref="J493">
      <formula1>'2월'!$AB$493:$AI$493</formula1>
    </dataValidation>
    <dataValidation type="list" allowBlank="1" showErrorMessage="1" sqref="J275">
      <formula1>'2월'!$AB$275:$AI$275</formula1>
    </dataValidation>
    <dataValidation type="list" allowBlank="1" showErrorMessage="1" sqref="J412">
      <formula1>'2월'!$AB$412:$AI$412</formula1>
    </dataValidation>
    <dataValidation type="list" allowBlank="1" showErrorMessage="1" sqref="J450">
      <formula1>'2월'!$AB$450:$AI$450</formula1>
    </dataValidation>
    <dataValidation type="list" allowBlank="1" showErrorMessage="1" sqref="J143">
      <formula1>'2월'!$AB$143:$AI$143</formula1>
    </dataValidation>
    <dataValidation type="list" allowBlank="1" showErrorMessage="1" sqref="J99">
      <formula1>'2월'!$AB$99:$AI$99</formula1>
    </dataValidation>
    <dataValidation type="list" allowBlank="1" showErrorMessage="1" sqref="J417">
      <formula1>'2월'!$AB$417:$AI$417</formula1>
    </dataValidation>
    <dataValidation type="list" allowBlank="1" showErrorMessage="1" sqref="J199">
      <formula1>'2월'!$AB$199:$AI$199</formula1>
    </dataValidation>
    <dataValidation type="list" allowBlank="1" showErrorMessage="1" sqref="J232">
      <formula1>'2월'!$AB$232:$AI$232</formula1>
    </dataValidation>
    <dataValidation type="list" allowBlank="1" showErrorMessage="1" sqref="J455">
      <formula1>'2월'!$AB$455:$AI$455</formula1>
    </dataValidation>
    <dataValidation type="list" allowBlank="1" showErrorMessage="1" sqref="J105">
      <formula1>'2월'!$AB$105:$AI$105</formula1>
    </dataValidation>
    <dataValidation type="list" allowBlank="1" showErrorMessage="1" sqref="J379">
      <formula1>'2월'!$AB$379:$AI$379</formula1>
    </dataValidation>
    <dataValidation type="list" allowBlank="1" showErrorMessage="1" sqref="J108">
      <formula1>'2월'!$AB$108:$AI$108</formula1>
    </dataValidation>
    <dataValidation type="list" allowBlank="1" showErrorMessage="1" sqref="J236">
      <formula1>'2월'!$AB$236:$AI$236</formula1>
    </dataValidation>
    <dataValidation type="list" allowBlank="1" showErrorMessage="1" sqref="J180:J182">
      <formula1>'2월'!$AB$180:$AI$180</formula1>
    </dataValidation>
    <dataValidation type="list" allowBlank="1" showErrorMessage="1" sqref="J270">
      <formula1>'2월'!$AB$270:$AI$270</formula1>
    </dataValidation>
    <dataValidation type="list" allowBlank="1" showErrorMessage="1" sqref="J274">
      <formula1>'2월'!$AB$274:$AI$274</formula1>
    </dataValidation>
    <dataValidation type="list" allowBlank="1" showErrorMessage="1" sqref="J364">
      <formula1>'2월'!$AB$364:$AI$364</formula1>
    </dataValidation>
    <dataValidation type="list" allowBlank="1" showErrorMessage="1" sqref="J454">
      <formula1>'2월'!$AB$454:$AI$454</formula1>
    </dataValidation>
    <dataValidation type="list" allowBlank="1" showErrorMessage="1" sqref="J94">
      <formula1>'2월'!$AB$94:$AI$94</formula1>
    </dataValidation>
    <dataValidation type="list" allowBlank="1" showErrorMessage="1" sqref="J453">
      <formula1>'2월'!$AB$453:$AI$453</formula1>
    </dataValidation>
    <dataValidation type="list" allowBlank="1" showErrorMessage="1" sqref="J416">
      <formula1>'2월'!$AB$416:$AI$416</formula1>
    </dataValidation>
    <dataValidation type="list" allowBlank="1" showErrorMessage="1" sqref="J491">
      <formula1>'2월'!$AB$491:$AI$491</formula1>
    </dataValidation>
    <dataValidation type="list" allowBlank="1" showErrorMessage="1" sqref="J146">
      <formula1>'2월'!$AB$146:$AI$146</formula1>
    </dataValidation>
    <dataValidation type="list" allowBlank="1" showErrorMessage="1" sqref="J326">
      <formula1>'2월'!$AB$326:$AI$326</formula1>
    </dataValidation>
    <dataValidation type="list" allowBlank="1" showErrorMessage="1" sqref="J273">
      <formula1>'2월'!$AB$273:$AI$273</formula1>
    </dataValidation>
    <dataValidation type="list" allowBlank="1" showErrorMessage="1" sqref="J414">
      <formula1>'2월'!$AB$414:$AI$414</formula1>
    </dataValidation>
    <dataValidation type="list" allowBlank="1" showErrorMessage="1" sqref="J97">
      <formula1>'2월'!$AB$97:$AI$97</formula1>
    </dataValidation>
    <dataValidation type="list" allowBlank="1" showErrorMessage="1" sqref="J183:J184">
      <formula1>'2월'!$AB$183:$AI$183</formula1>
    </dataValidation>
    <dataValidation type="list" allowBlank="1" showErrorMessage="1" sqref="J363">
      <formula1>'2월'!$AB$363:$AI$363</formula1>
    </dataValidation>
    <dataValidation type="list" allowBlank="1" showErrorMessage="1" sqref="J107">
      <formula1>'2월'!$AB$107:$AI$107</formula1>
    </dataValidation>
    <dataValidation type="list" allowBlank="1" showErrorMessage="1" sqref="J325">
      <formula1>'2월'!$AB$325:$AI$325</formula1>
    </dataValidation>
    <dataValidation type="list" allowBlank="1" showErrorMessage="1" sqref="J452">
      <formula1>'2월'!$AB$452:$AI$452</formula1>
    </dataValidation>
    <dataValidation type="list" allowBlank="1" showErrorMessage="1" sqref="J362">
      <formula1>'2월'!$AB$362:$AI$362</formula1>
    </dataValidation>
    <dataValidation type="list" allowBlank="1" showErrorMessage="1" sqref="J415">
      <formula1>'2월'!$AB$415:$AI$415</formula1>
    </dataValidation>
    <dataValidation type="list" allowBlank="1" showErrorMessage="1" sqref="I62:I500">
      <formula1>'설정시트'!$C$7:$C$20</formula1>
    </dataValidation>
    <dataValidation type="list" allowBlank="1" showErrorMessage="1" sqref="J145">
      <formula1>'2월'!$AB$145:$AI$145</formula1>
    </dataValidation>
    <dataValidation type="list" allowBlank="1" showErrorMessage="1" sqref="J235">
      <formula1>'2월'!$AB$235:$AI$235</formula1>
    </dataValidation>
    <dataValidation type="list" allowBlank="1" showErrorMessage="1" sqref="J96">
      <formula1>'2월'!$AB$96:$AI$96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3.0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45711</v>
      </c>
      <c r="S9" s="117">
        <f t="shared" ref="S9:X9" si="1">R9 + 1</f>
        <v>45712</v>
      </c>
      <c r="T9" s="118">
        <f t="shared" si="1"/>
        <v>45713</v>
      </c>
      <c r="U9" s="118">
        <f t="shared" si="1"/>
        <v>45714</v>
      </c>
      <c r="V9" s="118">
        <f t="shared" si="1"/>
        <v>45715</v>
      </c>
      <c r="W9" s="118">
        <f t="shared" si="1"/>
        <v>45716</v>
      </c>
      <c r="X9" s="119">
        <f t="shared" si="1"/>
        <v>45717</v>
      </c>
      <c r="Y9" s="120"/>
      <c r="AB9" s="121" t="str">
        <f>$H$25</f>
        <v>🍪고정비</v>
      </c>
      <c r="AC9" s="122">
        <f>$K$31</f>
        <v>606561</v>
      </c>
      <c r="AD9" s="123">
        <f t="shared" ref="AD9:AD20" si="4">_xlfn.RANK.EQ(AC9,$AB$9:$AC$20,0) + ROW(AB1)/10000</f>
        <v>4.0001</v>
      </c>
      <c r="AE9" s="123">
        <f t="shared" ref="AE9:AE20" si="5">SMALL($AD$9:$AD$20, ROW(AB1))</f>
        <v>1.0005</v>
      </c>
      <c r="AF9" s="123" t="str">
        <f t="shared" ref="AF9:AF20" si="6">INDEX($AB$9:$AB$20,MATCH(AE9,$AD$9:$AD$20,0))</f>
        <v>🍪식비</v>
      </c>
      <c r="AG9" s="122">
        <f t="shared" ref="AG9:AG20" si="7">INDEX($AC$9:$AC$20,MATCH(AE9,$AD$9:$AD$20,0))</f>
        <v>1159150</v>
      </c>
    </row>
    <row r="10">
      <c r="E10" s="114" t="s">
        <v>55</v>
      </c>
      <c r="F10" s="115">
        <f t="shared" si="2"/>
        <v>344011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0</v>
      </c>
      <c r="V10" s="126">
        <f t="shared" si="3"/>
        <v>0</v>
      </c>
      <c r="W10" s="126">
        <f t="shared" si="3"/>
        <v>0</v>
      </c>
      <c r="X10" s="126">
        <f t="shared" si="3"/>
        <v>294450</v>
      </c>
      <c r="Y10" s="126">
        <f>SUM(R10:X10)</f>
        <v>294450</v>
      </c>
      <c r="AB10" s="121" t="str">
        <f>$H$33</f>
        <v>🐻고정비</v>
      </c>
      <c r="AC10" s="122">
        <f>$K$39</f>
        <v>641030</v>
      </c>
      <c r="AD10" s="123">
        <f t="shared" si="4"/>
        <v>3.0002</v>
      </c>
      <c r="AE10" s="123">
        <f t="shared" si="5"/>
        <v>2.0003</v>
      </c>
      <c r="AF10" s="123" t="str">
        <f t="shared" si="6"/>
        <v>🍪생필품</v>
      </c>
      <c r="AG10" s="122">
        <f t="shared" si="7"/>
        <v>691611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45718</v>
      </c>
      <c r="S11" s="128">
        <f t="shared" si="8"/>
        <v>45719</v>
      </c>
      <c r="T11" s="117">
        <f t="shared" si="8"/>
        <v>45720</v>
      </c>
      <c r="U11" s="117">
        <f t="shared" si="8"/>
        <v>45721</v>
      </c>
      <c r="V11" s="118">
        <f t="shared" si="8"/>
        <v>45722</v>
      </c>
      <c r="W11" s="129">
        <f t="shared" si="8"/>
        <v>45723</v>
      </c>
      <c r="X11" s="130">
        <f t="shared" si="8"/>
        <v>45724</v>
      </c>
      <c r="Y11" s="131"/>
      <c r="AB11" s="121" t="str">
        <f>$H$41</f>
        <v>🍪생필품</v>
      </c>
      <c r="AC11" s="122">
        <f>$K$47</f>
        <v>691611</v>
      </c>
      <c r="AD11" s="123">
        <f t="shared" si="4"/>
        <v>2.0003</v>
      </c>
      <c r="AE11" s="123">
        <f t="shared" si="5"/>
        <v>3.0002</v>
      </c>
      <c r="AF11" s="123" t="str">
        <f t="shared" si="6"/>
        <v>🐻고정비</v>
      </c>
      <c r="AG11" s="122">
        <f t="shared" si="7"/>
        <v>641030</v>
      </c>
    </row>
    <row r="12">
      <c r="C12" s="132" t="s">
        <v>136</v>
      </c>
      <c r="D12" s="133">
        <f>F33</f>
        <v>14040178</v>
      </c>
      <c r="E12" s="114" t="s">
        <v>57</v>
      </c>
      <c r="F12" s="115">
        <f t="shared" si="2"/>
        <v>1404975</v>
      </c>
      <c r="R12" s="134">
        <f t="shared" ref="R12:X12" si="9">SUMIFS($K$62:$K$500,$H$62:$H$500,R11,$I$62:$I$500,"&lt;&gt;수입",$I$62:$I$500,"&lt;&gt;저축")</f>
        <v>124900</v>
      </c>
      <c r="S12" s="135">
        <f t="shared" si="9"/>
        <v>26500</v>
      </c>
      <c r="T12" s="136">
        <f t="shared" si="9"/>
        <v>39483</v>
      </c>
      <c r="U12" s="136">
        <f t="shared" si="9"/>
        <v>135300</v>
      </c>
      <c r="V12" s="134">
        <f t="shared" si="9"/>
        <v>61240</v>
      </c>
      <c r="W12" s="137">
        <f t="shared" si="9"/>
        <v>91900</v>
      </c>
      <c r="X12" s="137">
        <f t="shared" si="9"/>
        <v>85242</v>
      </c>
      <c r="Y12" s="137">
        <f>SUM(R12:X12)</f>
        <v>564565</v>
      </c>
      <c r="AB12" s="121" t="str">
        <f>$H$49</f>
        <v>🐻생필품</v>
      </c>
      <c r="AC12" s="122">
        <f>$K$55</f>
        <v>41400</v>
      </c>
      <c r="AD12" s="123">
        <f t="shared" si="4"/>
        <v>12.0004</v>
      </c>
      <c r="AE12" s="123">
        <f t="shared" si="5"/>
        <v>4.0001</v>
      </c>
      <c r="AF12" s="123" t="str">
        <f t="shared" si="6"/>
        <v>🍪고정비</v>
      </c>
      <c r="AG12" s="122">
        <f t="shared" si="7"/>
        <v>606561</v>
      </c>
    </row>
    <row r="13">
      <c r="C13" s="46"/>
      <c r="D13" s="138"/>
      <c r="E13" s="114" t="s">
        <v>58</v>
      </c>
      <c r="F13" s="115">
        <f t="shared" si="2"/>
        <v>1573528</v>
      </c>
      <c r="I13" s="94"/>
      <c r="J13" s="94"/>
      <c r="R13" s="127">
        <f t="shared" ref="R13:X13" si="10">R11+7</f>
        <v>45725</v>
      </c>
      <c r="S13" s="128">
        <f t="shared" si="10"/>
        <v>45726</v>
      </c>
      <c r="T13" s="117">
        <f t="shared" si="10"/>
        <v>45727</v>
      </c>
      <c r="U13" s="117">
        <f t="shared" si="10"/>
        <v>45728</v>
      </c>
      <c r="V13" s="118">
        <f t="shared" si="10"/>
        <v>45729</v>
      </c>
      <c r="W13" s="129">
        <f t="shared" si="10"/>
        <v>45730</v>
      </c>
      <c r="X13" s="130">
        <f t="shared" si="10"/>
        <v>45731</v>
      </c>
      <c r="Y13" s="131"/>
      <c r="AB13" s="121" t="str">
        <f>$M$25</f>
        <v>🍪식비</v>
      </c>
      <c r="AC13" s="122">
        <f>$P$31</f>
        <v>1159150</v>
      </c>
      <c r="AD13" s="123">
        <f t="shared" si="4"/>
        <v>1.0005</v>
      </c>
      <c r="AE13" s="123">
        <f t="shared" si="5"/>
        <v>5.0007</v>
      </c>
      <c r="AF13" s="123" t="str">
        <f t="shared" si="6"/>
        <v>🍪여가비</v>
      </c>
      <c r="AG13" s="122">
        <f t="shared" si="7"/>
        <v>541092</v>
      </c>
    </row>
    <row r="14">
      <c r="C14" s="132" t="s">
        <v>137</v>
      </c>
      <c r="D14" s="133">
        <f>SUM($K$31+$K$39+$K$47+$K$55+$P$31+$P$39+$P$47+$P$55+X31+X39+X47+X55)</f>
        <v>4871796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0</v>
      </c>
      <c r="S14" s="135">
        <f t="shared" si="11"/>
        <v>383050</v>
      </c>
      <c r="T14" s="136">
        <f t="shared" si="11"/>
        <v>431650</v>
      </c>
      <c r="U14" s="136">
        <f t="shared" si="11"/>
        <v>7330</v>
      </c>
      <c r="V14" s="134">
        <f t="shared" si="11"/>
        <v>99400</v>
      </c>
      <c r="W14" s="137">
        <f t="shared" si="11"/>
        <v>26700</v>
      </c>
      <c r="X14" s="137">
        <f t="shared" si="11"/>
        <v>213550</v>
      </c>
      <c r="Y14" s="137">
        <f>SUM(R14:X14)</f>
        <v>1161680</v>
      </c>
      <c r="AB14" s="121" t="str">
        <f>$M$33</f>
        <v>🐻식비</v>
      </c>
      <c r="AC14" s="122">
        <f>$P$39</f>
        <v>353752</v>
      </c>
      <c r="AD14" s="123">
        <f t="shared" si="4"/>
        <v>7.0006</v>
      </c>
      <c r="AE14" s="123">
        <f t="shared" si="5"/>
        <v>6.0008</v>
      </c>
      <c r="AF14" s="123" t="str">
        <f t="shared" si="6"/>
        <v>🐻여가비</v>
      </c>
      <c r="AG14" s="122">
        <f t="shared" si="7"/>
        <v>420100</v>
      </c>
    </row>
    <row r="15">
      <c r="C15" s="46"/>
      <c r="D15" s="138"/>
      <c r="E15" s="114" t="s">
        <v>60</v>
      </c>
      <c r="F15" s="115">
        <f t="shared" si="2"/>
        <v>210000</v>
      </c>
      <c r="I15" s="139"/>
      <c r="J15" s="94"/>
      <c r="R15" s="127">
        <f t="shared" ref="R15:X15" si="12">R13+7</f>
        <v>45732</v>
      </c>
      <c r="S15" s="128">
        <f t="shared" si="12"/>
        <v>45733</v>
      </c>
      <c r="T15" s="117">
        <f t="shared" si="12"/>
        <v>45734</v>
      </c>
      <c r="U15" s="117">
        <f t="shared" si="12"/>
        <v>45735</v>
      </c>
      <c r="V15" s="118">
        <f t="shared" si="12"/>
        <v>45736</v>
      </c>
      <c r="W15" s="129">
        <f t="shared" si="12"/>
        <v>45737</v>
      </c>
      <c r="X15" s="130">
        <f t="shared" si="12"/>
        <v>45738</v>
      </c>
      <c r="Y15" s="131"/>
      <c r="AB15" s="121" t="str">
        <f>$M$41</f>
        <v>🍪여가비</v>
      </c>
      <c r="AC15" s="122">
        <f>$P$47</f>
        <v>541092</v>
      </c>
      <c r="AD15" s="123">
        <f t="shared" si="4"/>
        <v>5.0007</v>
      </c>
      <c r="AE15" s="123">
        <f t="shared" si="5"/>
        <v>7.0006</v>
      </c>
      <c r="AF15" s="123" t="str">
        <f t="shared" si="6"/>
        <v>🐻식비</v>
      </c>
      <c r="AG15" s="122">
        <f t="shared" si="7"/>
        <v>353752</v>
      </c>
    </row>
    <row r="16">
      <c r="C16" s="132" t="s">
        <v>138</v>
      </c>
      <c r="D16" s="133">
        <f>F43</f>
        <v>0</v>
      </c>
      <c r="E16" s="114" t="s">
        <v>61</v>
      </c>
      <c r="F16" s="115">
        <f t="shared" si="2"/>
        <v>47560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52630</v>
      </c>
      <c r="S16" s="135">
        <f t="shared" si="13"/>
        <v>565518</v>
      </c>
      <c r="T16" s="136">
        <f t="shared" si="13"/>
        <v>283810</v>
      </c>
      <c r="U16" s="136">
        <f t="shared" si="13"/>
        <v>2800</v>
      </c>
      <c r="V16" s="134">
        <f t="shared" si="13"/>
        <v>206512</v>
      </c>
      <c r="W16" s="137">
        <f t="shared" si="13"/>
        <v>304290</v>
      </c>
      <c r="X16" s="137">
        <f t="shared" si="13"/>
        <v>459320</v>
      </c>
      <c r="Y16" s="137">
        <f>SUM(R16:X16)</f>
        <v>1874880</v>
      </c>
      <c r="AB16" s="121" t="str">
        <f>$M$49</f>
        <v>🐻여가비</v>
      </c>
      <c r="AC16" s="122">
        <f>$P$55</f>
        <v>420100</v>
      </c>
      <c r="AD16" s="123">
        <f t="shared" si="4"/>
        <v>6.0008</v>
      </c>
      <c r="AE16" s="123">
        <f t="shared" si="5"/>
        <v>8.0009</v>
      </c>
      <c r="AF16" s="123" t="str">
        <f t="shared" si="6"/>
        <v>🍪기타</v>
      </c>
      <c r="AG16" s="122">
        <f t="shared" si="7"/>
        <v>204300</v>
      </c>
    </row>
    <row r="17">
      <c r="C17" s="46"/>
      <c r="D17" s="138"/>
      <c r="E17" s="114" t="s">
        <v>62</v>
      </c>
      <c r="F17" s="115">
        <f t="shared" si="2"/>
        <v>302680</v>
      </c>
      <c r="H17" s="142"/>
      <c r="I17" s="143"/>
      <c r="J17" s="144"/>
      <c r="K17" s="145"/>
      <c r="R17" s="127">
        <f t="shared" ref="R17:X17" si="14">R15+7</f>
        <v>45739</v>
      </c>
      <c r="S17" s="128">
        <f t="shared" si="14"/>
        <v>45740</v>
      </c>
      <c r="T17" s="117">
        <f t="shared" si="14"/>
        <v>45741</v>
      </c>
      <c r="U17" s="117">
        <f t="shared" si="14"/>
        <v>45742</v>
      </c>
      <c r="V17" s="118">
        <f t="shared" si="14"/>
        <v>45743</v>
      </c>
      <c r="W17" s="129">
        <f t="shared" si="14"/>
        <v>45744</v>
      </c>
      <c r="X17" s="130">
        <f t="shared" si="14"/>
        <v>45745</v>
      </c>
      <c r="Y17" s="131"/>
      <c r="AB17" s="121" t="str">
        <f>$R$25</f>
        <v>🍪기타</v>
      </c>
      <c r="AC17" s="122">
        <f>$X$31</f>
        <v>204300</v>
      </c>
      <c r="AD17" s="123">
        <f t="shared" si="4"/>
        <v>8.0009</v>
      </c>
      <c r="AE17" s="123">
        <f t="shared" si="5"/>
        <v>9.0011</v>
      </c>
      <c r="AF17" s="123" t="str">
        <f t="shared" si="6"/>
        <v>🍪이벤트성</v>
      </c>
      <c r="AG17" s="122">
        <f t="shared" si="7"/>
        <v>105800</v>
      </c>
    </row>
    <row r="18">
      <c r="C18" s="146" t="s">
        <v>140</v>
      </c>
      <c r="D18" s="147">
        <f>D12-D14-D16</f>
        <v>9168382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73400</v>
      </c>
      <c r="S18" s="148">
        <f t="shared" si="15"/>
        <v>277611</v>
      </c>
      <c r="T18" s="149">
        <f t="shared" si="15"/>
        <v>557010</v>
      </c>
      <c r="U18" s="149">
        <f t="shared" si="15"/>
        <v>19800</v>
      </c>
      <c r="V18" s="126">
        <f t="shared" si="15"/>
        <v>12500</v>
      </c>
      <c r="W18" s="150">
        <f t="shared" si="15"/>
        <v>162010</v>
      </c>
      <c r="X18" s="150">
        <f t="shared" si="15"/>
        <v>13500</v>
      </c>
      <c r="Y18" s="150">
        <f>SUM(R18:X18)</f>
        <v>1115831</v>
      </c>
      <c r="AB18" s="121" t="str">
        <f>$R$33</f>
        <v>🐻기타</v>
      </c>
      <c r="AC18" s="122">
        <f>$X$39</f>
        <v>51500</v>
      </c>
      <c r="AD18" s="123">
        <f t="shared" si="4"/>
        <v>11.001</v>
      </c>
      <c r="AE18" s="123">
        <f t="shared" si="5"/>
        <v>10.0012</v>
      </c>
      <c r="AF18" s="123" t="str">
        <f t="shared" si="6"/>
        <v>🐻 이벤트성</v>
      </c>
      <c r="AG18" s="122">
        <f t="shared" si="7"/>
        <v>55500</v>
      </c>
    </row>
    <row r="19">
      <c r="C19" s="151" t="s">
        <v>141</v>
      </c>
      <c r="D19" s="152">
        <f>(D16+D18)/D12</f>
        <v>0.6530103821</v>
      </c>
      <c r="E19" s="114" t="s">
        <v>64</v>
      </c>
      <c r="F19" s="115">
        <f t="shared" si="2"/>
        <v>1213042</v>
      </c>
      <c r="H19" s="142"/>
      <c r="I19" s="143"/>
      <c r="J19" s="144"/>
      <c r="K19" s="145"/>
      <c r="R19" s="153">
        <f t="shared" ref="R19:X19" si="16">R17+7</f>
        <v>45746</v>
      </c>
      <c r="S19" s="154">
        <f t="shared" si="16"/>
        <v>45747</v>
      </c>
      <c r="T19" s="155">
        <f t="shared" si="16"/>
        <v>45748</v>
      </c>
      <c r="U19" s="155">
        <f t="shared" si="16"/>
        <v>45749</v>
      </c>
      <c r="V19" s="156">
        <f t="shared" si="16"/>
        <v>45750</v>
      </c>
      <c r="W19" s="157">
        <f t="shared" si="16"/>
        <v>45751</v>
      </c>
      <c r="X19" s="158">
        <f t="shared" si="16"/>
        <v>45752</v>
      </c>
      <c r="Y19" s="159"/>
      <c r="AB19" s="121" t="str">
        <f>$R$41</f>
        <v>🍪이벤트성</v>
      </c>
      <c r="AC19" s="122">
        <f>$X$47</f>
        <v>105800</v>
      </c>
      <c r="AD19" s="123">
        <f t="shared" si="4"/>
        <v>9.0011</v>
      </c>
      <c r="AE19" s="123">
        <f t="shared" si="5"/>
        <v>11.001</v>
      </c>
      <c r="AF19" s="123" t="str">
        <f t="shared" si="6"/>
        <v>🐻기타</v>
      </c>
      <c r="AG19" s="122">
        <f t="shared" si="7"/>
        <v>51500</v>
      </c>
    </row>
    <row r="20">
      <c r="C20" s="160" t="s">
        <v>142</v>
      </c>
      <c r="D20" s="161">
        <f>D18/D12</f>
        <v>0.6530103821</v>
      </c>
      <c r="E20" s="162" t="s">
        <v>65</v>
      </c>
      <c r="F20" s="163">
        <f>SUM($F$9:$F$19)</f>
        <v>5095796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84390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84390</v>
      </c>
      <c r="AB20" s="121" t="str">
        <f>$R$49</f>
        <v>🐻 이벤트성</v>
      </c>
      <c r="AC20" s="122">
        <f>$X$55</f>
        <v>55500</v>
      </c>
      <c r="AD20" s="123">
        <f t="shared" si="4"/>
        <v>10.0012</v>
      </c>
      <c r="AE20" s="123">
        <f t="shared" si="5"/>
        <v>12.0004</v>
      </c>
      <c r="AF20" s="123" t="str">
        <f t="shared" si="6"/>
        <v>🐻생필품</v>
      </c>
      <c r="AG20" s="122">
        <f t="shared" si="7"/>
        <v>41400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3297040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568550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20200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400000</v>
      </c>
      <c r="M26" s="45"/>
      <c r="N26" s="41" t="s">
        <v>28</v>
      </c>
      <c r="O26" s="179"/>
      <c r="P26" s="115">
        <f t="shared" si="20"/>
        <v>120100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152000</v>
      </c>
      <c r="Y26" s="145"/>
    </row>
    <row r="27">
      <c r="C27" s="45"/>
      <c r="D27" s="41" t="s">
        <v>6</v>
      </c>
      <c r="E27" s="179"/>
      <c r="F27" s="115">
        <f t="shared" si="18"/>
        <v>0</v>
      </c>
      <c r="H27" s="45"/>
      <c r="I27" s="41" t="s">
        <v>17</v>
      </c>
      <c r="J27" s="179"/>
      <c r="K27" s="115">
        <f t="shared" si="19"/>
        <v>145511</v>
      </c>
      <c r="M27" s="45"/>
      <c r="N27" s="41" t="s">
        <v>29</v>
      </c>
      <c r="O27" s="179"/>
      <c r="P27" s="115">
        <f t="shared" si="20"/>
        <v>33200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27600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61050</v>
      </c>
      <c r="M28" s="45"/>
      <c r="N28" s="41" t="s">
        <v>30</v>
      </c>
      <c r="O28" s="179"/>
      <c r="P28" s="115">
        <f t="shared" si="20"/>
        <v>437300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4500</v>
      </c>
      <c r="Y28" s="145"/>
    </row>
    <row r="29">
      <c r="C29" s="45"/>
      <c r="D29" s="41" t="s">
        <v>8</v>
      </c>
      <c r="E29" s="179"/>
      <c r="F29" s="115">
        <f t="shared" si="18"/>
        <v>10743138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606561</v>
      </c>
      <c r="M31" s="187" t="str">
        <f>IF(M25=0,"","총"&amp;M25)</f>
        <v>총🍪식비</v>
      </c>
      <c r="N31" s="188"/>
      <c r="O31" s="175"/>
      <c r="P31" s="189">
        <f>SUM(P25:P30)</f>
        <v>1159150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204300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606561</v>
      </c>
      <c r="M32" s="184"/>
      <c r="N32" s="191"/>
      <c r="O32" s="185"/>
      <c r="P32" s="193">
        <f>P31-O25</f>
        <v>1159150</v>
      </c>
      <c r="R32" s="184"/>
      <c r="S32" s="191"/>
      <c r="T32" s="191"/>
      <c r="U32" s="191"/>
      <c r="V32" s="191"/>
      <c r="W32" s="185"/>
      <c r="X32" s="194">
        <f>X31-V25</f>
        <v>204300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14040178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319300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178452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0</v>
      </c>
      <c r="Y33" s="145"/>
    </row>
    <row r="34">
      <c r="C34" s="184"/>
      <c r="D34" s="191"/>
      <c r="E34" s="185"/>
      <c r="F34" s="195">
        <f>F33-E25</f>
        <v>14040178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69050</v>
      </c>
      <c r="M35" s="45"/>
      <c r="N35" s="41" t="s">
        <v>29</v>
      </c>
      <c r="O35" s="179"/>
      <c r="P35" s="115">
        <f t="shared" si="23"/>
        <v>45600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172680</v>
      </c>
      <c r="M36" s="45"/>
      <c r="N36" s="41" t="s">
        <v>30</v>
      </c>
      <c r="O36" s="179"/>
      <c r="P36" s="115">
        <f t="shared" si="23"/>
        <v>129700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1500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80000</v>
      </c>
      <c r="M37" s="45"/>
      <c r="N37" s="41" t="s">
        <v>8</v>
      </c>
      <c r="O37" s="179"/>
      <c r="P37" s="115">
        <f t="shared" si="23"/>
        <v>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50000</v>
      </c>
      <c r="Y37" s="145"/>
    </row>
    <row r="38">
      <c r="C38" s="45"/>
      <c r="D38" s="41" t="s">
        <v>13</v>
      </c>
      <c r="E38" s="179"/>
      <c r="F38" s="115">
        <f t="shared" si="25"/>
        <v>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641030</v>
      </c>
      <c r="M39" s="187" t="str">
        <f>IF(M33=0,"","총"&amp;M33)</f>
        <v>총🐻식비</v>
      </c>
      <c r="N39" s="188"/>
      <c r="O39" s="175"/>
      <c r="P39" s="189">
        <f>SUM(P33:P38)</f>
        <v>353752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51500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641030</v>
      </c>
      <c r="M40" s="184"/>
      <c r="N40" s="191"/>
      <c r="O40" s="185"/>
      <c r="P40" s="193">
        <f>P39-O33</f>
        <v>353752</v>
      </c>
      <c r="R40" s="184"/>
      <c r="S40" s="191"/>
      <c r="T40" s="191"/>
      <c r="U40" s="191"/>
      <c r="V40" s="191"/>
      <c r="W40" s="185"/>
      <c r="X40" s="194">
        <f>X39-V33</f>
        <v>51500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526633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260000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50000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140708</v>
      </c>
      <c r="M42" s="45"/>
      <c r="N42" s="41" t="s">
        <v>34</v>
      </c>
      <c r="O42" s="179"/>
      <c r="P42" s="115">
        <f t="shared" si="27"/>
        <v>7890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0</v>
      </c>
      <c r="H43" s="45"/>
      <c r="I43" s="41" t="s">
        <v>8</v>
      </c>
      <c r="J43" s="179"/>
      <c r="K43" s="115">
        <f t="shared" si="26"/>
        <v>24270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273202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55800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691611</v>
      </c>
      <c r="M47" s="187" t="str">
        <f>IF(M41=0,"","총"&amp;M41)</f>
        <v>총🍪여가비</v>
      </c>
      <c r="N47" s="188"/>
      <c r="O47" s="175"/>
      <c r="P47" s="189">
        <f>SUM(P41:P46)</f>
        <v>541092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105800</v>
      </c>
      <c r="Y47" s="145"/>
    </row>
    <row r="48">
      <c r="H48" s="184"/>
      <c r="I48" s="191"/>
      <c r="J48" s="185"/>
      <c r="K48" s="193">
        <f>K47-J41</f>
        <v>691611</v>
      </c>
      <c r="M48" s="184"/>
      <c r="N48" s="191"/>
      <c r="O48" s="185"/>
      <c r="P48" s="193">
        <f>P47-O41</f>
        <v>541092</v>
      </c>
      <c r="R48" s="184"/>
      <c r="S48" s="191"/>
      <c r="T48" s="191"/>
      <c r="U48" s="191"/>
      <c r="V48" s="191"/>
      <c r="W48" s="185"/>
      <c r="X48" s="194">
        <f>X47-V41</f>
        <v>105800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400000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50000</v>
      </c>
      <c r="Y49" s="145"/>
    </row>
    <row r="50">
      <c r="H50" s="45"/>
      <c r="I50" s="41" t="s">
        <v>24</v>
      </c>
      <c r="J50" s="179"/>
      <c r="K50" s="115">
        <f t="shared" si="29"/>
        <v>41400</v>
      </c>
      <c r="M50" s="45"/>
      <c r="N50" s="41" t="s">
        <v>34</v>
      </c>
      <c r="O50" s="179"/>
      <c r="P50" s="115">
        <f t="shared" si="30"/>
        <v>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0</v>
      </c>
      <c r="Y50" s="145"/>
    </row>
    <row r="51">
      <c r="H51" s="45"/>
      <c r="I51" s="41" t="s">
        <v>8</v>
      </c>
      <c r="J51" s="179"/>
      <c r="K51" s="115">
        <f t="shared" si="29"/>
        <v>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5500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20100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41400</v>
      </c>
      <c r="M55" s="187" t="str">
        <f>IF(M49=0,"","총"&amp;M49)</f>
        <v>총🐻여가비</v>
      </c>
      <c r="N55" s="188"/>
      <c r="O55" s="175"/>
      <c r="P55" s="189">
        <f>SUM(P49:P54)</f>
        <v>420100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55500</v>
      </c>
      <c r="Y55" s="145"/>
    </row>
    <row r="56">
      <c r="H56" s="196"/>
      <c r="I56" s="197"/>
      <c r="J56" s="198"/>
      <c r="K56" s="200">
        <f>K55-J49</f>
        <v>41400</v>
      </c>
      <c r="M56" s="196"/>
      <c r="N56" s="197"/>
      <c r="O56" s="198"/>
      <c r="P56" s="200">
        <f>P55-O49</f>
        <v>420100</v>
      </c>
      <c r="R56" s="196"/>
      <c r="S56" s="197"/>
      <c r="T56" s="197"/>
      <c r="U56" s="197"/>
      <c r="V56" s="197"/>
      <c r="W56" s="198"/>
      <c r="X56" s="201">
        <f>X55-V49</f>
        <v>55500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-4871796</v>
      </c>
      <c r="Y61" s="8"/>
    </row>
    <row r="62">
      <c r="H62" s="231">
        <v>45717.0</v>
      </c>
      <c r="I62" s="209" t="s">
        <v>21</v>
      </c>
      <c r="J62" s="209" t="s">
        <v>19</v>
      </c>
      <c r="K62" s="210">
        <v>84670.0</v>
      </c>
      <c r="L62" s="211" t="s">
        <v>62</v>
      </c>
      <c r="M62" s="143"/>
      <c r="N62" s="211" t="s">
        <v>404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IFERROR(__xludf.DUMMYFUNCTION("FILTER('설정시트'!$D$7:$L$20,'설정시트'!$C$7:$C$20=I62)"),"관리비")</f>
        <v>관리비</v>
      </c>
      <c r="AC62" s="214" t="str">
        <f>IFERROR(__xludf.DUMMYFUNCTION("""COMPUTED_VALUE"""),"대출이자")</f>
        <v>대출이자</v>
      </c>
      <c r="AD62" s="214" t="str">
        <f>IFERROR(__xludf.DUMMYFUNCTION("""COMPUTED_VALUE"""),"통신비")</f>
        <v>통신비</v>
      </c>
      <c r="AE62" s="214" t="str">
        <f>IFERROR(__xludf.DUMMYFUNCTION("""COMPUTED_VALUE"""),"보험료")</f>
        <v>보험료</v>
      </c>
      <c r="AF62" s="214" t="str">
        <f>IFERROR(__xludf.DUMMYFUNCTION("""COMPUTED_VALUE"""),"곗돈")</f>
        <v>곗돈</v>
      </c>
      <c r="AG62" s="214"/>
      <c r="AH62" s="214"/>
      <c r="AI62" s="214"/>
      <c r="AJ62" s="215"/>
    </row>
    <row r="63">
      <c r="H63" s="231">
        <v>45717.0</v>
      </c>
      <c r="I63" s="209" t="s">
        <v>31</v>
      </c>
      <c r="J63" s="209" t="s">
        <v>27</v>
      </c>
      <c r="K63" s="210">
        <v>29400.0</v>
      </c>
      <c r="L63" s="211" t="s">
        <v>64</v>
      </c>
      <c r="M63" s="143"/>
      <c r="N63" s="211" t="s">
        <v>405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IFERROR(__xludf.DUMMYFUNCTION("FILTER('설정시트'!$D$7:$L$20,'설정시트'!$C$7:$C$20=I63)"),"식재료비")</f>
        <v>식재료비</v>
      </c>
      <c r="AC63" s="214" t="str">
        <f>IFERROR(__xludf.DUMMYFUNCTION("""COMPUTED_VALUE"""),"회사점심")</f>
        <v>회사점심</v>
      </c>
      <c r="AD63" s="214" t="str">
        <f>IFERROR(__xludf.DUMMYFUNCTION("""COMPUTED_VALUE"""),"간식/카페")</f>
        <v>간식/카페</v>
      </c>
      <c r="AE63" s="214" t="str">
        <f>IFERROR(__xludf.DUMMYFUNCTION("""COMPUTED_VALUE"""),"외식/배달")</f>
        <v>외식/배달</v>
      </c>
      <c r="AF63" s="214" t="str">
        <f>IFERROR(__xludf.DUMMYFUNCTION("""COMPUTED_VALUE"""),"기타")</f>
        <v>기타</v>
      </c>
      <c r="AG63" s="214"/>
      <c r="AH63" s="214"/>
      <c r="AI63" s="214"/>
      <c r="AJ63" s="215"/>
    </row>
    <row r="64">
      <c r="H64" s="231">
        <v>45717.0</v>
      </c>
      <c r="I64" s="209" t="s">
        <v>25</v>
      </c>
      <c r="J64" s="209" t="s">
        <v>24</v>
      </c>
      <c r="K64" s="210">
        <v>7000.0</v>
      </c>
      <c r="L64" s="211" t="s">
        <v>64</v>
      </c>
      <c r="M64" s="143"/>
      <c r="N64" s="211" t="s">
        <v>229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IFERROR(__xludf.DUMMYFUNCTION("FILTER('설정시트'!$D$7:$L$20,'설정시트'!$C$7:$C$20=I64)"),"주방/욕실")</f>
        <v>주방/욕실</v>
      </c>
      <c r="AC64" s="214" t="str">
        <f>IFERROR(__xludf.DUMMYFUNCTION("""COMPUTED_VALUE"""),"소모품")</f>
        <v>소모품</v>
      </c>
      <c r="AD64" s="214" t="str">
        <f>IFERROR(__xludf.DUMMYFUNCTION("""COMPUTED_VALUE"""),"기타")</f>
        <v>기타</v>
      </c>
      <c r="AE64" s="214"/>
      <c r="AF64" s="214"/>
      <c r="AG64" s="214"/>
      <c r="AH64" s="214"/>
      <c r="AI64" s="214"/>
      <c r="AJ64" s="215"/>
    </row>
    <row r="65">
      <c r="H65" s="231">
        <v>45717.0</v>
      </c>
      <c r="I65" s="209" t="s">
        <v>25</v>
      </c>
      <c r="J65" s="209" t="s">
        <v>24</v>
      </c>
      <c r="K65" s="210">
        <v>400.0</v>
      </c>
      <c r="L65" s="211" t="s">
        <v>64</v>
      </c>
      <c r="M65" s="143"/>
      <c r="N65" s="211" t="s">
        <v>406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IFERROR(__xludf.DUMMYFUNCTION("FILTER('설정시트'!$D$7:$L$20,'설정시트'!$C$7:$C$20=I65)"),"주방/욕실")</f>
        <v>주방/욕실</v>
      </c>
      <c r="AC65" s="214" t="str">
        <f>IFERROR(__xludf.DUMMYFUNCTION("""COMPUTED_VALUE"""),"소모품")</f>
        <v>소모품</v>
      </c>
      <c r="AD65" s="214" t="str">
        <f>IFERROR(__xludf.DUMMYFUNCTION("""COMPUTED_VALUE"""),"기타")</f>
        <v>기타</v>
      </c>
      <c r="AE65" s="214"/>
      <c r="AF65" s="214"/>
      <c r="AG65" s="214"/>
      <c r="AH65" s="214"/>
      <c r="AI65" s="214"/>
      <c r="AJ65" s="215"/>
    </row>
    <row r="66">
      <c r="H66" s="231">
        <v>45717.0</v>
      </c>
      <c r="I66" s="209" t="s">
        <v>26</v>
      </c>
      <c r="J66" s="209" t="s">
        <v>27</v>
      </c>
      <c r="K66" s="210">
        <f>115910</f>
        <v>115910</v>
      </c>
      <c r="L66" s="211" t="s">
        <v>57</v>
      </c>
      <c r="M66" s="143"/>
      <c r="N66" s="211" t="s">
        <v>230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IFERROR(__xludf.DUMMYFUNCTION("FILTER('설정시트'!$D$7:$L$20,'설정시트'!$C$7:$C$20=I66)"),"식재료비")</f>
        <v>식재료비</v>
      </c>
      <c r="AC66" s="214" t="str">
        <f>IFERROR(__xludf.DUMMYFUNCTION("""COMPUTED_VALUE"""),"회사점심")</f>
        <v>회사점심</v>
      </c>
      <c r="AD66" s="214" t="str">
        <f>IFERROR(__xludf.DUMMYFUNCTION("""COMPUTED_VALUE"""),"간식/카페")</f>
        <v>간식/카페</v>
      </c>
      <c r="AE66" s="214" t="str">
        <f>IFERROR(__xludf.DUMMYFUNCTION("""COMPUTED_VALUE"""),"외식/배달")</f>
        <v>외식/배달</v>
      </c>
      <c r="AF66" s="214" t="str">
        <f>IFERROR(__xludf.DUMMYFUNCTION("""COMPUTED_VALUE"""),"기타")</f>
        <v>기타</v>
      </c>
      <c r="AG66" s="214"/>
      <c r="AH66" s="214"/>
      <c r="AI66" s="214"/>
      <c r="AJ66" s="215"/>
    </row>
    <row r="67">
      <c r="H67" s="231">
        <v>45717.0</v>
      </c>
      <c r="I67" s="209" t="s">
        <v>26</v>
      </c>
      <c r="J67" s="209" t="s">
        <v>30</v>
      </c>
      <c r="K67" s="210">
        <v>12700.0</v>
      </c>
      <c r="L67" s="211" t="s">
        <v>57</v>
      </c>
      <c r="M67" s="143"/>
      <c r="N67" s="211" t="s">
        <v>407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IFERROR(__xludf.DUMMYFUNCTION("FILTER('설정시트'!$D$7:$L$20,'설정시트'!$C$7:$C$20=I67)"),"식재료비")</f>
        <v>식재료비</v>
      </c>
      <c r="AC67" s="214" t="str">
        <f>IFERROR(__xludf.DUMMYFUNCTION("""COMPUTED_VALUE"""),"회사점심")</f>
        <v>회사점심</v>
      </c>
      <c r="AD67" s="214" t="str">
        <f>IFERROR(__xludf.DUMMYFUNCTION("""COMPUTED_VALUE"""),"간식/카페")</f>
        <v>간식/카페</v>
      </c>
      <c r="AE67" s="214" t="str">
        <f>IFERROR(__xludf.DUMMYFUNCTION("""COMPUTED_VALUE"""),"외식/배달")</f>
        <v>외식/배달</v>
      </c>
      <c r="AF67" s="214" t="str">
        <f>IFERROR(__xludf.DUMMYFUNCTION("""COMPUTED_VALUE"""),"기타")</f>
        <v>기타</v>
      </c>
      <c r="AG67" s="214"/>
      <c r="AH67" s="214"/>
      <c r="AI67" s="214"/>
      <c r="AJ67" s="215"/>
    </row>
    <row r="68">
      <c r="H68" s="231">
        <v>45717.0</v>
      </c>
      <c r="I68" s="209" t="s">
        <v>39</v>
      </c>
      <c r="J68" s="209" t="s">
        <v>43</v>
      </c>
      <c r="K68" s="210">
        <f>1500+3000</f>
        <v>4500</v>
      </c>
      <c r="L68" s="211" t="s">
        <v>57</v>
      </c>
      <c r="M68" s="143"/>
      <c r="N68" s="211" t="s">
        <v>408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IFERROR(__xludf.DUMMYFUNCTION("FILTER('설정시트'!$D$7:$L$20,'설정시트'!$C$7:$C$20=I68)"),"약국")</f>
        <v>약국</v>
      </c>
      <c r="AC68" s="214" t="str">
        <f>IFERROR(__xludf.DUMMYFUNCTION("""COMPUTED_VALUE"""),"병원비")</f>
        <v>병원비</v>
      </c>
      <c r="AD68" s="214" t="str">
        <f>IFERROR(__xludf.DUMMYFUNCTION("""COMPUTED_VALUE"""),"영양제")</f>
        <v>영양제</v>
      </c>
      <c r="AE68" s="214" t="str">
        <f>IFERROR(__xludf.DUMMYFUNCTION("""COMPUTED_VALUE"""),"교통비")</f>
        <v>교통비</v>
      </c>
      <c r="AF68" s="214" t="str">
        <f>IFERROR(__xludf.DUMMYFUNCTION("""COMPUTED_VALUE"""),"주유비")</f>
        <v>주유비</v>
      </c>
      <c r="AG68" s="214"/>
      <c r="AH68" s="214" t="str">
        <f>IFERROR(__xludf.DUMMYFUNCTION("""COMPUTED_VALUE"""),"기타")</f>
        <v>기타</v>
      </c>
      <c r="AI68" s="214"/>
      <c r="AJ68" s="215"/>
    </row>
    <row r="69">
      <c r="H69" s="232">
        <v>45717.0</v>
      </c>
      <c r="I69" s="233" t="s">
        <v>26</v>
      </c>
      <c r="J69" s="233" t="s">
        <v>30</v>
      </c>
      <c r="K69" s="210">
        <v>31000.0</v>
      </c>
      <c r="L69" s="211" t="s">
        <v>58</v>
      </c>
      <c r="M69" s="143"/>
      <c r="N69" s="211" t="s">
        <v>409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IFERROR(__xludf.DUMMYFUNCTION("FILTER('설정시트'!$D$7:$L$20,'설정시트'!$C$7:$C$20=I69)"),"식재료비")</f>
        <v>식재료비</v>
      </c>
      <c r="AC69" s="214" t="str">
        <f>IFERROR(__xludf.DUMMYFUNCTION("""COMPUTED_VALUE"""),"회사점심")</f>
        <v>회사점심</v>
      </c>
      <c r="AD69" s="214" t="str">
        <f>IFERROR(__xludf.DUMMYFUNCTION("""COMPUTED_VALUE"""),"간식/카페")</f>
        <v>간식/카페</v>
      </c>
      <c r="AE69" s="214" t="str">
        <f>IFERROR(__xludf.DUMMYFUNCTION("""COMPUTED_VALUE"""),"외식/배달")</f>
        <v>외식/배달</v>
      </c>
      <c r="AF69" s="214" t="str">
        <f>IFERROR(__xludf.DUMMYFUNCTION("""COMPUTED_VALUE"""),"기타")</f>
        <v>기타</v>
      </c>
      <c r="AG69" s="214"/>
      <c r="AH69" s="214"/>
      <c r="AI69" s="214"/>
      <c r="AJ69" s="215"/>
    </row>
    <row r="70">
      <c r="H70" s="232">
        <v>45717.0</v>
      </c>
      <c r="I70" s="233" t="s">
        <v>22</v>
      </c>
      <c r="J70" s="233" t="s">
        <v>24</v>
      </c>
      <c r="K70" s="210">
        <v>8870.0</v>
      </c>
      <c r="L70" s="211" t="s">
        <v>58</v>
      </c>
      <c r="M70" s="143"/>
      <c r="N70" s="211" t="s">
        <v>410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IFERROR(__xludf.DUMMYFUNCTION("FILTER('설정시트'!$D$7:$L$20,'설정시트'!$C$7:$C$20=I70)"),"주방/욕실")</f>
        <v>주방/욕실</v>
      </c>
      <c r="AC70" s="214" t="str">
        <f>IFERROR(__xludf.DUMMYFUNCTION("""COMPUTED_VALUE"""),"소모품")</f>
        <v>소모품</v>
      </c>
      <c r="AD70" s="214" t="str">
        <f>IFERROR(__xludf.DUMMYFUNCTION("""COMPUTED_VALUE"""),"기타")</f>
        <v>기타</v>
      </c>
      <c r="AE70" s="214"/>
      <c r="AF70" s="214"/>
      <c r="AG70" s="214"/>
      <c r="AH70" s="214"/>
      <c r="AI70" s="214"/>
      <c r="AJ70" s="215"/>
    </row>
    <row r="71">
      <c r="H71" s="231">
        <v>45717.0</v>
      </c>
      <c r="I71" s="233" t="s">
        <v>3</v>
      </c>
      <c r="J71" s="233" t="s">
        <v>8</v>
      </c>
      <c r="K71" s="234">
        <v>31000.0</v>
      </c>
      <c r="L71" s="211"/>
      <c r="M71" s="143"/>
      <c r="N71" s="211" t="s">
        <v>411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IFERROR(__xludf.DUMMYFUNCTION("FILTER('설정시트'!$D$7:$L$20,'설정시트'!$C$7:$C$20=I71)"),"🍪 월급")</f>
        <v>🍪 월급</v>
      </c>
      <c r="AC71" s="214" t="str">
        <f>IFERROR(__xludf.DUMMYFUNCTION("""COMPUTED_VALUE"""),"🍪 부수입")</f>
        <v>🍪 부수입</v>
      </c>
      <c r="AD71" s="214" t="str">
        <f>IFERROR(__xludf.DUMMYFUNCTION("""COMPUTED_VALUE"""),"🐻 월급")</f>
        <v>🐻 월급</v>
      </c>
      <c r="AE71" s="214" t="str">
        <f>IFERROR(__xludf.DUMMYFUNCTION("""COMPUTED_VALUE"""),"🐻 부수입")</f>
        <v>🐻 부수입</v>
      </c>
      <c r="AF71" s="214" t="str">
        <f>IFERROR(__xludf.DUMMYFUNCTION("""COMPUTED_VALUE"""),"기타")</f>
        <v>기타</v>
      </c>
      <c r="AG71" s="214"/>
      <c r="AH71" s="214"/>
      <c r="AI71" s="214"/>
      <c r="AJ71" s="215"/>
    </row>
    <row r="72">
      <c r="H72" s="231">
        <v>45718.0</v>
      </c>
      <c r="I72" s="209" t="s">
        <v>3</v>
      </c>
      <c r="J72" s="209" t="s">
        <v>8</v>
      </c>
      <c r="K72" s="210">
        <v>70000.0</v>
      </c>
      <c r="L72" s="211"/>
      <c r="M72" s="143"/>
      <c r="N72" s="211" t="s">
        <v>412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IFERROR(__xludf.DUMMYFUNCTION("FILTER('설정시트'!$D$7:$L$20,'설정시트'!$C$7:$C$20=I72)"),"🍪 월급")</f>
        <v>🍪 월급</v>
      </c>
      <c r="AC72" s="214" t="str">
        <f>IFERROR(__xludf.DUMMYFUNCTION("""COMPUTED_VALUE"""),"🍪 부수입")</f>
        <v>🍪 부수입</v>
      </c>
      <c r="AD72" s="214" t="str">
        <f>IFERROR(__xludf.DUMMYFUNCTION("""COMPUTED_VALUE"""),"🐻 월급")</f>
        <v>🐻 월급</v>
      </c>
      <c r="AE72" s="214" t="str">
        <f>IFERROR(__xludf.DUMMYFUNCTION("""COMPUTED_VALUE"""),"🐻 부수입")</f>
        <v>🐻 부수입</v>
      </c>
      <c r="AF72" s="214" t="str">
        <f>IFERROR(__xludf.DUMMYFUNCTION("""COMPUTED_VALUE"""),"기타")</f>
        <v>기타</v>
      </c>
      <c r="AG72" s="214"/>
      <c r="AH72" s="214"/>
      <c r="AI72" s="214"/>
      <c r="AJ72" s="215"/>
    </row>
    <row r="73">
      <c r="H73" s="231">
        <v>45718.0</v>
      </c>
      <c r="I73" s="209" t="s">
        <v>3</v>
      </c>
      <c r="J73" s="209" t="s">
        <v>8</v>
      </c>
      <c r="K73" s="210">
        <v>60000.0</v>
      </c>
      <c r="L73" s="211"/>
      <c r="M73" s="143"/>
      <c r="N73" s="211" t="s">
        <v>413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IFERROR(__xludf.DUMMYFUNCTION("FILTER('설정시트'!$D$7:$L$20,'설정시트'!$C$7:$C$20=I73)"),"🍪 월급")</f>
        <v>🍪 월급</v>
      </c>
      <c r="AC73" s="214" t="str">
        <f>IFERROR(__xludf.DUMMYFUNCTION("""COMPUTED_VALUE"""),"🍪 부수입")</f>
        <v>🍪 부수입</v>
      </c>
      <c r="AD73" s="214" t="str">
        <f>IFERROR(__xludf.DUMMYFUNCTION("""COMPUTED_VALUE"""),"🐻 월급")</f>
        <v>🐻 월급</v>
      </c>
      <c r="AE73" s="214" t="str">
        <f>IFERROR(__xludf.DUMMYFUNCTION("""COMPUTED_VALUE"""),"🐻 부수입")</f>
        <v>🐻 부수입</v>
      </c>
      <c r="AF73" s="214" t="str">
        <f>IFERROR(__xludf.DUMMYFUNCTION("""COMPUTED_VALUE"""),"기타")</f>
        <v>기타</v>
      </c>
      <c r="AG73" s="214"/>
      <c r="AH73" s="214"/>
      <c r="AI73" s="214"/>
      <c r="AJ73" s="215"/>
    </row>
    <row r="74">
      <c r="H74" s="231">
        <v>45718.0</v>
      </c>
      <c r="I74" s="209" t="s">
        <v>31</v>
      </c>
      <c r="J74" s="209" t="s">
        <v>30</v>
      </c>
      <c r="K74" s="210">
        <v>21900.0</v>
      </c>
      <c r="L74" s="211" t="s">
        <v>64</v>
      </c>
      <c r="M74" s="143"/>
      <c r="N74" s="211" t="s">
        <v>414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IFERROR(__xludf.DUMMYFUNCTION("FILTER('설정시트'!$D$7:$L$20,'설정시트'!$C$7:$C$20=I74)"),"식재료비")</f>
        <v>식재료비</v>
      </c>
      <c r="AC74" s="214" t="str">
        <f>IFERROR(__xludf.DUMMYFUNCTION("""COMPUTED_VALUE"""),"회사점심")</f>
        <v>회사점심</v>
      </c>
      <c r="AD74" s="214" t="str">
        <f>IFERROR(__xludf.DUMMYFUNCTION("""COMPUTED_VALUE"""),"간식/카페")</f>
        <v>간식/카페</v>
      </c>
      <c r="AE74" s="214" t="str">
        <f>IFERROR(__xludf.DUMMYFUNCTION("""COMPUTED_VALUE"""),"외식/배달")</f>
        <v>외식/배달</v>
      </c>
      <c r="AF74" s="214" t="str">
        <f>IFERROR(__xludf.DUMMYFUNCTION("""COMPUTED_VALUE"""),"기타")</f>
        <v>기타</v>
      </c>
      <c r="AG74" s="214"/>
      <c r="AH74" s="214"/>
      <c r="AI74" s="214"/>
      <c r="AJ74" s="215"/>
    </row>
    <row r="75">
      <c r="H75" s="231">
        <v>45718.0</v>
      </c>
      <c r="I75" s="209" t="s">
        <v>45</v>
      </c>
      <c r="J75" s="209" t="s">
        <v>44</v>
      </c>
      <c r="K75" s="210">
        <v>50000.0</v>
      </c>
      <c r="L75" s="211" t="s">
        <v>64</v>
      </c>
      <c r="M75" s="143"/>
      <c r="N75" s="211" t="s">
        <v>44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IFERROR(__xludf.DUMMYFUNCTION("FILTER('설정시트'!$D$7:$L$20,'설정시트'!$C$7:$C$20=I75)"),"약국")</f>
        <v>약국</v>
      </c>
      <c r="AC75" s="214" t="str">
        <f>IFERROR(__xludf.DUMMYFUNCTION("""COMPUTED_VALUE"""),"병원비")</f>
        <v>병원비</v>
      </c>
      <c r="AD75" s="214" t="str">
        <f>IFERROR(__xludf.DUMMYFUNCTION("""COMPUTED_VALUE"""),"영양제")</f>
        <v>영양제</v>
      </c>
      <c r="AE75" s="214" t="str">
        <f>IFERROR(__xludf.DUMMYFUNCTION("""COMPUTED_VALUE"""),"교통비")</f>
        <v>교통비</v>
      </c>
      <c r="AF75" s="214" t="str">
        <f>IFERROR(__xludf.DUMMYFUNCTION("""COMPUTED_VALUE"""),"주유비")</f>
        <v>주유비</v>
      </c>
      <c r="AG75" s="214"/>
      <c r="AH75" s="214" t="str">
        <f>IFERROR(__xludf.DUMMYFUNCTION("""COMPUTED_VALUE"""),"기타")</f>
        <v>기타</v>
      </c>
      <c r="AI75" s="214"/>
      <c r="AJ75" s="215"/>
    </row>
    <row r="76">
      <c r="H76" s="231">
        <v>45718.0</v>
      </c>
      <c r="I76" s="209" t="s">
        <v>26</v>
      </c>
      <c r="J76" s="209" t="s">
        <v>30</v>
      </c>
      <c r="K76" s="210">
        <v>38000.0</v>
      </c>
      <c r="L76" s="211" t="s">
        <v>57</v>
      </c>
      <c r="M76" s="143"/>
      <c r="N76" s="211" t="s">
        <v>415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IFERROR(__xludf.DUMMYFUNCTION("FILTER('설정시트'!$D$7:$L$20,'설정시트'!$C$7:$C$20=I76)"),"식재료비")</f>
        <v>식재료비</v>
      </c>
      <c r="AC76" s="214" t="str">
        <f>IFERROR(__xludf.DUMMYFUNCTION("""COMPUTED_VALUE"""),"회사점심")</f>
        <v>회사점심</v>
      </c>
      <c r="AD76" s="214" t="str">
        <f>IFERROR(__xludf.DUMMYFUNCTION("""COMPUTED_VALUE"""),"간식/카페")</f>
        <v>간식/카페</v>
      </c>
      <c r="AE76" s="214" t="str">
        <f>IFERROR(__xludf.DUMMYFUNCTION("""COMPUTED_VALUE"""),"외식/배달")</f>
        <v>외식/배달</v>
      </c>
      <c r="AF76" s="214" t="str">
        <f>IFERROR(__xludf.DUMMYFUNCTION("""COMPUTED_VALUE"""),"기타")</f>
        <v>기타</v>
      </c>
      <c r="AG76" s="214"/>
      <c r="AH76" s="214"/>
      <c r="AI76" s="214"/>
      <c r="AJ76" s="215"/>
    </row>
    <row r="77">
      <c r="H77" s="231">
        <v>45718.0</v>
      </c>
      <c r="I77" s="209"/>
      <c r="J77" s="209"/>
      <c r="K77" s="234">
        <v>15000.0</v>
      </c>
      <c r="L77" s="211" t="s">
        <v>55</v>
      </c>
      <c r="M77" s="143"/>
      <c r="N77" s="211" t="s">
        <v>416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IFERROR(__xludf.DUMMYFUNCTION("FILTER('설정시트'!$D$7:$L$20,'설정시트'!$C$7:$C$20=I77)"),"#N/A")</f>
        <v>#N/A</v>
      </c>
      <c r="AC77" s="214"/>
      <c r="AD77" s="214"/>
      <c r="AE77" s="214"/>
      <c r="AF77" s="214"/>
      <c r="AG77" s="214"/>
      <c r="AH77" s="214"/>
      <c r="AI77" s="214"/>
    </row>
    <row r="78">
      <c r="H78" s="231">
        <v>45719.0</v>
      </c>
      <c r="I78" s="209" t="s">
        <v>45</v>
      </c>
      <c r="J78" s="209" t="s">
        <v>43</v>
      </c>
      <c r="K78" s="210">
        <v>1500.0</v>
      </c>
      <c r="L78" s="211" t="s">
        <v>64</v>
      </c>
      <c r="M78" s="143"/>
      <c r="N78" s="211" t="s">
        <v>417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IFERROR(__xludf.DUMMYFUNCTION("FILTER('설정시트'!$D$7:$L$20,'설정시트'!$C$7:$C$20=I78)"),"약국")</f>
        <v>약국</v>
      </c>
      <c r="AC78" s="214" t="str">
        <f>IFERROR(__xludf.DUMMYFUNCTION("""COMPUTED_VALUE"""),"병원비")</f>
        <v>병원비</v>
      </c>
      <c r="AD78" s="214" t="str">
        <f>IFERROR(__xludf.DUMMYFUNCTION("""COMPUTED_VALUE"""),"영양제")</f>
        <v>영양제</v>
      </c>
      <c r="AE78" s="214" t="str">
        <f>IFERROR(__xludf.DUMMYFUNCTION("""COMPUTED_VALUE"""),"교통비")</f>
        <v>교통비</v>
      </c>
      <c r="AF78" s="214" t="str">
        <f>IFERROR(__xludf.DUMMYFUNCTION("""COMPUTED_VALUE"""),"주유비")</f>
        <v>주유비</v>
      </c>
      <c r="AG78" s="214"/>
      <c r="AH78" s="214" t="str">
        <f>IFERROR(__xludf.DUMMYFUNCTION("""COMPUTED_VALUE"""),"기타")</f>
        <v>기타</v>
      </c>
      <c r="AI78" s="214"/>
      <c r="AJ78" s="215"/>
    </row>
    <row r="79">
      <c r="H79" s="231">
        <v>45719.0</v>
      </c>
      <c r="I79" s="209" t="s">
        <v>26</v>
      </c>
      <c r="J79" s="209" t="s">
        <v>30</v>
      </c>
      <c r="K79" s="210">
        <v>25000.0</v>
      </c>
      <c r="L79" s="211" t="s">
        <v>57</v>
      </c>
      <c r="M79" s="143"/>
      <c r="N79" s="211" t="s">
        <v>418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IFERROR(__xludf.DUMMYFUNCTION("FILTER('설정시트'!$D$7:$L$20,'설정시트'!$C$7:$C$20=I79)"),"식재료비")</f>
        <v>식재료비</v>
      </c>
      <c r="AC79" s="214" t="str">
        <f>IFERROR(__xludf.DUMMYFUNCTION("""COMPUTED_VALUE"""),"회사점심")</f>
        <v>회사점심</v>
      </c>
      <c r="AD79" s="214" t="str">
        <f>IFERROR(__xludf.DUMMYFUNCTION("""COMPUTED_VALUE"""),"간식/카페")</f>
        <v>간식/카페</v>
      </c>
      <c r="AE79" s="214" t="str">
        <f>IFERROR(__xludf.DUMMYFUNCTION("""COMPUTED_VALUE"""),"외식/배달")</f>
        <v>외식/배달</v>
      </c>
      <c r="AF79" s="214" t="str">
        <f>IFERROR(__xludf.DUMMYFUNCTION("""COMPUTED_VALUE"""),"기타")</f>
        <v>기타</v>
      </c>
      <c r="AG79" s="214"/>
      <c r="AH79" s="214"/>
      <c r="AI79" s="214"/>
      <c r="AJ79" s="215"/>
    </row>
    <row r="80">
      <c r="H80" s="231">
        <v>45720.0</v>
      </c>
      <c r="I80" s="209" t="s">
        <v>21</v>
      </c>
      <c r="J80" s="209" t="s">
        <v>20</v>
      </c>
      <c r="K80" s="210">
        <v>10000.0</v>
      </c>
      <c r="L80" s="211" t="s">
        <v>62</v>
      </c>
      <c r="M80" s="143"/>
      <c r="N80" s="211" t="s">
        <v>419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IFERROR(__xludf.DUMMYFUNCTION("FILTER('설정시트'!$D$7:$L$20,'설정시트'!$C$7:$C$20=I80)"),"관리비")</f>
        <v>관리비</v>
      </c>
      <c r="AC80" s="214" t="str">
        <f>IFERROR(__xludf.DUMMYFUNCTION("""COMPUTED_VALUE"""),"대출이자")</f>
        <v>대출이자</v>
      </c>
      <c r="AD80" s="214" t="str">
        <f>IFERROR(__xludf.DUMMYFUNCTION("""COMPUTED_VALUE"""),"통신비")</f>
        <v>통신비</v>
      </c>
      <c r="AE80" s="214" t="str">
        <f>IFERROR(__xludf.DUMMYFUNCTION("""COMPUTED_VALUE"""),"보험료")</f>
        <v>보험료</v>
      </c>
      <c r="AF80" s="214" t="str">
        <f>IFERROR(__xludf.DUMMYFUNCTION("""COMPUTED_VALUE"""),"곗돈")</f>
        <v>곗돈</v>
      </c>
      <c r="AG80" s="214"/>
      <c r="AH80" s="214"/>
      <c r="AI80" s="214"/>
      <c r="AJ80" s="215"/>
    </row>
    <row r="81">
      <c r="H81" s="231">
        <v>45720.0</v>
      </c>
      <c r="I81" s="209" t="s">
        <v>22</v>
      </c>
      <c r="J81" s="209" t="s">
        <v>23</v>
      </c>
      <c r="K81" s="210">
        <v>21733.0</v>
      </c>
      <c r="L81" s="211" t="s">
        <v>57</v>
      </c>
      <c r="M81" s="143"/>
      <c r="N81" s="211" t="s">
        <v>420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IFERROR(__xludf.DUMMYFUNCTION("FILTER('설정시트'!$D$7:$L$20,'설정시트'!$C$7:$C$20=I81)"),"주방/욕실")</f>
        <v>주방/욕실</v>
      </c>
      <c r="AC81" s="214" t="str">
        <f>IFERROR(__xludf.DUMMYFUNCTION("""COMPUTED_VALUE"""),"소모품")</f>
        <v>소모품</v>
      </c>
      <c r="AD81" s="214" t="str">
        <f>IFERROR(__xludf.DUMMYFUNCTION("""COMPUTED_VALUE"""),"기타")</f>
        <v>기타</v>
      </c>
      <c r="AE81" s="214"/>
      <c r="AF81" s="214"/>
      <c r="AG81" s="214"/>
      <c r="AH81" s="214"/>
      <c r="AI81" s="214"/>
      <c r="AJ81" s="215"/>
    </row>
    <row r="82">
      <c r="H82" s="231">
        <v>45720.0</v>
      </c>
      <c r="I82" s="233" t="s">
        <v>22</v>
      </c>
      <c r="J82" s="233" t="s">
        <v>24</v>
      </c>
      <c r="K82" s="234">
        <v>3350.0</v>
      </c>
      <c r="L82" s="211" t="s">
        <v>58</v>
      </c>
      <c r="M82" s="143"/>
      <c r="N82" s="211" t="s">
        <v>421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IFERROR(__xludf.DUMMYFUNCTION("FILTER('설정시트'!$D$7:$L$20,'설정시트'!$C$7:$C$20=I82)"),"주방/욕실")</f>
        <v>주방/욕실</v>
      </c>
      <c r="AC82" s="214" t="str">
        <f>IFERROR(__xludf.DUMMYFUNCTION("""COMPUTED_VALUE"""),"소모품")</f>
        <v>소모품</v>
      </c>
      <c r="AD82" s="214" t="str">
        <f>IFERROR(__xludf.DUMMYFUNCTION("""COMPUTED_VALUE"""),"기타")</f>
        <v>기타</v>
      </c>
      <c r="AE82" s="214"/>
      <c r="AF82" s="214"/>
      <c r="AG82" s="214"/>
      <c r="AH82" s="214"/>
      <c r="AI82" s="214"/>
      <c r="AJ82" s="215"/>
    </row>
    <row r="83">
      <c r="H83" s="231">
        <v>45720.0</v>
      </c>
      <c r="I83" s="233" t="s">
        <v>22</v>
      </c>
      <c r="J83" s="233" t="s">
        <v>24</v>
      </c>
      <c r="K83" s="234">
        <v>4400.0</v>
      </c>
      <c r="L83" s="211" t="s">
        <v>58</v>
      </c>
      <c r="M83" s="143"/>
      <c r="N83" s="211" t="s">
        <v>422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IFERROR(__xludf.DUMMYFUNCTION("FILTER('설정시트'!$D$7:$L$20,'설정시트'!$C$7:$C$20=I83)"),"주방/욕실")</f>
        <v>주방/욕실</v>
      </c>
      <c r="AC83" s="214" t="str">
        <f>IFERROR(__xludf.DUMMYFUNCTION("""COMPUTED_VALUE"""),"소모품")</f>
        <v>소모품</v>
      </c>
      <c r="AD83" s="214" t="str">
        <f>IFERROR(__xludf.DUMMYFUNCTION("""COMPUTED_VALUE"""),"기타")</f>
        <v>기타</v>
      </c>
      <c r="AE83" s="214"/>
      <c r="AF83" s="214"/>
      <c r="AG83" s="214"/>
      <c r="AH83" s="214"/>
      <c r="AI83" s="214"/>
      <c r="AJ83" s="215"/>
    </row>
    <row r="84">
      <c r="H84" s="231">
        <v>45721.0</v>
      </c>
      <c r="I84" s="209" t="s">
        <v>31</v>
      </c>
      <c r="J84" s="209" t="s">
        <v>29</v>
      </c>
      <c r="K84" s="210">
        <v>3800.0</v>
      </c>
      <c r="L84" s="211" t="s">
        <v>64</v>
      </c>
      <c r="M84" s="143"/>
      <c r="N84" s="211" t="s">
        <v>423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IFERROR(__xludf.DUMMYFUNCTION("FILTER('설정시트'!$D$7:$L$20,'설정시트'!$C$7:$C$20=I84)"),"식재료비")</f>
        <v>식재료비</v>
      </c>
      <c r="AC84" s="214" t="str">
        <f>IFERROR(__xludf.DUMMYFUNCTION("""COMPUTED_VALUE"""),"회사점심")</f>
        <v>회사점심</v>
      </c>
      <c r="AD84" s="214" t="str">
        <f>IFERROR(__xludf.DUMMYFUNCTION("""COMPUTED_VALUE"""),"간식/카페")</f>
        <v>간식/카페</v>
      </c>
      <c r="AE84" s="214" t="str">
        <f>IFERROR(__xludf.DUMMYFUNCTION("""COMPUTED_VALUE"""),"외식/배달")</f>
        <v>외식/배달</v>
      </c>
      <c r="AF84" s="214" t="str">
        <f>IFERROR(__xludf.DUMMYFUNCTION("""COMPUTED_VALUE"""),"기타")</f>
        <v>기타</v>
      </c>
      <c r="AG84" s="214"/>
      <c r="AH84" s="214"/>
      <c r="AI84" s="214"/>
      <c r="AJ84" s="215"/>
    </row>
    <row r="85">
      <c r="H85" s="231">
        <v>45721.0</v>
      </c>
      <c r="I85" s="209" t="s">
        <v>52</v>
      </c>
      <c r="J85" s="209" t="s">
        <v>50</v>
      </c>
      <c r="K85" s="210">
        <f>4100+1400</f>
        <v>5500</v>
      </c>
      <c r="L85" s="211" t="s">
        <v>64</v>
      </c>
      <c r="M85" s="143"/>
      <c r="N85" s="211" t="s">
        <v>424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IFERROR(__xludf.DUMMYFUNCTION("FILTER('설정시트'!$D$7:$L$20,'설정시트'!$C$7:$C$20=I85)"),"축의/부의금")</f>
        <v>축의/부의금</v>
      </c>
      <c r="AC85" s="214" t="str">
        <f>IFERROR(__xludf.DUMMYFUNCTION("""COMPUTED_VALUE"""),"생신/생일선물")</f>
        <v>생신/생일선물</v>
      </c>
      <c r="AD85" s="214" t="str">
        <f>IFERROR(__xludf.DUMMYFUNCTION("""COMPUTED_VALUE"""),"명절/어버이날")</f>
        <v>명절/어버이날</v>
      </c>
      <c r="AE85" s="214" t="str">
        <f>IFERROR(__xludf.DUMMYFUNCTION("""COMPUTED_VALUE"""),"여행")</f>
        <v>여행</v>
      </c>
      <c r="AF85" s="214" t="str">
        <f>IFERROR(__xludf.DUMMYFUNCTION("""COMPUTED_VALUE"""),"기타")</f>
        <v>기타</v>
      </c>
      <c r="AG85" s="214" t="str">
        <f>IFERROR(__xludf.DUMMYFUNCTION("""COMPUTED_VALUE"""),"출산")</f>
        <v>출산</v>
      </c>
      <c r="AH85" s="214"/>
      <c r="AI85" s="214"/>
      <c r="AJ85" s="215"/>
    </row>
    <row r="86">
      <c r="H86" s="231">
        <v>45721.0</v>
      </c>
      <c r="I86" s="209" t="s">
        <v>32</v>
      </c>
      <c r="J86" s="209" t="s">
        <v>37</v>
      </c>
      <c r="K86" s="210">
        <v>84500.0</v>
      </c>
      <c r="L86" s="211" t="s">
        <v>57</v>
      </c>
      <c r="M86" s="143"/>
      <c r="N86" s="211" t="s">
        <v>425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IFERROR(__xludf.DUMMYFUNCTION("FILTER('설정시트'!$D$7:$L$20,'설정시트'!$C$7:$C$20=I86)"),"의류/잡화")</f>
        <v>의류/잡화</v>
      </c>
      <c r="AC86" s="214" t="str">
        <f>IFERROR(__xludf.DUMMYFUNCTION("""COMPUTED_VALUE"""),"OTT")</f>
        <v>OTT</v>
      </c>
      <c r="AD86" s="214" t="str">
        <f>IFERROR(__xludf.DUMMYFUNCTION("""COMPUTED_VALUE"""),"문화생활")</f>
        <v>문화생활</v>
      </c>
      <c r="AE86" s="214" t="str">
        <f>IFERROR(__xludf.DUMMYFUNCTION("""COMPUTED_VALUE"""),"자기계발")</f>
        <v>자기계발</v>
      </c>
      <c r="AF86" s="214" t="str">
        <f>IFERROR(__xludf.DUMMYFUNCTION("""COMPUTED_VALUE"""),"미용")</f>
        <v>미용</v>
      </c>
      <c r="AG86" s="214"/>
      <c r="AH86" s="214" t="str">
        <f>IFERROR(__xludf.DUMMYFUNCTION("""COMPUTED_VALUE"""),"기타")</f>
        <v>기타</v>
      </c>
      <c r="AI86" s="214"/>
      <c r="AJ86" s="215"/>
    </row>
    <row r="87">
      <c r="H87" s="231">
        <v>45721.0</v>
      </c>
      <c r="I87" s="209" t="s">
        <v>32</v>
      </c>
      <c r="J87" s="209" t="s">
        <v>37</v>
      </c>
      <c r="K87" s="210">
        <v>41500.0</v>
      </c>
      <c r="L87" s="211" t="s">
        <v>57</v>
      </c>
      <c r="M87" s="143"/>
      <c r="N87" s="211" t="s">
        <v>426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IFERROR(__xludf.DUMMYFUNCTION("FILTER('설정시트'!$D$7:$L$20,'설정시트'!$C$7:$C$20=I87)"),"의류/잡화")</f>
        <v>의류/잡화</v>
      </c>
      <c r="AC87" s="214" t="str">
        <f>IFERROR(__xludf.DUMMYFUNCTION("""COMPUTED_VALUE"""),"OTT")</f>
        <v>OTT</v>
      </c>
      <c r="AD87" s="214" t="str">
        <f>IFERROR(__xludf.DUMMYFUNCTION("""COMPUTED_VALUE"""),"문화생활")</f>
        <v>문화생활</v>
      </c>
      <c r="AE87" s="214" t="str">
        <f>IFERROR(__xludf.DUMMYFUNCTION("""COMPUTED_VALUE"""),"자기계발")</f>
        <v>자기계발</v>
      </c>
      <c r="AF87" s="214" t="str">
        <f>IFERROR(__xludf.DUMMYFUNCTION("""COMPUTED_VALUE"""),"미용")</f>
        <v>미용</v>
      </c>
      <c r="AG87" s="214"/>
      <c r="AH87" s="214" t="str">
        <f>IFERROR(__xludf.DUMMYFUNCTION("""COMPUTED_VALUE"""),"기타")</f>
        <v>기타</v>
      </c>
      <c r="AI87" s="214"/>
      <c r="AJ87" s="215"/>
    </row>
    <row r="88">
      <c r="H88" s="231">
        <v>45721.0</v>
      </c>
      <c r="I88" s="209" t="s">
        <v>3</v>
      </c>
      <c r="J88" s="209" t="s">
        <v>8</v>
      </c>
      <c r="K88" s="234">
        <v>29938.0</v>
      </c>
      <c r="L88" s="211" t="s">
        <v>55</v>
      </c>
      <c r="M88" s="143"/>
      <c r="N88" s="211" t="s">
        <v>427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IFERROR(__xludf.DUMMYFUNCTION("FILTER('설정시트'!$D$7:$L$20,'설정시트'!$C$7:$C$20=I88)"),"🍪 월급")</f>
        <v>🍪 월급</v>
      </c>
      <c r="AC88" s="214" t="str">
        <f>IFERROR(__xludf.DUMMYFUNCTION("""COMPUTED_VALUE"""),"🍪 부수입")</f>
        <v>🍪 부수입</v>
      </c>
      <c r="AD88" s="214" t="str">
        <f>IFERROR(__xludf.DUMMYFUNCTION("""COMPUTED_VALUE"""),"🐻 월급")</f>
        <v>🐻 월급</v>
      </c>
      <c r="AE88" s="214" t="str">
        <f>IFERROR(__xludf.DUMMYFUNCTION("""COMPUTED_VALUE"""),"🐻 부수입")</f>
        <v>🐻 부수입</v>
      </c>
      <c r="AF88" s="214" t="str">
        <f>IFERROR(__xludf.DUMMYFUNCTION("""COMPUTED_VALUE"""),"기타")</f>
        <v>기타</v>
      </c>
      <c r="AG88" s="214"/>
      <c r="AH88" s="214"/>
      <c r="AI88" s="214"/>
      <c r="AJ88" s="215"/>
    </row>
    <row r="89">
      <c r="H89" s="231">
        <v>45722.0</v>
      </c>
      <c r="I89" s="209" t="s">
        <v>26</v>
      </c>
      <c r="J89" s="209" t="s">
        <v>27</v>
      </c>
      <c r="K89" s="234">
        <v>61240.0</v>
      </c>
      <c r="L89" s="211" t="s">
        <v>58</v>
      </c>
      <c r="M89" s="143"/>
      <c r="N89" s="211" t="s">
        <v>428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IFERROR(__xludf.DUMMYFUNCTION("FILTER('설정시트'!$D$7:$L$20,'설정시트'!$C$7:$C$20=I89)"),"식재료비")</f>
        <v>식재료비</v>
      </c>
      <c r="AC89" s="214" t="str">
        <f>IFERROR(__xludf.DUMMYFUNCTION("""COMPUTED_VALUE"""),"회사점심")</f>
        <v>회사점심</v>
      </c>
      <c r="AD89" s="214" t="str">
        <f>IFERROR(__xludf.DUMMYFUNCTION("""COMPUTED_VALUE"""),"간식/카페")</f>
        <v>간식/카페</v>
      </c>
      <c r="AE89" s="214" t="str">
        <f>IFERROR(__xludf.DUMMYFUNCTION("""COMPUTED_VALUE"""),"외식/배달")</f>
        <v>외식/배달</v>
      </c>
      <c r="AF89" s="214" t="str">
        <f>IFERROR(__xludf.DUMMYFUNCTION("""COMPUTED_VALUE"""),"기타")</f>
        <v>기타</v>
      </c>
      <c r="AG89" s="214"/>
      <c r="AH89" s="214"/>
      <c r="AI89" s="214"/>
      <c r="AJ89" s="215"/>
    </row>
    <row r="90">
      <c r="H90" s="231">
        <v>45723.0</v>
      </c>
      <c r="I90" s="209" t="s">
        <v>22</v>
      </c>
      <c r="J90" s="209" t="s">
        <v>23</v>
      </c>
      <c r="K90" s="210">
        <v>37000.0</v>
      </c>
      <c r="L90" s="211" t="s">
        <v>55</v>
      </c>
      <c r="M90" s="143"/>
      <c r="N90" s="211" t="s">
        <v>429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IFERROR(__xludf.DUMMYFUNCTION("FILTER('설정시트'!$D$7:$L$20,'설정시트'!$C$7:$C$20=I90)"),"주방/욕실")</f>
        <v>주방/욕실</v>
      </c>
      <c r="AC90" s="214" t="str">
        <f>IFERROR(__xludf.DUMMYFUNCTION("""COMPUTED_VALUE"""),"소모품")</f>
        <v>소모품</v>
      </c>
      <c r="AD90" s="214" t="str">
        <f>IFERROR(__xludf.DUMMYFUNCTION("""COMPUTED_VALUE"""),"기타")</f>
        <v>기타</v>
      </c>
      <c r="AE90" s="214"/>
      <c r="AF90" s="214"/>
      <c r="AG90" s="214"/>
      <c r="AH90" s="214"/>
      <c r="AI90" s="214"/>
      <c r="AJ90" s="215"/>
    </row>
    <row r="91">
      <c r="H91" s="231">
        <v>45723.0</v>
      </c>
      <c r="I91" s="209" t="s">
        <v>3</v>
      </c>
      <c r="J91" s="209" t="s">
        <v>8</v>
      </c>
      <c r="K91" s="210">
        <v>330000.0</v>
      </c>
      <c r="L91" s="211"/>
      <c r="M91" s="143"/>
      <c r="N91" s="211" t="s">
        <v>430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IFERROR(__xludf.DUMMYFUNCTION("FILTER('설정시트'!$D$7:$L$20,'설정시트'!$C$7:$C$20=I91)"),"🍪 월급")</f>
        <v>🍪 월급</v>
      </c>
      <c r="AC91" s="214" t="str">
        <f>IFERROR(__xludf.DUMMYFUNCTION("""COMPUTED_VALUE"""),"🍪 부수입")</f>
        <v>🍪 부수입</v>
      </c>
      <c r="AD91" s="214" t="str">
        <f>IFERROR(__xludf.DUMMYFUNCTION("""COMPUTED_VALUE"""),"🐻 월급")</f>
        <v>🐻 월급</v>
      </c>
      <c r="AE91" s="214" t="str">
        <f>IFERROR(__xludf.DUMMYFUNCTION("""COMPUTED_VALUE"""),"🐻 부수입")</f>
        <v>🐻 부수입</v>
      </c>
      <c r="AF91" s="214" t="str">
        <f>IFERROR(__xludf.DUMMYFUNCTION("""COMPUTED_VALUE"""),"기타")</f>
        <v>기타</v>
      </c>
      <c r="AG91" s="214"/>
      <c r="AH91" s="214"/>
      <c r="AI91" s="214"/>
      <c r="AJ91" s="215"/>
    </row>
    <row r="92">
      <c r="H92" s="231">
        <v>45723.0</v>
      </c>
      <c r="I92" s="209" t="s">
        <v>21</v>
      </c>
      <c r="J92" s="209" t="s">
        <v>18</v>
      </c>
      <c r="K92" s="210">
        <v>3300.0</v>
      </c>
      <c r="L92" s="211" t="s">
        <v>61</v>
      </c>
      <c r="M92" s="143"/>
      <c r="N92" s="211" t="s">
        <v>431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IFERROR(__xludf.DUMMYFUNCTION("FILTER('설정시트'!$D$7:$L$20,'설정시트'!$C$7:$C$20=I92)"),"관리비")</f>
        <v>관리비</v>
      </c>
      <c r="AC92" s="214" t="str">
        <f>IFERROR(__xludf.DUMMYFUNCTION("""COMPUTED_VALUE"""),"대출이자")</f>
        <v>대출이자</v>
      </c>
      <c r="AD92" s="214" t="str">
        <f>IFERROR(__xludf.DUMMYFUNCTION("""COMPUTED_VALUE"""),"통신비")</f>
        <v>통신비</v>
      </c>
      <c r="AE92" s="214" t="str">
        <f>IFERROR(__xludf.DUMMYFUNCTION("""COMPUTED_VALUE"""),"보험료")</f>
        <v>보험료</v>
      </c>
      <c r="AF92" s="214" t="str">
        <f>IFERROR(__xludf.DUMMYFUNCTION("""COMPUTED_VALUE"""),"곗돈")</f>
        <v>곗돈</v>
      </c>
      <c r="AG92" s="214"/>
      <c r="AH92" s="214"/>
      <c r="AI92" s="214"/>
      <c r="AJ92" s="215"/>
    </row>
    <row r="93">
      <c r="H93" s="231">
        <v>45723.0</v>
      </c>
      <c r="I93" s="209" t="s">
        <v>31</v>
      </c>
      <c r="J93" s="209" t="s">
        <v>30</v>
      </c>
      <c r="K93" s="210">
        <v>34000.0</v>
      </c>
      <c r="L93" s="211" t="s">
        <v>64</v>
      </c>
      <c r="M93" s="143"/>
      <c r="N93" s="211" t="s">
        <v>432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IFERROR(__xludf.DUMMYFUNCTION("FILTER('설정시트'!$D$7:$L$20,'설정시트'!$C$7:$C$20=I93)"),"식재료비")</f>
        <v>식재료비</v>
      </c>
      <c r="AC93" s="214" t="str">
        <f>IFERROR(__xludf.DUMMYFUNCTION("""COMPUTED_VALUE"""),"회사점심")</f>
        <v>회사점심</v>
      </c>
      <c r="AD93" s="214" t="str">
        <f>IFERROR(__xludf.DUMMYFUNCTION("""COMPUTED_VALUE"""),"간식/카페")</f>
        <v>간식/카페</v>
      </c>
      <c r="AE93" s="214" t="str">
        <f>IFERROR(__xludf.DUMMYFUNCTION("""COMPUTED_VALUE"""),"외식/배달")</f>
        <v>외식/배달</v>
      </c>
      <c r="AF93" s="214" t="str">
        <f>IFERROR(__xludf.DUMMYFUNCTION("""COMPUTED_VALUE"""),"기타")</f>
        <v>기타</v>
      </c>
      <c r="AG93" s="214"/>
      <c r="AH93" s="214"/>
      <c r="AI93" s="214"/>
      <c r="AJ93" s="215"/>
    </row>
    <row r="94">
      <c r="H94" s="231">
        <v>45723.0</v>
      </c>
      <c r="I94" s="209" t="s">
        <v>31</v>
      </c>
      <c r="J94" s="209" t="s">
        <v>29</v>
      </c>
      <c r="K94" s="216">
        <v>4000.0</v>
      </c>
      <c r="L94" s="211" t="s">
        <v>64</v>
      </c>
      <c r="M94" s="143"/>
      <c r="N94" s="211" t="s">
        <v>433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IFERROR(__xludf.DUMMYFUNCTION("FILTER('설정시트'!$D$7:$L$20,'설정시트'!$C$7:$C$20=I94)"),"식재료비")</f>
        <v>식재료비</v>
      </c>
      <c r="AC94" s="214" t="str">
        <f>IFERROR(__xludf.DUMMYFUNCTION("""COMPUTED_VALUE"""),"회사점심")</f>
        <v>회사점심</v>
      </c>
      <c r="AD94" s="214" t="str">
        <f>IFERROR(__xludf.DUMMYFUNCTION("""COMPUTED_VALUE"""),"간식/카페")</f>
        <v>간식/카페</v>
      </c>
      <c r="AE94" s="214" t="str">
        <f>IFERROR(__xludf.DUMMYFUNCTION("""COMPUTED_VALUE"""),"외식/배달")</f>
        <v>외식/배달</v>
      </c>
      <c r="AF94" s="214" t="str">
        <f>IFERROR(__xludf.DUMMYFUNCTION("""COMPUTED_VALUE"""),"기타")</f>
        <v>기타</v>
      </c>
      <c r="AG94" s="214"/>
      <c r="AH94" s="214"/>
      <c r="AI94" s="214"/>
      <c r="AJ94" s="215"/>
    </row>
    <row r="95">
      <c r="H95" s="231">
        <v>45723.0</v>
      </c>
      <c r="I95" s="209" t="s">
        <v>31</v>
      </c>
      <c r="J95" s="209" t="s">
        <v>29</v>
      </c>
      <c r="K95" s="210">
        <v>6800.0</v>
      </c>
      <c r="L95" s="211" t="s">
        <v>64</v>
      </c>
      <c r="M95" s="143"/>
      <c r="N95" s="211" t="s">
        <v>434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IFERROR(__xludf.DUMMYFUNCTION("FILTER('설정시트'!$D$7:$L$20,'설정시트'!$C$7:$C$20=I95)"),"식재료비")</f>
        <v>식재료비</v>
      </c>
      <c r="AC95" s="214" t="str">
        <f>IFERROR(__xludf.DUMMYFUNCTION("""COMPUTED_VALUE"""),"회사점심")</f>
        <v>회사점심</v>
      </c>
      <c r="AD95" s="214" t="str">
        <f>IFERROR(__xludf.DUMMYFUNCTION("""COMPUTED_VALUE"""),"간식/카페")</f>
        <v>간식/카페</v>
      </c>
      <c r="AE95" s="214" t="str">
        <f>IFERROR(__xludf.DUMMYFUNCTION("""COMPUTED_VALUE"""),"외식/배달")</f>
        <v>외식/배달</v>
      </c>
      <c r="AF95" s="214" t="str">
        <f>IFERROR(__xludf.DUMMYFUNCTION("""COMPUTED_VALUE"""),"기타")</f>
        <v>기타</v>
      </c>
      <c r="AG95" s="214"/>
      <c r="AH95" s="214"/>
      <c r="AI95" s="214"/>
      <c r="AJ95" s="215"/>
    </row>
    <row r="96">
      <c r="H96" s="231">
        <v>45723.0</v>
      </c>
      <c r="I96" s="209" t="s">
        <v>31</v>
      </c>
      <c r="J96" s="209" t="s">
        <v>29</v>
      </c>
      <c r="K96" s="210">
        <v>6800.0</v>
      </c>
      <c r="L96" s="211" t="s">
        <v>64</v>
      </c>
      <c r="M96" s="143"/>
      <c r="N96" s="211" t="s">
        <v>435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  <c r="AJ96" s="215"/>
    </row>
    <row r="97">
      <c r="H97" s="231">
        <v>45724.0</v>
      </c>
      <c r="I97" s="209" t="s">
        <v>26</v>
      </c>
      <c r="J97" s="209" t="s">
        <v>30</v>
      </c>
      <c r="K97" s="210">
        <v>29800.0</v>
      </c>
      <c r="L97" s="211" t="s">
        <v>57</v>
      </c>
      <c r="M97" s="143"/>
      <c r="N97" s="211" t="s">
        <v>436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IFERROR(__xludf.DUMMYFUNCTION("FILTER('설정시트'!$D$7:$L$20,'설정시트'!$C$7:$C$20=I97)"),"식재료비")</f>
        <v>식재료비</v>
      </c>
      <c r="AC97" s="214" t="str">
        <f>IFERROR(__xludf.DUMMYFUNCTION("""COMPUTED_VALUE"""),"회사점심")</f>
        <v>회사점심</v>
      </c>
      <c r="AD97" s="214" t="str">
        <f>IFERROR(__xludf.DUMMYFUNCTION("""COMPUTED_VALUE"""),"간식/카페")</f>
        <v>간식/카페</v>
      </c>
      <c r="AE97" s="214" t="str">
        <f>IFERROR(__xludf.DUMMYFUNCTION("""COMPUTED_VALUE"""),"외식/배달")</f>
        <v>외식/배달</v>
      </c>
      <c r="AF97" s="214" t="str">
        <f>IFERROR(__xludf.DUMMYFUNCTION("""COMPUTED_VALUE"""),"기타")</f>
        <v>기타</v>
      </c>
      <c r="AG97" s="214"/>
      <c r="AH97" s="214"/>
      <c r="AI97" s="214"/>
      <c r="AJ97" s="215"/>
    </row>
    <row r="98">
      <c r="H98" s="231">
        <v>45724.0</v>
      </c>
      <c r="I98" s="233" t="s">
        <v>22</v>
      </c>
      <c r="J98" s="233" t="s">
        <v>24</v>
      </c>
      <c r="K98" s="234">
        <v>12350.0</v>
      </c>
      <c r="L98" s="211" t="s">
        <v>58</v>
      </c>
      <c r="M98" s="143"/>
      <c r="N98" s="211" t="s">
        <v>437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IFERROR(__xludf.DUMMYFUNCTION("FILTER('설정시트'!$D$7:$L$20,'설정시트'!$C$7:$C$20=I98)"),"주방/욕실")</f>
        <v>주방/욕실</v>
      </c>
      <c r="AC98" s="214" t="str">
        <f>IFERROR(__xludf.DUMMYFUNCTION("""COMPUTED_VALUE"""),"소모품")</f>
        <v>소모품</v>
      </c>
      <c r="AD98" s="214" t="str">
        <f>IFERROR(__xludf.DUMMYFUNCTION("""COMPUTED_VALUE"""),"기타")</f>
        <v>기타</v>
      </c>
      <c r="AE98" s="214"/>
      <c r="AF98" s="214"/>
      <c r="AG98" s="214"/>
      <c r="AH98" s="214"/>
      <c r="AI98" s="214"/>
      <c r="AJ98" s="215"/>
    </row>
    <row r="99">
      <c r="H99" s="231">
        <v>45724.0</v>
      </c>
      <c r="I99" s="209" t="s">
        <v>3</v>
      </c>
      <c r="J99" s="209" t="s">
        <v>8</v>
      </c>
      <c r="K99" s="210">
        <v>50000.0</v>
      </c>
      <c r="L99" s="211" t="s">
        <v>55</v>
      </c>
      <c r="M99" s="143"/>
      <c r="N99" s="211" t="s">
        <v>438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IFERROR(__xludf.DUMMYFUNCTION("FILTER('설정시트'!$D$7:$L$20,'설정시트'!$C$7:$C$20=I99)"),"🍪 월급")</f>
        <v>🍪 월급</v>
      </c>
      <c r="AC99" s="214" t="str">
        <f>IFERROR(__xludf.DUMMYFUNCTION("""COMPUTED_VALUE"""),"🍪 부수입")</f>
        <v>🍪 부수입</v>
      </c>
      <c r="AD99" s="214" t="str">
        <f>IFERROR(__xludf.DUMMYFUNCTION("""COMPUTED_VALUE"""),"🐻 월급")</f>
        <v>🐻 월급</v>
      </c>
      <c r="AE99" s="214" t="str">
        <f>IFERROR(__xludf.DUMMYFUNCTION("""COMPUTED_VALUE"""),"🐻 부수입")</f>
        <v>🐻 부수입</v>
      </c>
      <c r="AF99" s="214" t="str">
        <f>IFERROR(__xludf.DUMMYFUNCTION("""COMPUTED_VALUE"""),"기타")</f>
        <v>기타</v>
      </c>
      <c r="AG99" s="214"/>
      <c r="AH99" s="214"/>
      <c r="AI99" s="214"/>
      <c r="AJ99" s="215"/>
    </row>
    <row r="100">
      <c r="H100" s="231">
        <v>45724.0</v>
      </c>
      <c r="I100" s="209" t="s">
        <v>31</v>
      </c>
      <c r="J100" s="209" t="s">
        <v>27</v>
      </c>
      <c r="K100" s="210">
        <v>43092.0</v>
      </c>
      <c r="L100" s="211" t="s">
        <v>64</v>
      </c>
      <c r="M100" s="143"/>
      <c r="N100" s="211" t="s">
        <v>439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IFERROR(__xludf.DUMMYFUNCTION("FILTER('설정시트'!$D$7:$L$20,'설정시트'!$C$7:$C$20=I100)"),"식재료비")</f>
        <v>식재료비</v>
      </c>
      <c r="AC100" s="214" t="str">
        <f>IFERROR(__xludf.DUMMYFUNCTION("""COMPUTED_VALUE"""),"회사점심")</f>
        <v>회사점심</v>
      </c>
      <c r="AD100" s="214" t="str">
        <f>IFERROR(__xludf.DUMMYFUNCTION("""COMPUTED_VALUE"""),"간식/카페")</f>
        <v>간식/카페</v>
      </c>
      <c r="AE100" s="214" t="str">
        <f>IFERROR(__xludf.DUMMYFUNCTION("""COMPUTED_VALUE"""),"외식/배달")</f>
        <v>외식/배달</v>
      </c>
      <c r="AF100" s="214" t="str">
        <f>IFERROR(__xludf.DUMMYFUNCTION("""COMPUTED_VALUE"""),"기타")</f>
        <v>기타</v>
      </c>
      <c r="AG100" s="214"/>
      <c r="AH100" s="214"/>
      <c r="AI100" s="214"/>
      <c r="AJ100" s="215"/>
    </row>
    <row r="101">
      <c r="H101" s="231">
        <v>45726.0</v>
      </c>
      <c r="I101" s="209" t="s">
        <v>14</v>
      </c>
      <c r="J101" s="209" t="s">
        <v>18</v>
      </c>
      <c r="K101" s="234">
        <v>47300.0</v>
      </c>
      <c r="L101" s="211" t="s">
        <v>58</v>
      </c>
      <c r="M101" s="143"/>
      <c r="N101" s="211" t="s">
        <v>440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IFERROR(__xludf.DUMMYFUNCTION("FILTER('설정시트'!$D$7:$L$20,'설정시트'!$C$7:$C$20=I101)"),"관리비")</f>
        <v>관리비</v>
      </c>
      <c r="AC101" s="214" t="str">
        <f>IFERROR(__xludf.DUMMYFUNCTION("""COMPUTED_VALUE"""),"월세")</f>
        <v>월세</v>
      </c>
      <c r="AD101" s="214" t="str">
        <f>IFERROR(__xludf.DUMMYFUNCTION("""COMPUTED_VALUE"""),"대출이자")</f>
        <v>대출이자</v>
      </c>
      <c r="AE101" s="214" t="str">
        <f>IFERROR(__xludf.DUMMYFUNCTION("""COMPUTED_VALUE"""),"통신비")</f>
        <v>통신비</v>
      </c>
      <c r="AF101" s="214" t="str">
        <f>IFERROR(__xludf.DUMMYFUNCTION("""COMPUTED_VALUE"""),"보험료")</f>
        <v>보험료</v>
      </c>
      <c r="AG101" s="214"/>
      <c r="AH101" s="214" t="str">
        <f>IFERROR(__xludf.DUMMYFUNCTION("""COMPUTED_VALUE"""),"곗돈")</f>
        <v>곗돈</v>
      </c>
      <c r="AI101" s="214"/>
      <c r="AJ101" s="215"/>
    </row>
    <row r="102">
      <c r="H102" s="231">
        <v>45726.0</v>
      </c>
      <c r="I102" s="209" t="s">
        <v>32</v>
      </c>
      <c r="J102" s="209" t="s">
        <v>8</v>
      </c>
      <c r="K102" s="210">
        <v>209000.0</v>
      </c>
      <c r="L102" s="211" t="s">
        <v>57</v>
      </c>
      <c r="M102" s="143"/>
      <c r="N102" s="211" t="s">
        <v>441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IFERROR(__xludf.DUMMYFUNCTION("FILTER('설정시트'!$D$7:$L$20,'설정시트'!$C$7:$C$20=I102)"),"의류/잡화")</f>
        <v>의류/잡화</v>
      </c>
      <c r="AC102" s="214" t="str">
        <f>IFERROR(__xludf.DUMMYFUNCTION("""COMPUTED_VALUE"""),"OTT")</f>
        <v>OTT</v>
      </c>
      <c r="AD102" s="214" t="str">
        <f>IFERROR(__xludf.DUMMYFUNCTION("""COMPUTED_VALUE"""),"문화생활")</f>
        <v>문화생활</v>
      </c>
      <c r="AE102" s="214" t="str">
        <f>IFERROR(__xludf.DUMMYFUNCTION("""COMPUTED_VALUE"""),"자기계발")</f>
        <v>자기계발</v>
      </c>
      <c r="AF102" s="214" t="str">
        <f>IFERROR(__xludf.DUMMYFUNCTION("""COMPUTED_VALUE"""),"미용")</f>
        <v>미용</v>
      </c>
      <c r="AG102" s="214"/>
      <c r="AH102" s="214" t="str">
        <f>IFERROR(__xludf.DUMMYFUNCTION("""COMPUTED_VALUE"""),"기타")</f>
        <v>기타</v>
      </c>
      <c r="AI102" s="214"/>
      <c r="AJ102" s="215"/>
    </row>
    <row r="103">
      <c r="H103" s="231">
        <v>45726.0</v>
      </c>
      <c r="I103" s="209" t="s">
        <v>26</v>
      </c>
      <c r="J103" s="209" t="s">
        <v>28</v>
      </c>
      <c r="K103" s="210">
        <v>11000.0</v>
      </c>
      <c r="L103" s="211" t="s">
        <v>57</v>
      </c>
      <c r="M103" s="143"/>
      <c r="N103" s="211" t="s">
        <v>442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IFERROR(__xludf.DUMMYFUNCTION("FILTER('설정시트'!$D$7:$L$20,'설정시트'!$C$7:$C$20=I103)"),"식재료비")</f>
        <v>식재료비</v>
      </c>
      <c r="AC103" s="214" t="str">
        <f>IFERROR(__xludf.DUMMYFUNCTION("""COMPUTED_VALUE"""),"회사점심")</f>
        <v>회사점심</v>
      </c>
      <c r="AD103" s="214" t="str">
        <f>IFERROR(__xludf.DUMMYFUNCTION("""COMPUTED_VALUE"""),"간식/카페")</f>
        <v>간식/카페</v>
      </c>
      <c r="AE103" s="214" t="str">
        <f>IFERROR(__xludf.DUMMYFUNCTION("""COMPUTED_VALUE"""),"외식/배달")</f>
        <v>외식/배달</v>
      </c>
      <c r="AF103" s="214" t="str">
        <f>IFERROR(__xludf.DUMMYFUNCTION("""COMPUTED_VALUE"""),"기타")</f>
        <v>기타</v>
      </c>
      <c r="AG103" s="214"/>
      <c r="AH103" s="214"/>
      <c r="AI103" s="214"/>
      <c r="AJ103" s="215"/>
    </row>
    <row r="104">
      <c r="H104" s="231">
        <v>45726.0</v>
      </c>
      <c r="I104" s="209" t="s">
        <v>21</v>
      </c>
      <c r="J104" s="209" t="s">
        <v>20</v>
      </c>
      <c r="K104" s="210">
        <v>50000.0</v>
      </c>
      <c r="L104" s="211" t="s">
        <v>62</v>
      </c>
      <c r="M104" s="143"/>
      <c r="N104" s="211" t="s">
        <v>322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IFERROR(__xludf.DUMMYFUNCTION("FILTER('설정시트'!$D$7:$L$20,'설정시트'!$C$7:$C$20=I104)"),"관리비")</f>
        <v>관리비</v>
      </c>
      <c r="AC104" s="214" t="str">
        <f>IFERROR(__xludf.DUMMYFUNCTION("""COMPUTED_VALUE"""),"대출이자")</f>
        <v>대출이자</v>
      </c>
      <c r="AD104" s="214" t="str">
        <f>IFERROR(__xludf.DUMMYFUNCTION("""COMPUTED_VALUE"""),"통신비")</f>
        <v>통신비</v>
      </c>
      <c r="AE104" s="214" t="str">
        <f>IFERROR(__xludf.DUMMYFUNCTION("""COMPUTED_VALUE"""),"보험료")</f>
        <v>보험료</v>
      </c>
      <c r="AF104" s="214" t="str">
        <f>IFERROR(__xludf.DUMMYFUNCTION("""COMPUTED_VALUE"""),"곗돈")</f>
        <v>곗돈</v>
      </c>
      <c r="AG104" s="214"/>
      <c r="AH104" s="214"/>
      <c r="AI104" s="214"/>
      <c r="AJ104" s="215"/>
    </row>
    <row r="105">
      <c r="H105" s="231">
        <v>45726.0</v>
      </c>
      <c r="I105" s="209" t="s">
        <v>21</v>
      </c>
      <c r="J105" s="209" t="s">
        <v>18</v>
      </c>
      <c r="K105" s="216">
        <v>65750.0</v>
      </c>
      <c r="L105" s="211" t="s">
        <v>64</v>
      </c>
      <c r="M105" s="143"/>
      <c r="N105" s="211" t="s">
        <v>443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IFERROR(__xludf.DUMMYFUNCTION("FILTER('설정시트'!$D$7:$L$20,'설정시트'!$C$7:$C$20=I105)"),"관리비")</f>
        <v>관리비</v>
      </c>
      <c r="AC105" s="214" t="str">
        <f>IFERROR(__xludf.DUMMYFUNCTION("""COMPUTED_VALUE"""),"대출이자")</f>
        <v>대출이자</v>
      </c>
      <c r="AD105" s="214" t="str">
        <f>IFERROR(__xludf.DUMMYFUNCTION("""COMPUTED_VALUE"""),"통신비")</f>
        <v>통신비</v>
      </c>
      <c r="AE105" s="214" t="str">
        <f>IFERROR(__xludf.DUMMYFUNCTION("""COMPUTED_VALUE"""),"보험료")</f>
        <v>보험료</v>
      </c>
      <c r="AF105" s="214" t="str">
        <f>IFERROR(__xludf.DUMMYFUNCTION("""COMPUTED_VALUE"""),"곗돈")</f>
        <v>곗돈</v>
      </c>
      <c r="AG105" s="214"/>
      <c r="AH105" s="214"/>
      <c r="AI105" s="214"/>
      <c r="AJ105" s="215"/>
    </row>
    <row r="106">
      <c r="H106" s="231">
        <v>45727.0</v>
      </c>
      <c r="I106" s="209" t="s">
        <v>14</v>
      </c>
      <c r="J106" s="209" t="s">
        <v>18</v>
      </c>
      <c r="K106" s="235">
        <v>13750.0</v>
      </c>
      <c r="L106" s="211" t="s">
        <v>57</v>
      </c>
      <c r="M106" s="143"/>
      <c r="N106" s="211" t="s">
        <v>444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IFERROR(__xludf.DUMMYFUNCTION("FILTER('설정시트'!$D$7:$L$20,'설정시트'!$C$7:$C$20=I106)"),"관리비")</f>
        <v>관리비</v>
      </c>
      <c r="AC106" s="214" t="str">
        <f>IFERROR(__xludf.DUMMYFUNCTION("""COMPUTED_VALUE"""),"월세")</f>
        <v>월세</v>
      </c>
      <c r="AD106" s="214" t="str">
        <f>IFERROR(__xludf.DUMMYFUNCTION("""COMPUTED_VALUE"""),"대출이자")</f>
        <v>대출이자</v>
      </c>
      <c r="AE106" s="214" t="str">
        <f>IFERROR(__xludf.DUMMYFUNCTION("""COMPUTED_VALUE"""),"통신비")</f>
        <v>통신비</v>
      </c>
      <c r="AF106" s="214" t="str">
        <f>IFERROR(__xludf.DUMMYFUNCTION("""COMPUTED_VALUE"""),"보험료")</f>
        <v>보험료</v>
      </c>
      <c r="AG106" s="214"/>
      <c r="AH106" s="214" t="str">
        <f>IFERROR(__xludf.DUMMYFUNCTION("""COMPUTED_VALUE"""),"곗돈")</f>
        <v>곗돈</v>
      </c>
      <c r="AI106" s="214"/>
      <c r="AJ106" s="215"/>
    </row>
    <row r="107">
      <c r="H107" s="231">
        <v>45727.0</v>
      </c>
      <c r="I107" s="209" t="s">
        <v>38</v>
      </c>
      <c r="J107" s="209" t="s">
        <v>33</v>
      </c>
      <c r="K107" s="216">
        <v>400000.0</v>
      </c>
      <c r="L107" s="211" t="s">
        <v>64</v>
      </c>
      <c r="M107" s="143"/>
      <c r="N107" s="211" t="s">
        <v>445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IFERROR(__xludf.DUMMYFUNCTION("FILTER('설정시트'!$D$7:$L$20,'설정시트'!$C$7:$C$20=I107)"),"의류/잡화")</f>
        <v>의류/잡화</v>
      </c>
      <c r="AC107" s="214" t="str">
        <f>IFERROR(__xludf.DUMMYFUNCTION("""COMPUTED_VALUE"""),"OTT")</f>
        <v>OTT</v>
      </c>
      <c r="AD107" s="214" t="str">
        <f>IFERROR(__xludf.DUMMYFUNCTION("""COMPUTED_VALUE"""),"문화생활")</f>
        <v>문화생활</v>
      </c>
      <c r="AE107" s="214" t="str">
        <f>IFERROR(__xludf.DUMMYFUNCTION("""COMPUTED_VALUE"""),"자기계발")</f>
        <v>자기계발</v>
      </c>
      <c r="AF107" s="214" t="str">
        <f>IFERROR(__xludf.DUMMYFUNCTION("""COMPUTED_VALUE"""),"미용")</f>
        <v>미용</v>
      </c>
      <c r="AG107" s="214"/>
      <c r="AH107" s="214" t="str">
        <f>IFERROR(__xludf.DUMMYFUNCTION("""COMPUTED_VALUE"""),"기타")</f>
        <v>기타</v>
      </c>
      <c r="AI107" s="214"/>
      <c r="AJ107" s="215"/>
    </row>
    <row r="108">
      <c r="H108" s="231">
        <v>45727.0</v>
      </c>
      <c r="I108" s="209" t="s">
        <v>26</v>
      </c>
      <c r="J108" s="209" t="s">
        <v>30</v>
      </c>
      <c r="K108" s="216">
        <v>17900.0</v>
      </c>
      <c r="L108" s="211" t="s">
        <v>57</v>
      </c>
      <c r="M108" s="143"/>
      <c r="N108" s="211" t="s">
        <v>446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  <c r="AJ108" s="215"/>
    </row>
    <row r="109">
      <c r="H109" s="231">
        <v>45728.0</v>
      </c>
      <c r="I109" s="209" t="s">
        <v>26</v>
      </c>
      <c r="J109" s="209" t="s">
        <v>27</v>
      </c>
      <c r="K109" s="216">
        <v>7330.0</v>
      </c>
      <c r="L109" s="211" t="s">
        <v>57</v>
      </c>
      <c r="M109" s="143"/>
      <c r="N109" s="211" t="s">
        <v>447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IFERROR(__xludf.DUMMYFUNCTION("FILTER('설정시트'!$D$7:$L$20,'설정시트'!$C$7:$C$20=I109)"),"식재료비")</f>
        <v>식재료비</v>
      </c>
      <c r="AC109" s="214" t="str">
        <f>IFERROR(__xludf.DUMMYFUNCTION("""COMPUTED_VALUE"""),"회사점심")</f>
        <v>회사점심</v>
      </c>
      <c r="AD109" s="214" t="str">
        <f>IFERROR(__xludf.DUMMYFUNCTION("""COMPUTED_VALUE"""),"간식/카페")</f>
        <v>간식/카페</v>
      </c>
      <c r="AE109" s="214" t="str">
        <f>IFERROR(__xludf.DUMMYFUNCTION("""COMPUTED_VALUE"""),"외식/배달")</f>
        <v>외식/배달</v>
      </c>
      <c r="AF109" s="214" t="str">
        <f>IFERROR(__xludf.DUMMYFUNCTION("""COMPUTED_VALUE"""),"기타")</f>
        <v>기타</v>
      </c>
      <c r="AG109" s="214"/>
      <c r="AH109" s="214"/>
      <c r="AI109" s="214"/>
      <c r="AJ109" s="215"/>
    </row>
    <row r="110">
      <c r="H110" s="231">
        <v>45729.0</v>
      </c>
      <c r="I110" s="209" t="s">
        <v>31</v>
      </c>
      <c r="J110" s="209" t="s">
        <v>27</v>
      </c>
      <c r="K110" s="216">
        <v>99400.0</v>
      </c>
      <c r="L110" s="211" t="s">
        <v>64</v>
      </c>
      <c r="M110" s="143"/>
      <c r="N110" s="211" t="s">
        <v>448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IFERROR(__xludf.DUMMYFUNCTION("FILTER('설정시트'!$D$7:$L$20,'설정시트'!$C$7:$C$20=I110)"),"식재료비")</f>
        <v>식재료비</v>
      </c>
      <c r="AC110" s="214" t="str">
        <f>IFERROR(__xludf.DUMMYFUNCTION("""COMPUTED_VALUE"""),"회사점심")</f>
        <v>회사점심</v>
      </c>
      <c r="AD110" s="214" t="str">
        <f>IFERROR(__xludf.DUMMYFUNCTION("""COMPUTED_VALUE"""),"간식/카페")</f>
        <v>간식/카페</v>
      </c>
      <c r="AE110" s="214" t="str">
        <f>IFERROR(__xludf.DUMMYFUNCTION("""COMPUTED_VALUE"""),"외식/배달")</f>
        <v>외식/배달</v>
      </c>
      <c r="AF110" s="214" t="str">
        <f>IFERROR(__xludf.DUMMYFUNCTION("""COMPUTED_VALUE"""),"기타")</f>
        <v>기타</v>
      </c>
      <c r="AG110" s="214"/>
      <c r="AH110" s="214"/>
      <c r="AI110" s="214"/>
      <c r="AJ110" s="215"/>
    </row>
    <row r="111">
      <c r="H111" s="231">
        <v>45730.0</v>
      </c>
      <c r="I111" s="217" t="s">
        <v>31</v>
      </c>
      <c r="J111" s="217" t="s">
        <v>30</v>
      </c>
      <c r="K111" s="218">
        <v>22800.0</v>
      </c>
      <c r="L111" s="211" t="s">
        <v>64</v>
      </c>
      <c r="M111" s="143"/>
      <c r="N111" s="211" t="s">
        <v>449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IFERROR(__xludf.DUMMYFUNCTION("FILTER('설정시트'!$D$7:$L$20,'설정시트'!$C$7:$C$20=I111)"),"식재료비")</f>
        <v>식재료비</v>
      </c>
      <c r="AC111" s="214" t="str">
        <f>IFERROR(__xludf.DUMMYFUNCTION("""COMPUTED_VALUE"""),"회사점심")</f>
        <v>회사점심</v>
      </c>
      <c r="AD111" s="214" t="str">
        <f>IFERROR(__xludf.DUMMYFUNCTION("""COMPUTED_VALUE"""),"간식/카페")</f>
        <v>간식/카페</v>
      </c>
      <c r="AE111" s="214" t="str">
        <f>IFERROR(__xludf.DUMMYFUNCTION("""COMPUTED_VALUE"""),"외식/배달")</f>
        <v>외식/배달</v>
      </c>
      <c r="AF111" s="214" t="str">
        <f>IFERROR(__xludf.DUMMYFUNCTION("""COMPUTED_VALUE"""),"기타")</f>
        <v>기타</v>
      </c>
      <c r="AG111" s="214"/>
      <c r="AH111" s="214"/>
      <c r="AI111" s="214"/>
      <c r="AJ111" s="215"/>
    </row>
    <row r="112">
      <c r="H112" s="231">
        <v>45730.0</v>
      </c>
      <c r="I112" s="217" t="s">
        <v>31</v>
      </c>
      <c r="J112" s="217" t="s">
        <v>29</v>
      </c>
      <c r="K112" s="218">
        <v>3900.0</v>
      </c>
      <c r="L112" s="211" t="s">
        <v>64</v>
      </c>
      <c r="M112" s="143"/>
      <c r="N112" s="211" t="s">
        <v>320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31">
        <v>45731.0</v>
      </c>
      <c r="I113" s="209" t="s">
        <v>26</v>
      </c>
      <c r="J113" s="209" t="s">
        <v>30</v>
      </c>
      <c r="K113" s="216">
        <v>29500.0</v>
      </c>
      <c r="L113" s="211" t="s">
        <v>57</v>
      </c>
      <c r="M113" s="143"/>
      <c r="N113" s="211" t="s">
        <v>450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IFERROR(__xludf.DUMMYFUNCTION("FILTER('설정시트'!$D$7:$L$20,'설정시트'!$C$7:$C$20=I113)"),"식재료비")</f>
        <v>식재료비</v>
      </c>
      <c r="AC113" s="214" t="str">
        <f>IFERROR(__xludf.DUMMYFUNCTION("""COMPUTED_VALUE"""),"회사점심")</f>
        <v>회사점심</v>
      </c>
      <c r="AD113" s="214" t="str">
        <f>IFERROR(__xludf.DUMMYFUNCTION("""COMPUTED_VALUE"""),"간식/카페")</f>
        <v>간식/카페</v>
      </c>
      <c r="AE113" s="214" t="str">
        <f>IFERROR(__xludf.DUMMYFUNCTION("""COMPUTED_VALUE"""),"외식/배달")</f>
        <v>외식/배달</v>
      </c>
      <c r="AF113" s="214" t="str">
        <f>IFERROR(__xludf.DUMMYFUNCTION("""COMPUTED_VALUE"""),"기타")</f>
        <v>기타</v>
      </c>
      <c r="AG113" s="214"/>
      <c r="AH113" s="214"/>
      <c r="AI113" s="214"/>
      <c r="AJ113" s="215"/>
    </row>
    <row r="114">
      <c r="H114" s="231">
        <v>45731.0</v>
      </c>
      <c r="I114" s="209" t="s">
        <v>22</v>
      </c>
      <c r="J114" s="209" t="s">
        <v>23</v>
      </c>
      <c r="K114" s="216">
        <v>18900.0</v>
      </c>
      <c r="L114" s="211" t="s">
        <v>58</v>
      </c>
      <c r="M114" s="143"/>
      <c r="N114" s="211" t="s">
        <v>451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IFERROR(__xludf.DUMMYFUNCTION("FILTER('설정시트'!$D$7:$L$20,'설정시트'!$C$7:$C$20=I114)"),"주방/욕실")</f>
        <v>주방/욕실</v>
      </c>
      <c r="AC114" s="214" t="str">
        <f>IFERROR(__xludf.DUMMYFUNCTION("""COMPUTED_VALUE"""),"소모품")</f>
        <v>소모품</v>
      </c>
      <c r="AD114" s="214" t="str">
        <f>IFERROR(__xludf.DUMMYFUNCTION("""COMPUTED_VALUE"""),"기타")</f>
        <v>기타</v>
      </c>
      <c r="AE114" s="214"/>
      <c r="AF114" s="214"/>
      <c r="AG114" s="214"/>
      <c r="AH114" s="214"/>
      <c r="AI114" s="214"/>
      <c r="AJ114" s="215"/>
    </row>
    <row r="115">
      <c r="H115" s="231">
        <v>45731.0</v>
      </c>
      <c r="I115" s="209" t="s">
        <v>26</v>
      </c>
      <c r="J115" s="209" t="s">
        <v>27</v>
      </c>
      <c r="K115" s="216">
        <v>165150.0</v>
      </c>
      <c r="L115" s="211" t="s">
        <v>57</v>
      </c>
      <c r="M115" s="143"/>
      <c r="N115" s="211" t="s">
        <v>452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IFERROR(__xludf.DUMMYFUNCTION("FILTER('설정시트'!$D$7:$L$20,'설정시트'!$C$7:$C$20=I115)"),"식재료비")</f>
        <v>식재료비</v>
      </c>
      <c r="AC115" s="214" t="str">
        <f>IFERROR(__xludf.DUMMYFUNCTION("""COMPUTED_VALUE"""),"회사점심")</f>
        <v>회사점심</v>
      </c>
      <c r="AD115" s="214" t="str">
        <f>IFERROR(__xludf.DUMMYFUNCTION("""COMPUTED_VALUE"""),"간식/카페")</f>
        <v>간식/카페</v>
      </c>
      <c r="AE115" s="214" t="str">
        <f>IFERROR(__xludf.DUMMYFUNCTION("""COMPUTED_VALUE"""),"외식/배달")</f>
        <v>외식/배달</v>
      </c>
      <c r="AF115" s="214" t="str">
        <f>IFERROR(__xludf.DUMMYFUNCTION("""COMPUTED_VALUE"""),"기타")</f>
        <v>기타</v>
      </c>
      <c r="AG115" s="214"/>
      <c r="AH115" s="214"/>
      <c r="AI115" s="214"/>
      <c r="AJ115" s="215"/>
    </row>
    <row r="116">
      <c r="H116" s="231">
        <v>45732.0</v>
      </c>
      <c r="I116" s="209" t="s">
        <v>26</v>
      </c>
      <c r="J116" s="209" t="s">
        <v>27</v>
      </c>
      <c r="K116" s="216">
        <v>15770.0</v>
      </c>
      <c r="L116" s="211" t="s">
        <v>58</v>
      </c>
      <c r="M116" s="143"/>
      <c r="N116" s="211" t="s">
        <v>453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IFERROR(__xludf.DUMMYFUNCTION("FILTER('설정시트'!$D$7:$L$20,'설정시트'!$C$7:$C$20=I116)"),"식재료비")</f>
        <v>식재료비</v>
      </c>
      <c r="AC116" s="214" t="str">
        <f>IFERROR(__xludf.DUMMYFUNCTION("""COMPUTED_VALUE"""),"회사점심")</f>
        <v>회사점심</v>
      </c>
      <c r="AD116" s="214" t="str">
        <f>IFERROR(__xludf.DUMMYFUNCTION("""COMPUTED_VALUE"""),"간식/카페")</f>
        <v>간식/카페</v>
      </c>
      <c r="AE116" s="214" t="str">
        <f>IFERROR(__xludf.DUMMYFUNCTION("""COMPUTED_VALUE"""),"외식/배달")</f>
        <v>외식/배달</v>
      </c>
      <c r="AF116" s="214" t="str">
        <f>IFERROR(__xludf.DUMMYFUNCTION("""COMPUTED_VALUE"""),"기타")</f>
        <v>기타</v>
      </c>
      <c r="AG116" s="214"/>
      <c r="AH116" s="214"/>
      <c r="AI116" s="214"/>
      <c r="AJ116" s="215"/>
    </row>
    <row r="117">
      <c r="H117" s="231">
        <v>45732.0</v>
      </c>
      <c r="I117" s="209" t="s">
        <v>22</v>
      </c>
      <c r="J117" s="209" t="s">
        <v>8</v>
      </c>
      <c r="K117" s="216">
        <v>8960.0</v>
      </c>
      <c r="L117" s="211" t="s">
        <v>58</v>
      </c>
      <c r="M117" s="143"/>
      <c r="N117" s="211" t="s">
        <v>454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IFERROR(__xludf.DUMMYFUNCTION("FILTER('설정시트'!$D$7:$L$20,'설정시트'!$C$7:$C$20=I117)"),"주방/욕실")</f>
        <v>주방/욕실</v>
      </c>
      <c r="AC117" s="214" t="str">
        <f>IFERROR(__xludf.DUMMYFUNCTION("""COMPUTED_VALUE"""),"소모품")</f>
        <v>소모품</v>
      </c>
      <c r="AD117" s="214" t="str">
        <f>IFERROR(__xludf.DUMMYFUNCTION("""COMPUTED_VALUE"""),"기타")</f>
        <v>기타</v>
      </c>
      <c r="AE117" s="214"/>
      <c r="AF117" s="214"/>
      <c r="AG117" s="214"/>
      <c r="AH117" s="214"/>
      <c r="AI117" s="214"/>
      <c r="AJ117" s="215"/>
    </row>
    <row r="118">
      <c r="H118" s="231">
        <v>45732.0</v>
      </c>
      <c r="I118" s="209" t="s">
        <v>25</v>
      </c>
      <c r="J118" s="209" t="s">
        <v>24</v>
      </c>
      <c r="K118" s="216">
        <v>27900.0</v>
      </c>
      <c r="L118" s="211" t="s">
        <v>64</v>
      </c>
      <c r="M118" s="143"/>
      <c r="N118" s="211" t="s">
        <v>455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IFERROR(__xludf.DUMMYFUNCTION("FILTER('설정시트'!$D$7:$L$20,'설정시트'!$C$7:$C$20=I118)"),"주방/욕실")</f>
        <v>주방/욕실</v>
      </c>
      <c r="AC118" s="214" t="str">
        <f>IFERROR(__xludf.DUMMYFUNCTION("""COMPUTED_VALUE"""),"소모품")</f>
        <v>소모품</v>
      </c>
      <c r="AD118" s="214" t="str">
        <f>IFERROR(__xludf.DUMMYFUNCTION("""COMPUTED_VALUE"""),"기타")</f>
        <v>기타</v>
      </c>
      <c r="AE118" s="214"/>
      <c r="AF118" s="214"/>
      <c r="AG118" s="214"/>
      <c r="AH118" s="214"/>
      <c r="AI118" s="214"/>
      <c r="AJ118" s="215"/>
    </row>
    <row r="119">
      <c r="H119" s="231">
        <v>45733.0</v>
      </c>
      <c r="I119" s="217" t="s">
        <v>26</v>
      </c>
      <c r="J119" s="217" t="s">
        <v>28</v>
      </c>
      <c r="K119" s="218">
        <v>31700.0</v>
      </c>
      <c r="L119" s="211" t="s">
        <v>57</v>
      </c>
      <c r="M119" s="143"/>
      <c r="N119" s="211" t="s">
        <v>456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IFERROR(__xludf.DUMMYFUNCTION("FILTER('설정시트'!$D$7:$L$20,'설정시트'!$C$7:$C$20=I119)"),"식재료비")</f>
        <v>식재료비</v>
      </c>
      <c r="AC119" s="214" t="str">
        <f>IFERROR(__xludf.DUMMYFUNCTION("""COMPUTED_VALUE"""),"회사점심")</f>
        <v>회사점심</v>
      </c>
      <c r="AD119" s="214" t="str">
        <f>IFERROR(__xludf.DUMMYFUNCTION("""COMPUTED_VALUE"""),"간식/카페")</f>
        <v>간식/카페</v>
      </c>
      <c r="AE119" s="214" t="str">
        <f>IFERROR(__xludf.DUMMYFUNCTION("""COMPUTED_VALUE"""),"외식/배달")</f>
        <v>외식/배달</v>
      </c>
      <c r="AF119" s="214" t="str">
        <f>IFERROR(__xludf.DUMMYFUNCTION("""COMPUTED_VALUE"""),"기타")</f>
        <v>기타</v>
      </c>
      <c r="AG119" s="214"/>
      <c r="AH119" s="214"/>
      <c r="AI119" s="214"/>
      <c r="AJ119" s="215"/>
    </row>
    <row r="120">
      <c r="H120" s="231">
        <v>45733.0</v>
      </c>
      <c r="I120" s="217" t="s">
        <v>3</v>
      </c>
      <c r="J120" s="217" t="s">
        <v>8</v>
      </c>
      <c r="K120" s="218">
        <v>22000.0</v>
      </c>
      <c r="L120" s="211" t="s">
        <v>55</v>
      </c>
      <c r="M120" s="143"/>
      <c r="N120" s="211" t="s">
        <v>457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IFERROR(__xludf.DUMMYFUNCTION("FILTER('설정시트'!$D$7:$L$20,'설정시트'!$C$7:$C$20=I120)"),"🍪 월급")</f>
        <v>🍪 월급</v>
      </c>
      <c r="AC120" s="214" t="str">
        <f>IFERROR(__xludf.DUMMYFUNCTION("""COMPUTED_VALUE"""),"🍪 부수입")</f>
        <v>🍪 부수입</v>
      </c>
      <c r="AD120" s="214" t="str">
        <f>IFERROR(__xludf.DUMMYFUNCTION("""COMPUTED_VALUE"""),"🐻 월급")</f>
        <v>🐻 월급</v>
      </c>
      <c r="AE120" s="214" t="str">
        <f>IFERROR(__xludf.DUMMYFUNCTION("""COMPUTED_VALUE"""),"🐻 부수입")</f>
        <v>🐻 부수입</v>
      </c>
      <c r="AF120" s="214" t="str">
        <f>IFERROR(__xludf.DUMMYFUNCTION("""COMPUTED_VALUE"""),"기타")</f>
        <v>기타</v>
      </c>
      <c r="AG120" s="214"/>
      <c r="AH120" s="214"/>
      <c r="AI120" s="214"/>
      <c r="AJ120" s="215"/>
    </row>
    <row r="121">
      <c r="H121" s="231">
        <v>45733.0</v>
      </c>
      <c r="I121" s="217" t="s">
        <v>22</v>
      </c>
      <c r="J121" s="217" t="s">
        <v>24</v>
      </c>
      <c r="K121" s="218">
        <v>87318.0</v>
      </c>
      <c r="L121" s="211" t="s">
        <v>58</v>
      </c>
      <c r="M121" s="143"/>
      <c r="N121" s="211" t="s">
        <v>458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IFERROR(__xludf.DUMMYFUNCTION("FILTER('설정시트'!$D$7:$L$20,'설정시트'!$C$7:$C$20=I121)"),"주방/욕실")</f>
        <v>주방/욕실</v>
      </c>
      <c r="AC121" s="214" t="str">
        <f>IFERROR(__xludf.DUMMYFUNCTION("""COMPUTED_VALUE"""),"소모품")</f>
        <v>소모품</v>
      </c>
      <c r="AD121" s="214" t="str">
        <f>IFERROR(__xludf.DUMMYFUNCTION("""COMPUTED_VALUE"""),"기타")</f>
        <v>기타</v>
      </c>
      <c r="AE121" s="214"/>
      <c r="AF121" s="214"/>
      <c r="AG121" s="214"/>
      <c r="AH121" s="214"/>
      <c r="AI121" s="214"/>
      <c r="AJ121" s="215"/>
    </row>
    <row r="122">
      <c r="H122" s="231">
        <v>45733.0</v>
      </c>
      <c r="I122" s="217" t="s">
        <v>14</v>
      </c>
      <c r="J122" s="217" t="s">
        <v>16</v>
      </c>
      <c r="K122" s="218">
        <v>400000.0</v>
      </c>
      <c r="L122" s="211" t="s">
        <v>58</v>
      </c>
      <c r="M122" s="143"/>
      <c r="N122" s="211" t="s">
        <v>459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IFERROR(__xludf.DUMMYFUNCTION("FILTER('설정시트'!$D$7:$L$20,'설정시트'!$C$7:$C$20=I122)"),"관리비")</f>
        <v>관리비</v>
      </c>
      <c r="AC122" s="214" t="str">
        <f>IFERROR(__xludf.DUMMYFUNCTION("""COMPUTED_VALUE"""),"월세")</f>
        <v>월세</v>
      </c>
      <c r="AD122" s="214" t="str">
        <f>IFERROR(__xludf.DUMMYFUNCTION("""COMPUTED_VALUE"""),"대출이자")</f>
        <v>대출이자</v>
      </c>
      <c r="AE122" s="214" t="str">
        <f>IFERROR(__xludf.DUMMYFUNCTION("""COMPUTED_VALUE"""),"통신비")</f>
        <v>통신비</v>
      </c>
      <c r="AF122" s="214" t="str">
        <f>IFERROR(__xludf.DUMMYFUNCTION("""COMPUTED_VALUE"""),"보험료")</f>
        <v>보험료</v>
      </c>
      <c r="AG122" s="214"/>
      <c r="AH122" s="214" t="str">
        <f>IFERROR(__xludf.DUMMYFUNCTION("""COMPUTED_VALUE"""),"곗돈")</f>
        <v>곗돈</v>
      </c>
      <c r="AI122" s="214"/>
      <c r="AJ122" s="215"/>
    </row>
    <row r="123">
      <c r="H123" s="231">
        <v>45733.0</v>
      </c>
      <c r="I123" s="217" t="s">
        <v>32</v>
      </c>
      <c r="J123" s="217" t="s">
        <v>37</v>
      </c>
      <c r="K123" s="218">
        <v>46500.0</v>
      </c>
      <c r="L123" s="211" t="s">
        <v>55</v>
      </c>
      <c r="M123" s="143"/>
      <c r="N123" s="211" t="s">
        <v>460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IFERROR(__xludf.DUMMYFUNCTION("FILTER('설정시트'!$D$7:$L$20,'설정시트'!$C$7:$C$20=I123)"),"의류/잡화")</f>
        <v>의류/잡화</v>
      </c>
      <c r="AC123" s="214" t="str">
        <f>IFERROR(__xludf.DUMMYFUNCTION("""COMPUTED_VALUE"""),"OTT")</f>
        <v>OTT</v>
      </c>
      <c r="AD123" s="214" t="str">
        <f>IFERROR(__xludf.DUMMYFUNCTION("""COMPUTED_VALUE"""),"문화생활")</f>
        <v>문화생활</v>
      </c>
      <c r="AE123" s="214" t="str">
        <f>IFERROR(__xludf.DUMMYFUNCTION("""COMPUTED_VALUE"""),"자기계발")</f>
        <v>자기계발</v>
      </c>
      <c r="AF123" s="214" t="str">
        <f>IFERROR(__xludf.DUMMYFUNCTION("""COMPUTED_VALUE"""),"미용")</f>
        <v>미용</v>
      </c>
      <c r="AG123" s="214"/>
      <c r="AH123" s="214" t="str">
        <f>IFERROR(__xludf.DUMMYFUNCTION("""COMPUTED_VALUE"""),"기타")</f>
        <v>기타</v>
      </c>
      <c r="AI123" s="214"/>
      <c r="AJ123" s="215"/>
    </row>
    <row r="124">
      <c r="H124" s="231">
        <v>45734.0</v>
      </c>
      <c r="I124" s="217" t="s">
        <v>32</v>
      </c>
      <c r="J124" s="217" t="s">
        <v>37</v>
      </c>
      <c r="K124" s="218">
        <v>50000.0</v>
      </c>
      <c r="L124" s="211" t="s">
        <v>55</v>
      </c>
      <c r="M124" s="143"/>
      <c r="N124" s="211" t="s">
        <v>461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IFERROR(__xludf.DUMMYFUNCTION("FILTER('설정시트'!$D$7:$L$20,'설정시트'!$C$7:$C$20=I124)"),"의류/잡화")</f>
        <v>의류/잡화</v>
      </c>
      <c r="AC124" s="214" t="str">
        <f>IFERROR(__xludf.DUMMYFUNCTION("""COMPUTED_VALUE"""),"OTT")</f>
        <v>OTT</v>
      </c>
      <c r="AD124" s="214" t="str">
        <f>IFERROR(__xludf.DUMMYFUNCTION("""COMPUTED_VALUE"""),"문화생활")</f>
        <v>문화생활</v>
      </c>
      <c r="AE124" s="214" t="str">
        <f>IFERROR(__xludf.DUMMYFUNCTION("""COMPUTED_VALUE"""),"자기계발")</f>
        <v>자기계발</v>
      </c>
      <c r="AF124" s="214" t="str">
        <f>IFERROR(__xludf.DUMMYFUNCTION("""COMPUTED_VALUE"""),"미용")</f>
        <v>미용</v>
      </c>
      <c r="AG124" s="214"/>
      <c r="AH124" s="214" t="str">
        <f>IFERROR(__xludf.DUMMYFUNCTION("""COMPUTED_VALUE"""),"기타")</f>
        <v>기타</v>
      </c>
      <c r="AI124" s="214"/>
      <c r="AJ124" s="215"/>
    </row>
    <row r="125">
      <c r="H125" s="231">
        <v>45734.0</v>
      </c>
      <c r="I125" s="209" t="s">
        <v>26</v>
      </c>
      <c r="J125" s="209" t="s">
        <v>27</v>
      </c>
      <c r="K125" s="218">
        <v>18310.0</v>
      </c>
      <c r="L125" s="211" t="s">
        <v>57</v>
      </c>
      <c r="M125" s="143"/>
      <c r="N125" s="211" t="s">
        <v>462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IFERROR(__xludf.DUMMYFUNCTION("FILTER('설정시트'!$D$7:$L$20,'설정시트'!$C$7:$C$20=I125)"),"식재료비")</f>
        <v>식재료비</v>
      </c>
      <c r="AC125" s="214" t="str">
        <f>IFERROR(__xludf.DUMMYFUNCTION("""COMPUTED_VALUE"""),"회사점심")</f>
        <v>회사점심</v>
      </c>
      <c r="AD125" s="214" t="str">
        <f>IFERROR(__xludf.DUMMYFUNCTION("""COMPUTED_VALUE"""),"간식/카페")</f>
        <v>간식/카페</v>
      </c>
      <c r="AE125" s="214" t="str">
        <f>IFERROR(__xludf.DUMMYFUNCTION("""COMPUTED_VALUE"""),"외식/배달")</f>
        <v>외식/배달</v>
      </c>
      <c r="AF125" s="214" t="str">
        <f>IFERROR(__xludf.DUMMYFUNCTION("""COMPUTED_VALUE"""),"기타")</f>
        <v>기타</v>
      </c>
      <c r="AG125" s="214"/>
      <c r="AH125" s="214"/>
      <c r="AI125" s="214"/>
      <c r="AJ125" s="215"/>
    </row>
    <row r="126">
      <c r="H126" s="231">
        <v>45734.0</v>
      </c>
      <c r="I126" s="209" t="s">
        <v>26</v>
      </c>
      <c r="J126" s="209" t="s">
        <v>29</v>
      </c>
      <c r="K126" s="218">
        <v>5500.0</v>
      </c>
      <c r="L126" s="211" t="s">
        <v>57</v>
      </c>
      <c r="M126" s="143"/>
      <c r="N126" s="211" t="s">
        <v>463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IFERROR(__xludf.DUMMYFUNCTION("FILTER('설정시트'!$D$7:$L$20,'설정시트'!$C$7:$C$20=I126)"),"식재료비")</f>
        <v>식재료비</v>
      </c>
      <c r="AC126" s="214" t="str">
        <f>IFERROR(__xludf.DUMMYFUNCTION("""COMPUTED_VALUE"""),"회사점심")</f>
        <v>회사점심</v>
      </c>
      <c r="AD126" s="214" t="str">
        <f>IFERROR(__xludf.DUMMYFUNCTION("""COMPUTED_VALUE"""),"간식/카페")</f>
        <v>간식/카페</v>
      </c>
      <c r="AE126" s="214" t="str">
        <f>IFERROR(__xludf.DUMMYFUNCTION("""COMPUTED_VALUE"""),"외식/배달")</f>
        <v>외식/배달</v>
      </c>
      <c r="AF126" s="214" t="str">
        <f>IFERROR(__xludf.DUMMYFUNCTION("""COMPUTED_VALUE"""),"기타")</f>
        <v>기타</v>
      </c>
      <c r="AG126" s="214"/>
      <c r="AH126" s="214"/>
      <c r="AI126" s="214"/>
      <c r="AJ126" s="215"/>
    </row>
    <row r="127">
      <c r="H127" s="231">
        <v>45734.0</v>
      </c>
      <c r="I127" s="217" t="s">
        <v>32</v>
      </c>
      <c r="J127" s="217" t="s">
        <v>33</v>
      </c>
      <c r="K127" s="218">
        <v>210000.0</v>
      </c>
      <c r="L127" s="211" t="s">
        <v>60</v>
      </c>
      <c r="M127" s="143"/>
      <c r="N127" s="211" t="s">
        <v>464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IFERROR(__xludf.DUMMYFUNCTION("FILTER('설정시트'!$D$7:$L$20,'설정시트'!$C$7:$C$20=I127)"),"의류/잡화")</f>
        <v>의류/잡화</v>
      </c>
      <c r="AC127" s="214" t="str">
        <f>IFERROR(__xludf.DUMMYFUNCTION("""COMPUTED_VALUE"""),"OTT")</f>
        <v>OTT</v>
      </c>
      <c r="AD127" s="214" t="str">
        <f>IFERROR(__xludf.DUMMYFUNCTION("""COMPUTED_VALUE"""),"문화생활")</f>
        <v>문화생활</v>
      </c>
      <c r="AE127" s="214" t="str">
        <f>IFERROR(__xludf.DUMMYFUNCTION("""COMPUTED_VALUE"""),"자기계발")</f>
        <v>자기계발</v>
      </c>
      <c r="AF127" s="214" t="str">
        <f>IFERROR(__xludf.DUMMYFUNCTION("""COMPUTED_VALUE"""),"미용")</f>
        <v>미용</v>
      </c>
      <c r="AG127" s="214"/>
      <c r="AH127" s="214" t="str">
        <f>IFERROR(__xludf.DUMMYFUNCTION("""COMPUTED_VALUE"""),"기타")</f>
        <v>기타</v>
      </c>
      <c r="AI127" s="214"/>
      <c r="AJ127" s="215"/>
    </row>
    <row r="128">
      <c r="H128" s="231">
        <v>45735.0</v>
      </c>
      <c r="I128" s="217" t="s">
        <v>31</v>
      </c>
      <c r="J128" s="217" t="s">
        <v>29</v>
      </c>
      <c r="K128" s="218">
        <v>2800.0</v>
      </c>
      <c r="L128" s="211" t="s">
        <v>64</v>
      </c>
      <c r="M128" s="143"/>
      <c r="N128" s="211" t="s">
        <v>465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IFERROR(__xludf.DUMMYFUNCTION("FILTER('설정시트'!$D$7:$L$20,'설정시트'!$C$7:$C$20=I128)"),"식재료비")</f>
        <v>식재료비</v>
      </c>
      <c r="AC128" s="214" t="str">
        <f>IFERROR(__xludf.DUMMYFUNCTION("""COMPUTED_VALUE"""),"회사점심")</f>
        <v>회사점심</v>
      </c>
      <c r="AD128" s="214" t="str">
        <f>IFERROR(__xludf.DUMMYFUNCTION("""COMPUTED_VALUE"""),"간식/카페")</f>
        <v>간식/카페</v>
      </c>
      <c r="AE128" s="214" t="str">
        <f>IFERROR(__xludf.DUMMYFUNCTION("""COMPUTED_VALUE"""),"외식/배달")</f>
        <v>외식/배달</v>
      </c>
      <c r="AF128" s="214" t="str">
        <f>IFERROR(__xludf.DUMMYFUNCTION("""COMPUTED_VALUE"""),"기타")</f>
        <v>기타</v>
      </c>
      <c r="AG128" s="214"/>
      <c r="AH128" s="214"/>
      <c r="AI128" s="214"/>
      <c r="AJ128" s="215"/>
    </row>
    <row r="129">
      <c r="H129" s="231">
        <v>45736.0</v>
      </c>
      <c r="I129" s="217" t="s">
        <v>21</v>
      </c>
      <c r="J129" s="217" t="s">
        <v>15</v>
      </c>
      <c r="K129" s="218">
        <v>105810.0</v>
      </c>
      <c r="L129" s="211" t="s">
        <v>64</v>
      </c>
      <c r="M129" s="143"/>
      <c r="N129" s="211" t="s">
        <v>466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IFERROR(__xludf.DUMMYFUNCTION("FILTER('설정시트'!$D$7:$L$20,'설정시트'!$C$7:$C$20=I129)"),"관리비")</f>
        <v>관리비</v>
      </c>
      <c r="AC129" s="214" t="str">
        <f>IFERROR(__xludf.DUMMYFUNCTION("""COMPUTED_VALUE"""),"대출이자")</f>
        <v>대출이자</v>
      </c>
      <c r="AD129" s="214" t="str">
        <f>IFERROR(__xludf.DUMMYFUNCTION("""COMPUTED_VALUE"""),"통신비")</f>
        <v>통신비</v>
      </c>
      <c r="AE129" s="214" t="str">
        <f>IFERROR(__xludf.DUMMYFUNCTION("""COMPUTED_VALUE"""),"보험료")</f>
        <v>보험료</v>
      </c>
      <c r="AF129" s="214" t="str">
        <f>IFERROR(__xludf.DUMMYFUNCTION("""COMPUTED_VALUE"""),"곗돈")</f>
        <v>곗돈</v>
      </c>
      <c r="AG129" s="214"/>
      <c r="AH129" s="214"/>
      <c r="AI129" s="214"/>
      <c r="AJ129" s="215"/>
    </row>
    <row r="130">
      <c r="H130" s="231">
        <v>45736.0</v>
      </c>
      <c r="I130" s="217" t="s">
        <v>52</v>
      </c>
      <c r="J130" s="217" t="s">
        <v>47</v>
      </c>
      <c r="K130" s="218">
        <v>50000.0</v>
      </c>
      <c r="L130" s="211" t="s">
        <v>62</v>
      </c>
      <c r="M130" s="143"/>
      <c r="N130" s="211" t="s">
        <v>467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IFERROR(__xludf.DUMMYFUNCTION("FILTER('설정시트'!$D$7:$L$20,'설정시트'!$C$7:$C$20=I130)"),"축의/부의금")</f>
        <v>축의/부의금</v>
      </c>
      <c r="AC130" s="214" t="str">
        <f>IFERROR(__xludf.DUMMYFUNCTION("""COMPUTED_VALUE"""),"생신/생일선물")</f>
        <v>생신/생일선물</v>
      </c>
      <c r="AD130" s="214" t="str">
        <f>IFERROR(__xludf.DUMMYFUNCTION("""COMPUTED_VALUE"""),"명절/어버이날")</f>
        <v>명절/어버이날</v>
      </c>
      <c r="AE130" s="214" t="str">
        <f>IFERROR(__xludf.DUMMYFUNCTION("""COMPUTED_VALUE"""),"여행")</f>
        <v>여행</v>
      </c>
      <c r="AF130" s="214" t="str">
        <f>IFERROR(__xludf.DUMMYFUNCTION("""COMPUTED_VALUE"""),"기타")</f>
        <v>기타</v>
      </c>
      <c r="AG130" s="214" t="str">
        <f>IFERROR(__xludf.DUMMYFUNCTION("""COMPUTED_VALUE"""),"출산")</f>
        <v>출산</v>
      </c>
      <c r="AH130" s="214"/>
      <c r="AI130" s="214"/>
      <c r="AJ130" s="215"/>
    </row>
    <row r="131">
      <c r="H131" s="231">
        <v>45736.0</v>
      </c>
      <c r="I131" s="217" t="s">
        <v>32</v>
      </c>
      <c r="J131" s="217" t="s">
        <v>37</v>
      </c>
      <c r="K131" s="218">
        <v>50702.0</v>
      </c>
      <c r="L131" s="211" t="s">
        <v>57</v>
      </c>
      <c r="M131" s="143"/>
      <c r="N131" s="211" t="s">
        <v>468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IFERROR(__xludf.DUMMYFUNCTION("FILTER('설정시트'!$D$7:$L$20,'설정시트'!$C$7:$C$20=I131)"),"의류/잡화")</f>
        <v>의류/잡화</v>
      </c>
      <c r="AC131" s="214" t="str">
        <f>IFERROR(__xludf.DUMMYFUNCTION("""COMPUTED_VALUE"""),"OTT")</f>
        <v>OTT</v>
      </c>
      <c r="AD131" s="214" t="str">
        <f>IFERROR(__xludf.DUMMYFUNCTION("""COMPUTED_VALUE"""),"문화생활")</f>
        <v>문화생활</v>
      </c>
      <c r="AE131" s="214" t="str">
        <f>IFERROR(__xludf.DUMMYFUNCTION("""COMPUTED_VALUE"""),"자기계발")</f>
        <v>자기계발</v>
      </c>
      <c r="AF131" s="214" t="str">
        <f>IFERROR(__xludf.DUMMYFUNCTION("""COMPUTED_VALUE"""),"미용")</f>
        <v>미용</v>
      </c>
      <c r="AG131" s="214"/>
      <c r="AH131" s="214" t="str">
        <f>IFERROR(__xludf.DUMMYFUNCTION("""COMPUTED_VALUE"""),"기타")</f>
        <v>기타</v>
      </c>
      <c r="AI131" s="214"/>
      <c r="AJ131" s="215"/>
    </row>
    <row r="132">
      <c r="H132" s="231">
        <v>45737.0</v>
      </c>
      <c r="I132" s="217" t="s">
        <v>21</v>
      </c>
      <c r="J132" s="217" t="s">
        <v>15</v>
      </c>
      <c r="K132" s="218">
        <v>213490.0</v>
      </c>
      <c r="L132" s="211" t="s">
        <v>64</v>
      </c>
      <c r="M132" s="143"/>
      <c r="N132" s="211" t="s">
        <v>469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IFERROR(__xludf.DUMMYFUNCTION("FILTER('설정시트'!$D$7:$L$20,'설정시트'!$C$7:$C$20=I132)"),"관리비")</f>
        <v>관리비</v>
      </c>
      <c r="AC132" s="214" t="str">
        <f>IFERROR(__xludf.DUMMYFUNCTION("""COMPUTED_VALUE"""),"대출이자")</f>
        <v>대출이자</v>
      </c>
      <c r="AD132" s="214" t="str">
        <f>IFERROR(__xludf.DUMMYFUNCTION("""COMPUTED_VALUE"""),"통신비")</f>
        <v>통신비</v>
      </c>
      <c r="AE132" s="214" t="str">
        <f>IFERROR(__xludf.DUMMYFUNCTION("""COMPUTED_VALUE"""),"보험료")</f>
        <v>보험료</v>
      </c>
      <c r="AF132" s="214" t="str">
        <f>IFERROR(__xludf.DUMMYFUNCTION("""COMPUTED_VALUE"""),"곗돈")</f>
        <v>곗돈</v>
      </c>
      <c r="AG132" s="214"/>
      <c r="AH132" s="214"/>
      <c r="AI132" s="214"/>
      <c r="AJ132" s="215"/>
    </row>
    <row r="133">
      <c r="H133" s="231">
        <v>45737.0</v>
      </c>
      <c r="I133" s="217" t="s">
        <v>31</v>
      </c>
      <c r="J133" s="217" t="s">
        <v>29</v>
      </c>
      <c r="K133" s="218">
        <v>4000.0</v>
      </c>
      <c r="L133" s="211" t="s">
        <v>64</v>
      </c>
      <c r="M133" s="143"/>
      <c r="N133" s="211" t="s">
        <v>470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IFERROR(__xludf.DUMMYFUNCTION("FILTER('설정시트'!$D$7:$L$20,'설정시트'!$C$7:$C$20=I133)"),"식재료비")</f>
        <v>식재료비</v>
      </c>
      <c r="AC133" s="214" t="str">
        <f>IFERROR(__xludf.DUMMYFUNCTION("""COMPUTED_VALUE"""),"회사점심")</f>
        <v>회사점심</v>
      </c>
      <c r="AD133" s="214" t="str">
        <f>IFERROR(__xludf.DUMMYFUNCTION("""COMPUTED_VALUE"""),"간식/카페")</f>
        <v>간식/카페</v>
      </c>
      <c r="AE133" s="214" t="str">
        <f>IFERROR(__xludf.DUMMYFUNCTION("""COMPUTED_VALUE"""),"외식/배달")</f>
        <v>외식/배달</v>
      </c>
      <c r="AF133" s="214" t="str">
        <f>IFERROR(__xludf.DUMMYFUNCTION("""COMPUTED_VALUE"""),"기타")</f>
        <v>기타</v>
      </c>
      <c r="AG133" s="214"/>
      <c r="AH133" s="214"/>
      <c r="AI133" s="214"/>
      <c r="AJ133" s="215"/>
    </row>
    <row r="134">
      <c r="H134" s="231">
        <v>45737.0</v>
      </c>
      <c r="I134" s="217" t="s">
        <v>38</v>
      </c>
      <c r="J134" s="217" t="s">
        <v>37</v>
      </c>
      <c r="K134" s="218">
        <v>20100.0</v>
      </c>
      <c r="L134" s="211" t="s">
        <v>64</v>
      </c>
      <c r="M134" s="143"/>
      <c r="N134" s="211" t="s">
        <v>471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IFERROR(__xludf.DUMMYFUNCTION("FILTER('설정시트'!$D$7:$L$20,'설정시트'!$C$7:$C$20=I134)"),"의류/잡화")</f>
        <v>의류/잡화</v>
      </c>
      <c r="AC134" s="214" t="str">
        <f>IFERROR(__xludf.DUMMYFUNCTION("""COMPUTED_VALUE"""),"OTT")</f>
        <v>OTT</v>
      </c>
      <c r="AD134" s="214" t="str">
        <f>IFERROR(__xludf.DUMMYFUNCTION("""COMPUTED_VALUE"""),"문화생활")</f>
        <v>문화생활</v>
      </c>
      <c r="AE134" s="214" t="str">
        <f>IFERROR(__xludf.DUMMYFUNCTION("""COMPUTED_VALUE"""),"자기계발")</f>
        <v>자기계발</v>
      </c>
      <c r="AF134" s="214" t="str">
        <f>IFERROR(__xludf.DUMMYFUNCTION("""COMPUTED_VALUE"""),"미용")</f>
        <v>미용</v>
      </c>
      <c r="AG134" s="214"/>
      <c r="AH134" s="214" t="str">
        <f>IFERROR(__xludf.DUMMYFUNCTION("""COMPUTED_VALUE"""),"기타")</f>
        <v>기타</v>
      </c>
      <c r="AI134" s="214"/>
      <c r="AJ134" s="215"/>
    </row>
    <row r="135">
      <c r="H135" s="231">
        <v>45737.0</v>
      </c>
      <c r="I135" s="217" t="s">
        <v>31</v>
      </c>
      <c r="J135" s="217" t="s">
        <v>30</v>
      </c>
      <c r="K135" s="218">
        <v>28000.0</v>
      </c>
      <c r="L135" s="211" t="s">
        <v>64</v>
      </c>
      <c r="M135" s="143"/>
      <c r="N135" s="211" t="s">
        <v>472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IFERROR(__xludf.DUMMYFUNCTION("FILTER('설정시트'!$D$7:$L$20,'설정시트'!$C$7:$C$20=I135)"),"식재료비")</f>
        <v>식재료비</v>
      </c>
      <c r="AC135" s="214" t="str">
        <f>IFERROR(__xludf.DUMMYFUNCTION("""COMPUTED_VALUE"""),"회사점심")</f>
        <v>회사점심</v>
      </c>
      <c r="AD135" s="214" t="str">
        <f>IFERROR(__xludf.DUMMYFUNCTION("""COMPUTED_VALUE"""),"간식/카페")</f>
        <v>간식/카페</v>
      </c>
      <c r="AE135" s="214" t="str">
        <f>IFERROR(__xludf.DUMMYFUNCTION("""COMPUTED_VALUE"""),"외식/배달")</f>
        <v>외식/배달</v>
      </c>
      <c r="AF135" s="214" t="str">
        <f>IFERROR(__xludf.DUMMYFUNCTION("""COMPUTED_VALUE"""),"기타")</f>
        <v>기타</v>
      </c>
      <c r="AG135" s="214"/>
      <c r="AH135" s="214"/>
      <c r="AI135" s="214"/>
      <c r="AJ135" s="215"/>
    </row>
    <row r="136">
      <c r="H136" s="231">
        <v>45737.0</v>
      </c>
      <c r="I136" s="217" t="s">
        <v>26</v>
      </c>
      <c r="J136" s="217" t="s">
        <v>29</v>
      </c>
      <c r="K136" s="218">
        <v>8100.0</v>
      </c>
      <c r="L136" s="211" t="s">
        <v>57</v>
      </c>
      <c r="M136" s="143"/>
      <c r="N136" s="211" t="s">
        <v>473</v>
      </c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IFERROR(__xludf.DUMMYFUNCTION("FILTER('설정시트'!$D$7:$L$20,'설정시트'!$C$7:$C$20=I136)"),"식재료비")</f>
        <v>식재료비</v>
      </c>
      <c r="AC136" s="214" t="str">
        <f>IFERROR(__xludf.DUMMYFUNCTION("""COMPUTED_VALUE"""),"회사점심")</f>
        <v>회사점심</v>
      </c>
      <c r="AD136" s="214" t="str">
        <f>IFERROR(__xludf.DUMMYFUNCTION("""COMPUTED_VALUE"""),"간식/카페")</f>
        <v>간식/카페</v>
      </c>
      <c r="AE136" s="214" t="str">
        <f>IFERROR(__xludf.DUMMYFUNCTION("""COMPUTED_VALUE"""),"외식/배달")</f>
        <v>외식/배달</v>
      </c>
      <c r="AF136" s="214" t="str">
        <f>IFERROR(__xludf.DUMMYFUNCTION("""COMPUTED_VALUE"""),"기타")</f>
        <v>기타</v>
      </c>
      <c r="AG136" s="214"/>
      <c r="AH136" s="214"/>
      <c r="AI136" s="214"/>
      <c r="AJ136" s="215"/>
    </row>
    <row r="137">
      <c r="H137" s="231">
        <v>45737.0</v>
      </c>
      <c r="I137" s="217" t="s">
        <v>26</v>
      </c>
      <c r="J137" s="217" t="s">
        <v>28</v>
      </c>
      <c r="K137" s="218">
        <v>14000.0</v>
      </c>
      <c r="L137" s="211" t="s">
        <v>57</v>
      </c>
      <c r="M137" s="143"/>
      <c r="N137" s="211" t="s">
        <v>474</v>
      </c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IFERROR(__xludf.DUMMYFUNCTION("FILTER('설정시트'!$D$7:$L$20,'설정시트'!$C$7:$C$20=I137)"),"식재료비")</f>
        <v>식재료비</v>
      </c>
      <c r="AC137" s="214" t="str">
        <f>IFERROR(__xludf.DUMMYFUNCTION("""COMPUTED_VALUE"""),"회사점심")</f>
        <v>회사점심</v>
      </c>
      <c r="AD137" s="214" t="str">
        <f>IFERROR(__xludf.DUMMYFUNCTION("""COMPUTED_VALUE"""),"간식/카페")</f>
        <v>간식/카페</v>
      </c>
      <c r="AE137" s="214" t="str">
        <f>IFERROR(__xludf.DUMMYFUNCTION("""COMPUTED_VALUE"""),"외식/배달")</f>
        <v>외식/배달</v>
      </c>
      <c r="AF137" s="214" t="str">
        <f>IFERROR(__xludf.DUMMYFUNCTION("""COMPUTED_VALUE"""),"기타")</f>
        <v>기타</v>
      </c>
      <c r="AG137" s="214"/>
      <c r="AH137" s="214"/>
      <c r="AI137" s="214"/>
      <c r="AJ137" s="215"/>
    </row>
    <row r="138">
      <c r="H138" s="231">
        <v>45737.0</v>
      </c>
      <c r="I138" s="217" t="s">
        <v>26</v>
      </c>
      <c r="J138" s="217" t="s">
        <v>29</v>
      </c>
      <c r="K138" s="218">
        <v>8000.0</v>
      </c>
      <c r="L138" s="211" t="s">
        <v>57</v>
      </c>
      <c r="M138" s="143"/>
      <c r="N138" s="211" t="s">
        <v>475</v>
      </c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IFERROR(__xludf.DUMMYFUNCTION("FILTER('설정시트'!$D$7:$L$20,'설정시트'!$C$7:$C$20=I138)"),"식재료비")</f>
        <v>식재료비</v>
      </c>
      <c r="AC138" s="214" t="str">
        <f>IFERROR(__xludf.DUMMYFUNCTION("""COMPUTED_VALUE"""),"회사점심")</f>
        <v>회사점심</v>
      </c>
      <c r="AD138" s="214" t="str">
        <f>IFERROR(__xludf.DUMMYFUNCTION("""COMPUTED_VALUE"""),"간식/카페")</f>
        <v>간식/카페</v>
      </c>
      <c r="AE138" s="214" t="str">
        <f>IFERROR(__xludf.DUMMYFUNCTION("""COMPUTED_VALUE"""),"외식/배달")</f>
        <v>외식/배달</v>
      </c>
      <c r="AF138" s="214" t="str">
        <f>IFERROR(__xludf.DUMMYFUNCTION("""COMPUTED_VALUE"""),"기타")</f>
        <v>기타</v>
      </c>
      <c r="AG138" s="214"/>
      <c r="AH138" s="214"/>
      <c r="AI138" s="214"/>
      <c r="AJ138" s="215"/>
    </row>
    <row r="139">
      <c r="H139" s="231">
        <v>45737.0</v>
      </c>
      <c r="I139" s="217" t="s">
        <v>26</v>
      </c>
      <c r="J139" s="217" t="s">
        <v>29</v>
      </c>
      <c r="K139" s="218">
        <v>8600.0</v>
      </c>
      <c r="L139" s="211" t="s">
        <v>57</v>
      </c>
      <c r="M139" s="143"/>
      <c r="N139" s="211" t="s">
        <v>463</v>
      </c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IFERROR(__xludf.DUMMYFUNCTION("FILTER('설정시트'!$D$7:$L$20,'설정시트'!$C$7:$C$20=I139)"),"식재료비")</f>
        <v>식재료비</v>
      </c>
      <c r="AC139" s="214" t="str">
        <f>IFERROR(__xludf.DUMMYFUNCTION("""COMPUTED_VALUE"""),"회사점심")</f>
        <v>회사점심</v>
      </c>
      <c r="AD139" s="214" t="str">
        <f>IFERROR(__xludf.DUMMYFUNCTION("""COMPUTED_VALUE"""),"간식/카페")</f>
        <v>간식/카페</v>
      </c>
      <c r="AE139" s="214" t="str">
        <f>IFERROR(__xludf.DUMMYFUNCTION("""COMPUTED_VALUE"""),"외식/배달")</f>
        <v>외식/배달</v>
      </c>
      <c r="AF139" s="214" t="str">
        <f>IFERROR(__xludf.DUMMYFUNCTION("""COMPUTED_VALUE"""),"기타")</f>
        <v>기타</v>
      </c>
      <c r="AG139" s="214"/>
      <c r="AH139" s="214"/>
      <c r="AI139" s="214"/>
      <c r="AJ139" s="215"/>
    </row>
    <row r="140">
      <c r="H140" s="231">
        <v>45737.0</v>
      </c>
      <c r="I140" s="217" t="s">
        <v>3</v>
      </c>
      <c r="J140" s="217" t="s">
        <v>4</v>
      </c>
      <c r="K140" s="218">
        <v>3297040.0</v>
      </c>
      <c r="L140" s="213"/>
      <c r="M140" s="143"/>
      <c r="N140" s="211" t="s">
        <v>476</v>
      </c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IFERROR(__xludf.DUMMYFUNCTION("FILTER('설정시트'!$D$7:$L$20,'설정시트'!$C$7:$C$20=I140)"),"🍪 월급")</f>
        <v>🍪 월급</v>
      </c>
      <c r="AC140" s="214" t="str">
        <f>IFERROR(__xludf.DUMMYFUNCTION("""COMPUTED_VALUE"""),"🍪 부수입")</f>
        <v>🍪 부수입</v>
      </c>
      <c r="AD140" s="214" t="str">
        <f>IFERROR(__xludf.DUMMYFUNCTION("""COMPUTED_VALUE"""),"🐻 월급")</f>
        <v>🐻 월급</v>
      </c>
      <c r="AE140" s="214" t="str">
        <f>IFERROR(__xludf.DUMMYFUNCTION("""COMPUTED_VALUE"""),"🐻 부수입")</f>
        <v>🐻 부수입</v>
      </c>
      <c r="AF140" s="214" t="str">
        <f>IFERROR(__xludf.DUMMYFUNCTION("""COMPUTED_VALUE"""),"기타")</f>
        <v>기타</v>
      </c>
      <c r="AG140" s="214"/>
      <c r="AH140" s="214"/>
      <c r="AI140" s="214"/>
      <c r="AJ140" s="215"/>
    </row>
    <row r="141">
      <c r="H141" s="231">
        <v>45738.0</v>
      </c>
      <c r="I141" s="217" t="s">
        <v>39</v>
      </c>
      <c r="J141" s="217" t="s">
        <v>41</v>
      </c>
      <c r="K141" s="218">
        <v>152000.0</v>
      </c>
      <c r="L141" s="211" t="s">
        <v>57</v>
      </c>
      <c r="M141" s="143"/>
      <c r="N141" s="211" t="s">
        <v>477</v>
      </c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IFERROR(__xludf.DUMMYFUNCTION("FILTER('설정시트'!$D$7:$L$20,'설정시트'!$C$7:$C$20=I141)"),"약국")</f>
        <v>약국</v>
      </c>
      <c r="AC141" s="214" t="str">
        <f>IFERROR(__xludf.DUMMYFUNCTION("""COMPUTED_VALUE"""),"병원비")</f>
        <v>병원비</v>
      </c>
      <c r="AD141" s="214" t="str">
        <f>IFERROR(__xludf.DUMMYFUNCTION("""COMPUTED_VALUE"""),"영양제")</f>
        <v>영양제</v>
      </c>
      <c r="AE141" s="214" t="str">
        <f>IFERROR(__xludf.DUMMYFUNCTION("""COMPUTED_VALUE"""),"교통비")</f>
        <v>교통비</v>
      </c>
      <c r="AF141" s="214" t="str">
        <f>IFERROR(__xludf.DUMMYFUNCTION("""COMPUTED_VALUE"""),"주유비")</f>
        <v>주유비</v>
      </c>
      <c r="AG141" s="214"/>
      <c r="AH141" s="214" t="str">
        <f>IFERROR(__xludf.DUMMYFUNCTION("""COMPUTED_VALUE"""),"기타")</f>
        <v>기타</v>
      </c>
      <c r="AI141" s="214"/>
      <c r="AJ141" s="215"/>
    </row>
    <row r="142">
      <c r="H142" s="231">
        <v>45738.0</v>
      </c>
      <c r="I142" s="217" t="s">
        <v>39</v>
      </c>
      <c r="J142" s="217" t="s">
        <v>40</v>
      </c>
      <c r="K142" s="218">
        <v>20200.0</v>
      </c>
      <c r="L142" s="211" t="s">
        <v>57</v>
      </c>
      <c r="M142" s="143"/>
      <c r="N142" s="211" t="s">
        <v>478</v>
      </c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IFERROR(__xludf.DUMMYFUNCTION("FILTER('설정시트'!$D$7:$L$20,'설정시트'!$C$7:$C$20=I142)"),"약국")</f>
        <v>약국</v>
      </c>
      <c r="AC142" s="214" t="str">
        <f>IFERROR(__xludf.DUMMYFUNCTION("""COMPUTED_VALUE"""),"병원비")</f>
        <v>병원비</v>
      </c>
      <c r="AD142" s="214" t="str">
        <f>IFERROR(__xludf.DUMMYFUNCTION("""COMPUTED_VALUE"""),"영양제")</f>
        <v>영양제</v>
      </c>
      <c r="AE142" s="214" t="str">
        <f>IFERROR(__xludf.DUMMYFUNCTION("""COMPUTED_VALUE"""),"교통비")</f>
        <v>교통비</v>
      </c>
      <c r="AF142" s="214" t="str">
        <f>IFERROR(__xludf.DUMMYFUNCTION("""COMPUTED_VALUE"""),"주유비")</f>
        <v>주유비</v>
      </c>
      <c r="AG142" s="214"/>
      <c r="AH142" s="214" t="str">
        <f>IFERROR(__xludf.DUMMYFUNCTION("""COMPUTED_VALUE"""),"기타")</f>
        <v>기타</v>
      </c>
      <c r="AI142" s="214"/>
      <c r="AJ142" s="215"/>
    </row>
    <row r="143">
      <c r="H143" s="231">
        <v>45738.0</v>
      </c>
      <c r="I143" s="217" t="s">
        <v>26</v>
      </c>
      <c r="J143" s="217" t="s">
        <v>30</v>
      </c>
      <c r="K143" s="218">
        <v>23000.0</v>
      </c>
      <c r="L143" s="211" t="s">
        <v>57</v>
      </c>
      <c r="M143" s="143"/>
      <c r="N143" s="211" t="s">
        <v>364</v>
      </c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IFERROR(__xludf.DUMMYFUNCTION("FILTER('설정시트'!$D$7:$L$20,'설정시트'!$C$7:$C$20=I143)"),"식재료비")</f>
        <v>식재료비</v>
      </c>
      <c r="AC143" s="214" t="str">
        <f>IFERROR(__xludf.DUMMYFUNCTION("""COMPUTED_VALUE"""),"회사점심")</f>
        <v>회사점심</v>
      </c>
      <c r="AD143" s="214" t="str">
        <f>IFERROR(__xludf.DUMMYFUNCTION("""COMPUTED_VALUE"""),"간식/카페")</f>
        <v>간식/카페</v>
      </c>
      <c r="AE143" s="214" t="str">
        <f>IFERROR(__xludf.DUMMYFUNCTION("""COMPUTED_VALUE"""),"외식/배달")</f>
        <v>외식/배달</v>
      </c>
      <c r="AF143" s="214" t="str">
        <f>IFERROR(__xludf.DUMMYFUNCTION("""COMPUTED_VALUE"""),"기타")</f>
        <v>기타</v>
      </c>
      <c r="AG143" s="214"/>
      <c r="AH143" s="214"/>
      <c r="AI143" s="214"/>
      <c r="AJ143" s="215"/>
    </row>
    <row r="144">
      <c r="H144" s="231">
        <v>45738.0</v>
      </c>
      <c r="I144" s="217" t="s">
        <v>26</v>
      </c>
      <c r="J144" s="217" t="s">
        <v>27</v>
      </c>
      <c r="K144" s="218">
        <v>15890.0</v>
      </c>
      <c r="L144" s="211" t="s">
        <v>57</v>
      </c>
      <c r="M144" s="143"/>
      <c r="N144" s="211" t="s">
        <v>479</v>
      </c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IFERROR(__xludf.DUMMYFUNCTION("FILTER('설정시트'!$D$7:$L$20,'설정시트'!$C$7:$C$20=I144)"),"식재료비")</f>
        <v>식재료비</v>
      </c>
      <c r="AC144" s="214" t="str">
        <f>IFERROR(__xludf.DUMMYFUNCTION("""COMPUTED_VALUE"""),"회사점심")</f>
        <v>회사점심</v>
      </c>
      <c r="AD144" s="214" t="str">
        <f>IFERROR(__xludf.DUMMYFUNCTION("""COMPUTED_VALUE"""),"간식/카페")</f>
        <v>간식/카페</v>
      </c>
      <c r="AE144" s="214" t="str">
        <f>IFERROR(__xludf.DUMMYFUNCTION("""COMPUTED_VALUE"""),"외식/배달")</f>
        <v>외식/배달</v>
      </c>
      <c r="AF144" s="214" t="str">
        <f>IFERROR(__xludf.DUMMYFUNCTION("""COMPUTED_VALUE"""),"기타")</f>
        <v>기타</v>
      </c>
      <c r="AG144" s="214"/>
      <c r="AH144" s="214"/>
      <c r="AI144" s="214"/>
      <c r="AJ144" s="215"/>
    </row>
    <row r="145">
      <c r="H145" s="231">
        <v>45738.0</v>
      </c>
      <c r="I145" s="217" t="s">
        <v>26</v>
      </c>
      <c r="J145" s="217" t="s">
        <v>30</v>
      </c>
      <c r="K145" s="218">
        <v>64000.0</v>
      </c>
      <c r="L145" s="211" t="s">
        <v>57</v>
      </c>
      <c r="M145" s="143"/>
      <c r="N145" s="211" t="s">
        <v>480</v>
      </c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IFERROR(__xludf.DUMMYFUNCTION("FILTER('설정시트'!$D$7:$L$20,'설정시트'!$C$7:$C$20=I145)"),"식재료비")</f>
        <v>식재료비</v>
      </c>
      <c r="AC145" s="214" t="str">
        <f>IFERROR(__xludf.DUMMYFUNCTION("""COMPUTED_VALUE"""),"회사점심")</f>
        <v>회사점심</v>
      </c>
      <c r="AD145" s="214" t="str">
        <f>IFERROR(__xludf.DUMMYFUNCTION("""COMPUTED_VALUE"""),"간식/카페")</f>
        <v>간식/카페</v>
      </c>
      <c r="AE145" s="214" t="str">
        <f>IFERROR(__xludf.DUMMYFUNCTION("""COMPUTED_VALUE"""),"외식/배달")</f>
        <v>외식/배달</v>
      </c>
      <c r="AF145" s="214" t="str">
        <f>IFERROR(__xludf.DUMMYFUNCTION("""COMPUTED_VALUE"""),"기타")</f>
        <v>기타</v>
      </c>
      <c r="AG145" s="214"/>
      <c r="AH145" s="214"/>
      <c r="AI145" s="214"/>
      <c r="AJ145" s="215"/>
    </row>
    <row r="146">
      <c r="H146" s="231">
        <v>45738.0</v>
      </c>
      <c r="I146" s="217" t="s">
        <v>26</v>
      </c>
      <c r="J146" s="217" t="s">
        <v>30</v>
      </c>
      <c r="K146" s="218">
        <v>154000.0</v>
      </c>
      <c r="L146" s="211" t="s">
        <v>57</v>
      </c>
      <c r="M146" s="143"/>
      <c r="N146" s="211" t="s">
        <v>481</v>
      </c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IFERROR(__xludf.DUMMYFUNCTION("FILTER('설정시트'!$D$7:$L$20,'설정시트'!$C$7:$C$20=I146)"),"식재료비")</f>
        <v>식재료비</v>
      </c>
      <c r="AC146" s="214" t="str">
        <f>IFERROR(__xludf.DUMMYFUNCTION("""COMPUTED_VALUE"""),"회사점심")</f>
        <v>회사점심</v>
      </c>
      <c r="AD146" s="214" t="str">
        <f>IFERROR(__xludf.DUMMYFUNCTION("""COMPUTED_VALUE"""),"간식/카페")</f>
        <v>간식/카페</v>
      </c>
      <c r="AE146" s="214" t="str">
        <f>IFERROR(__xludf.DUMMYFUNCTION("""COMPUTED_VALUE"""),"외식/배달")</f>
        <v>외식/배달</v>
      </c>
      <c r="AF146" s="214" t="str">
        <f>IFERROR(__xludf.DUMMYFUNCTION("""COMPUTED_VALUE"""),"기타")</f>
        <v>기타</v>
      </c>
      <c r="AG146" s="214"/>
      <c r="AH146" s="214"/>
      <c r="AI146" s="214"/>
      <c r="AJ146" s="215"/>
    </row>
    <row r="147">
      <c r="H147" s="231">
        <v>45738.0</v>
      </c>
      <c r="I147" s="217" t="s">
        <v>26</v>
      </c>
      <c r="J147" s="217" t="s">
        <v>29</v>
      </c>
      <c r="K147" s="218">
        <v>3000.0</v>
      </c>
      <c r="L147" s="211" t="s">
        <v>58</v>
      </c>
      <c r="M147" s="143"/>
      <c r="N147" s="211" t="s">
        <v>482</v>
      </c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IFERROR(__xludf.DUMMYFUNCTION("FILTER('설정시트'!$D$7:$L$20,'설정시트'!$C$7:$C$20=I147)"),"식재료비")</f>
        <v>식재료비</v>
      </c>
      <c r="AC147" s="214" t="str">
        <f>IFERROR(__xludf.DUMMYFUNCTION("""COMPUTED_VALUE"""),"회사점심")</f>
        <v>회사점심</v>
      </c>
      <c r="AD147" s="214" t="str">
        <f>IFERROR(__xludf.DUMMYFUNCTION("""COMPUTED_VALUE"""),"간식/카페")</f>
        <v>간식/카페</v>
      </c>
      <c r="AE147" s="214" t="str">
        <f>IFERROR(__xludf.DUMMYFUNCTION("""COMPUTED_VALUE"""),"외식/배달")</f>
        <v>외식/배달</v>
      </c>
      <c r="AF147" s="214" t="str">
        <f>IFERROR(__xludf.DUMMYFUNCTION("""COMPUTED_VALUE"""),"기타")</f>
        <v>기타</v>
      </c>
      <c r="AG147" s="214"/>
      <c r="AH147" s="214"/>
      <c r="AI147" s="214"/>
      <c r="AJ147" s="215"/>
    </row>
    <row r="148">
      <c r="H148" s="231">
        <v>45738.0</v>
      </c>
      <c r="I148" s="217" t="s">
        <v>22</v>
      </c>
      <c r="J148" s="217" t="s">
        <v>8</v>
      </c>
      <c r="K148" s="218">
        <v>6410.0</v>
      </c>
      <c r="L148" s="211" t="s">
        <v>58</v>
      </c>
      <c r="M148" s="143"/>
      <c r="N148" s="211" t="s">
        <v>483</v>
      </c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IFERROR(__xludf.DUMMYFUNCTION("FILTER('설정시트'!$D$7:$L$20,'설정시트'!$C$7:$C$20=I148)"),"주방/욕실")</f>
        <v>주방/욕실</v>
      </c>
      <c r="AC148" s="214" t="str">
        <f>IFERROR(__xludf.DUMMYFUNCTION("""COMPUTED_VALUE"""),"소모품")</f>
        <v>소모품</v>
      </c>
      <c r="AD148" s="214" t="str">
        <f>IFERROR(__xludf.DUMMYFUNCTION("""COMPUTED_VALUE"""),"기타")</f>
        <v>기타</v>
      </c>
      <c r="AE148" s="214"/>
      <c r="AF148" s="214"/>
      <c r="AG148" s="214"/>
      <c r="AH148" s="214"/>
      <c r="AI148" s="214"/>
      <c r="AJ148" s="215"/>
    </row>
    <row r="149">
      <c r="H149" s="231">
        <v>45738.0</v>
      </c>
      <c r="I149" s="217" t="s">
        <v>22</v>
      </c>
      <c r="J149" s="217" t="s">
        <v>8</v>
      </c>
      <c r="K149" s="218">
        <v>8900.0</v>
      </c>
      <c r="L149" s="211" t="s">
        <v>58</v>
      </c>
      <c r="M149" s="143"/>
      <c r="N149" s="211" t="s">
        <v>483</v>
      </c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IFERROR(__xludf.DUMMYFUNCTION("FILTER('설정시트'!$D$7:$L$20,'설정시트'!$C$7:$C$20=I149)"),"주방/욕실")</f>
        <v>주방/욕실</v>
      </c>
      <c r="AC149" s="214" t="str">
        <f>IFERROR(__xludf.DUMMYFUNCTION("""COMPUTED_VALUE"""),"소모품")</f>
        <v>소모품</v>
      </c>
      <c r="AD149" s="214" t="str">
        <f>IFERROR(__xludf.DUMMYFUNCTION("""COMPUTED_VALUE"""),"기타")</f>
        <v>기타</v>
      </c>
      <c r="AE149" s="214"/>
      <c r="AF149" s="214"/>
      <c r="AG149" s="214"/>
      <c r="AH149" s="214"/>
      <c r="AI149" s="214"/>
      <c r="AJ149" s="215"/>
    </row>
    <row r="150">
      <c r="H150" s="231">
        <v>45738.0</v>
      </c>
      <c r="I150" s="217" t="s">
        <v>22</v>
      </c>
      <c r="J150" s="217" t="s">
        <v>24</v>
      </c>
      <c r="K150" s="218">
        <v>11920.0</v>
      </c>
      <c r="L150" s="211" t="s">
        <v>58</v>
      </c>
      <c r="M150" s="143"/>
      <c r="N150" s="211" t="s">
        <v>484</v>
      </c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IFERROR(__xludf.DUMMYFUNCTION("FILTER('설정시트'!$D$7:$L$20,'설정시트'!$C$7:$C$20=I150)"),"주방/욕실")</f>
        <v>주방/욕실</v>
      </c>
      <c r="AC150" s="214" t="str">
        <f>IFERROR(__xludf.DUMMYFUNCTION("""COMPUTED_VALUE"""),"소모품")</f>
        <v>소모품</v>
      </c>
      <c r="AD150" s="214" t="str">
        <f>IFERROR(__xludf.DUMMYFUNCTION("""COMPUTED_VALUE"""),"기타")</f>
        <v>기타</v>
      </c>
      <c r="AE150" s="214"/>
      <c r="AF150" s="214"/>
      <c r="AG150" s="214"/>
      <c r="AH150" s="214"/>
      <c r="AI150" s="214"/>
      <c r="AJ150" s="215"/>
    </row>
    <row r="151">
      <c r="H151" s="231">
        <v>45739.0</v>
      </c>
      <c r="I151" s="217" t="s">
        <v>25</v>
      </c>
      <c r="J151" s="217" t="s">
        <v>24</v>
      </c>
      <c r="K151" s="218">
        <v>4900.0</v>
      </c>
      <c r="L151" s="211" t="s">
        <v>64</v>
      </c>
      <c r="M151" s="143"/>
      <c r="N151" s="211" t="s">
        <v>485</v>
      </c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IFERROR(__xludf.DUMMYFUNCTION("FILTER('설정시트'!$D$7:$L$20,'설정시트'!$C$7:$C$20=I151)"),"주방/욕실")</f>
        <v>주방/욕실</v>
      </c>
      <c r="AC151" s="214" t="str">
        <f>IFERROR(__xludf.DUMMYFUNCTION("""COMPUTED_VALUE"""),"소모품")</f>
        <v>소모품</v>
      </c>
      <c r="AD151" s="214" t="str">
        <f>IFERROR(__xludf.DUMMYFUNCTION("""COMPUTED_VALUE"""),"기타")</f>
        <v>기타</v>
      </c>
      <c r="AE151" s="214"/>
      <c r="AF151" s="214"/>
      <c r="AG151" s="214"/>
      <c r="AH151" s="214"/>
      <c r="AI151" s="214"/>
      <c r="AJ151" s="215"/>
    </row>
    <row r="152">
      <c r="H152" s="231">
        <v>45739.0</v>
      </c>
      <c r="I152" s="217" t="s">
        <v>26</v>
      </c>
      <c r="J152" s="217" t="s">
        <v>30</v>
      </c>
      <c r="K152" s="218">
        <v>8700.0</v>
      </c>
      <c r="L152" s="211" t="s">
        <v>58</v>
      </c>
      <c r="M152" s="143"/>
      <c r="N152" s="211" t="s">
        <v>486</v>
      </c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IFERROR(__xludf.DUMMYFUNCTION("FILTER('설정시트'!$D$7:$L$20,'설정시트'!$C$7:$C$20=I152)"),"식재료비")</f>
        <v>식재료비</v>
      </c>
      <c r="AC152" s="214" t="str">
        <f>IFERROR(__xludf.DUMMYFUNCTION("""COMPUTED_VALUE"""),"회사점심")</f>
        <v>회사점심</v>
      </c>
      <c r="AD152" s="214" t="str">
        <f>IFERROR(__xludf.DUMMYFUNCTION("""COMPUTED_VALUE"""),"간식/카페")</f>
        <v>간식/카페</v>
      </c>
      <c r="AE152" s="214" t="str">
        <f>IFERROR(__xludf.DUMMYFUNCTION("""COMPUTED_VALUE"""),"외식/배달")</f>
        <v>외식/배달</v>
      </c>
      <c r="AF152" s="214" t="str">
        <f>IFERROR(__xludf.DUMMYFUNCTION("""COMPUTED_VALUE"""),"기타")</f>
        <v>기타</v>
      </c>
      <c r="AG152" s="214"/>
      <c r="AH152" s="214"/>
      <c r="AI152" s="214"/>
      <c r="AJ152" s="215"/>
    </row>
    <row r="153">
      <c r="H153" s="231">
        <v>45739.0</v>
      </c>
      <c r="I153" s="217" t="s">
        <v>32</v>
      </c>
      <c r="J153" s="217" t="s">
        <v>33</v>
      </c>
      <c r="K153" s="218">
        <v>50000.0</v>
      </c>
      <c r="L153" s="211" t="s">
        <v>58</v>
      </c>
      <c r="M153" s="143"/>
      <c r="N153" s="211" t="s">
        <v>487</v>
      </c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IFERROR(__xludf.DUMMYFUNCTION("FILTER('설정시트'!$D$7:$L$20,'설정시트'!$C$7:$C$20=I153)"),"의류/잡화")</f>
        <v>의류/잡화</v>
      </c>
      <c r="AC153" s="214" t="str">
        <f>IFERROR(__xludf.DUMMYFUNCTION("""COMPUTED_VALUE"""),"OTT")</f>
        <v>OTT</v>
      </c>
      <c r="AD153" s="214" t="str">
        <f>IFERROR(__xludf.DUMMYFUNCTION("""COMPUTED_VALUE"""),"문화생활")</f>
        <v>문화생활</v>
      </c>
      <c r="AE153" s="214" t="str">
        <f>IFERROR(__xludf.DUMMYFUNCTION("""COMPUTED_VALUE"""),"자기계발")</f>
        <v>자기계발</v>
      </c>
      <c r="AF153" s="214" t="str">
        <f>IFERROR(__xludf.DUMMYFUNCTION("""COMPUTED_VALUE"""),"미용")</f>
        <v>미용</v>
      </c>
      <c r="AG153" s="214"/>
      <c r="AH153" s="214" t="str">
        <f>IFERROR(__xludf.DUMMYFUNCTION("""COMPUTED_VALUE"""),"기타")</f>
        <v>기타</v>
      </c>
      <c r="AI153" s="214"/>
      <c r="AJ153" s="215"/>
    </row>
    <row r="154">
      <c r="H154" s="231">
        <v>45739.0</v>
      </c>
      <c r="I154" s="217" t="s">
        <v>26</v>
      </c>
      <c r="J154" s="217" t="s">
        <v>27</v>
      </c>
      <c r="K154" s="218">
        <v>9800.0</v>
      </c>
      <c r="L154" s="211" t="s">
        <v>58</v>
      </c>
      <c r="M154" s="143"/>
      <c r="N154" s="211" t="s">
        <v>488</v>
      </c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IFERROR(__xludf.DUMMYFUNCTION("FILTER('설정시트'!$D$7:$L$20,'설정시트'!$C$7:$C$20=I154)"),"식재료비")</f>
        <v>식재료비</v>
      </c>
      <c r="AC154" s="214" t="str">
        <f>IFERROR(__xludf.DUMMYFUNCTION("""COMPUTED_VALUE"""),"회사점심")</f>
        <v>회사점심</v>
      </c>
      <c r="AD154" s="214" t="str">
        <f>IFERROR(__xludf.DUMMYFUNCTION("""COMPUTED_VALUE"""),"간식/카페")</f>
        <v>간식/카페</v>
      </c>
      <c r="AE154" s="214" t="str">
        <f>IFERROR(__xludf.DUMMYFUNCTION("""COMPUTED_VALUE"""),"외식/배달")</f>
        <v>외식/배달</v>
      </c>
      <c r="AF154" s="214" t="str">
        <f>IFERROR(__xludf.DUMMYFUNCTION("""COMPUTED_VALUE"""),"기타")</f>
        <v>기타</v>
      </c>
      <c r="AG154" s="214"/>
      <c r="AH154" s="214"/>
      <c r="AI154" s="214"/>
      <c r="AJ154" s="215"/>
    </row>
    <row r="155">
      <c r="H155" s="231">
        <v>45740.0</v>
      </c>
      <c r="I155" s="217" t="s">
        <v>3</v>
      </c>
      <c r="J155" s="217" t="s">
        <v>8</v>
      </c>
      <c r="K155" s="218">
        <v>150200.0</v>
      </c>
      <c r="L155" s="213"/>
      <c r="M155" s="143"/>
      <c r="N155" s="211" t="s">
        <v>294</v>
      </c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IFERROR(__xludf.DUMMYFUNCTION("FILTER('설정시트'!$D$7:$L$20,'설정시트'!$C$7:$C$20=I155)"),"🍪 월급")</f>
        <v>🍪 월급</v>
      </c>
      <c r="AC155" s="214" t="str">
        <f>IFERROR(__xludf.DUMMYFUNCTION("""COMPUTED_VALUE"""),"🍪 부수입")</f>
        <v>🍪 부수입</v>
      </c>
      <c r="AD155" s="214" t="str">
        <f>IFERROR(__xludf.DUMMYFUNCTION("""COMPUTED_VALUE"""),"🐻 월급")</f>
        <v>🐻 월급</v>
      </c>
      <c r="AE155" s="214" t="str">
        <f>IFERROR(__xludf.DUMMYFUNCTION("""COMPUTED_VALUE"""),"🐻 부수입")</f>
        <v>🐻 부수입</v>
      </c>
      <c r="AF155" s="214" t="str">
        <f>IFERROR(__xludf.DUMMYFUNCTION("""COMPUTED_VALUE"""),"기타")</f>
        <v>기타</v>
      </c>
      <c r="AG155" s="214"/>
      <c r="AH155" s="214"/>
      <c r="AI155" s="214"/>
      <c r="AJ155" s="215"/>
    </row>
    <row r="156">
      <c r="H156" s="231">
        <v>45740.0</v>
      </c>
      <c r="I156" s="217" t="s">
        <v>14</v>
      </c>
      <c r="J156" s="217" t="s">
        <v>17</v>
      </c>
      <c r="K156" s="218">
        <v>145511.0</v>
      </c>
      <c r="L156" s="211" t="s">
        <v>55</v>
      </c>
      <c r="M156" s="143"/>
      <c r="N156" s="211" t="s">
        <v>489</v>
      </c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IFERROR(__xludf.DUMMYFUNCTION("FILTER('설정시트'!$D$7:$L$20,'설정시트'!$C$7:$C$20=I156)"),"관리비")</f>
        <v>관리비</v>
      </c>
      <c r="AC156" s="214" t="str">
        <f>IFERROR(__xludf.DUMMYFUNCTION("""COMPUTED_VALUE"""),"월세")</f>
        <v>월세</v>
      </c>
      <c r="AD156" s="214" t="str">
        <f>IFERROR(__xludf.DUMMYFUNCTION("""COMPUTED_VALUE"""),"대출이자")</f>
        <v>대출이자</v>
      </c>
      <c r="AE156" s="214" t="str">
        <f>IFERROR(__xludf.DUMMYFUNCTION("""COMPUTED_VALUE"""),"통신비")</f>
        <v>통신비</v>
      </c>
      <c r="AF156" s="214" t="str">
        <f>IFERROR(__xludf.DUMMYFUNCTION("""COMPUTED_VALUE"""),"보험료")</f>
        <v>보험료</v>
      </c>
      <c r="AG156" s="214"/>
      <c r="AH156" s="214" t="str">
        <f>IFERROR(__xludf.DUMMYFUNCTION("""COMPUTED_VALUE"""),"곗돈")</f>
        <v>곗돈</v>
      </c>
      <c r="AI156" s="214"/>
      <c r="AJ156" s="215"/>
    </row>
    <row r="157">
      <c r="H157" s="231">
        <v>45740.0</v>
      </c>
      <c r="I157" s="217" t="s">
        <v>26</v>
      </c>
      <c r="J157" s="217" t="s">
        <v>28</v>
      </c>
      <c r="K157" s="218">
        <v>20800.0</v>
      </c>
      <c r="L157" s="211" t="s">
        <v>58</v>
      </c>
      <c r="M157" s="143"/>
      <c r="N157" s="211" t="s">
        <v>490</v>
      </c>
      <c r="O157" s="212"/>
      <c r="P157" s="212"/>
      <c r="Q157" s="143"/>
      <c r="R157" s="211" t="s">
        <v>491</v>
      </c>
      <c r="S157" s="212"/>
      <c r="T157" s="145"/>
      <c r="AB157" s="214" t="str">
        <f>IFERROR(__xludf.DUMMYFUNCTION("FILTER('설정시트'!$D$7:$L$20,'설정시트'!$C$7:$C$20=I157)"),"식재료비")</f>
        <v>식재료비</v>
      </c>
      <c r="AC157" s="214" t="str">
        <f>IFERROR(__xludf.DUMMYFUNCTION("""COMPUTED_VALUE"""),"회사점심")</f>
        <v>회사점심</v>
      </c>
      <c r="AD157" s="214" t="str">
        <f>IFERROR(__xludf.DUMMYFUNCTION("""COMPUTED_VALUE"""),"간식/카페")</f>
        <v>간식/카페</v>
      </c>
      <c r="AE157" s="214" t="str">
        <f>IFERROR(__xludf.DUMMYFUNCTION("""COMPUTED_VALUE"""),"외식/배달")</f>
        <v>외식/배달</v>
      </c>
      <c r="AF157" s="214" t="str">
        <f>IFERROR(__xludf.DUMMYFUNCTION("""COMPUTED_VALUE"""),"기타")</f>
        <v>기타</v>
      </c>
      <c r="AG157" s="214"/>
      <c r="AH157" s="214"/>
      <c r="AI157" s="214"/>
      <c r="AJ157" s="215"/>
    </row>
    <row r="158">
      <c r="H158" s="231">
        <v>45740.0</v>
      </c>
      <c r="I158" s="217" t="s">
        <v>26</v>
      </c>
      <c r="J158" s="217" t="s">
        <v>27</v>
      </c>
      <c r="K158" s="218">
        <v>27900.0</v>
      </c>
      <c r="L158" s="211" t="s">
        <v>58</v>
      </c>
      <c r="M158" s="143"/>
      <c r="N158" s="211" t="s">
        <v>492</v>
      </c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IFERROR(__xludf.DUMMYFUNCTION("FILTER('설정시트'!$D$7:$L$20,'설정시트'!$C$7:$C$20=I158)"),"식재료비")</f>
        <v>식재료비</v>
      </c>
      <c r="AC158" s="214" t="str">
        <f>IFERROR(__xludf.DUMMYFUNCTION("""COMPUTED_VALUE"""),"회사점심")</f>
        <v>회사점심</v>
      </c>
      <c r="AD158" s="214" t="str">
        <f>IFERROR(__xludf.DUMMYFUNCTION("""COMPUTED_VALUE"""),"간식/카페")</f>
        <v>간식/카페</v>
      </c>
      <c r="AE158" s="214" t="str">
        <f>IFERROR(__xludf.DUMMYFUNCTION("""COMPUTED_VALUE"""),"외식/배달")</f>
        <v>외식/배달</v>
      </c>
      <c r="AF158" s="214" t="str">
        <f>IFERROR(__xludf.DUMMYFUNCTION("""COMPUTED_VALUE"""),"기타")</f>
        <v>기타</v>
      </c>
      <c r="AG158" s="214"/>
      <c r="AH158" s="214"/>
      <c r="AI158" s="214"/>
      <c r="AJ158" s="215"/>
    </row>
    <row r="159">
      <c r="H159" s="231">
        <v>45740.0</v>
      </c>
      <c r="I159" s="217" t="s">
        <v>46</v>
      </c>
      <c r="J159" s="217" t="s">
        <v>8</v>
      </c>
      <c r="K159" s="220">
        <f>27900+27900</f>
        <v>55800</v>
      </c>
      <c r="L159" s="211" t="s">
        <v>58</v>
      </c>
      <c r="M159" s="143"/>
      <c r="N159" s="211" t="s">
        <v>493</v>
      </c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IFERROR(__xludf.DUMMYFUNCTION("FILTER('설정시트'!$D$7:$L$20,'설정시트'!$C$7:$C$20=I159)"),"축의/부의금")</f>
        <v>축의/부의금</v>
      </c>
      <c r="AC159" s="214" t="str">
        <f>IFERROR(__xludf.DUMMYFUNCTION("""COMPUTED_VALUE"""),"생신/생일선물")</f>
        <v>생신/생일선물</v>
      </c>
      <c r="AD159" s="214" t="str">
        <f>IFERROR(__xludf.DUMMYFUNCTION("""COMPUTED_VALUE"""),"명절/어버이날")</f>
        <v>명절/어버이날</v>
      </c>
      <c r="AE159" s="214" t="str">
        <f>IFERROR(__xludf.DUMMYFUNCTION("""COMPUTED_VALUE"""),"여행")</f>
        <v>여행</v>
      </c>
      <c r="AF159" s="214" t="str">
        <f>IFERROR(__xludf.DUMMYFUNCTION("""COMPUTED_VALUE"""),"기타")</f>
        <v>기타</v>
      </c>
      <c r="AG159" s="214" t="str">
        <f>IFERROR(__xludf.DUMMYFUNCTION("""COMPUTED_VALUE"""),"출산")</f>
        <v>출산</v>
      </c>
      <c r="AH159" s="214"/>
      <c r="AI159" s="214"/>
      <c r="AJ159" s="215"/>
    </row>
    <row r="160">
      <c r="H160" s="231">
        <v>45740.0</v>
      </c>
      <c r="I160" s="217" t="s">
        <v>39</v>
      </c>
      <c r="J160" s="217" t="s">
        <v>42</v>
      </c>
      <c r="K160" s="218">
        <v>27600.0</v>
      </c>
      <c r="L160" s="211" t="s">
        <v>58</v>
      </c>
      <c r="M160" s="143"/>
      <c r="N160" s="211" t="s">
        <v>494</v>
      </c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IFERROR(__xludf.DUMMYFUNCTION("FILTER('설정시트'!$D$7:$L$20,'설정시트'!$C$7:$C$20=I160)"),"약국")</f>
        <v>약국</v>
      </c>
      <c r="AC160" s="214" t="str">
        <f>IFERROR(__xludf.DUMMYFUNCTION("""COMPUTED_VALUE"""),"병원비")</f>
        <v>병원비</v>
      </c>
      <c r="AD160" s="214" t="str">
        <f>IFERROR(__xludf.DUMMYFUNCTION("""COMPUTED_VALUE"""),"영양제")</f>
        <v>영양제</v>
      </c>
      <c r="AE160" s="214" t="str">
        <f>IFERROR(__xludf.DUMMYFUNCTION("""COMPUTED_VALUE"""),"교통비")</f>
        <v>교통비</v>
      </c>
      <c r="AF160" s="214" t="str">
        <f>IFERROR(__xludf.DUMMYFUNCTION("""COMPUTED_VALUE"""),"주유비")</f>
        <v>주유비</v>
      </c>
      <c r="AG160" s="214"/>
      <c r="AH160" s="214" t="str">
        <f>IFERROR(__xludf.DUMMYFUNCTION("""COMPUTED_VALUE"""),"기타")</f>
        <v>기타</v>
      </c>
      <c r="AI160" s="214"/>
      <c r="AJ160" s="215"/>
    </row>
    <row r="161">
      <c r="H161" s="231">
        <v>45741.0</v>
      </c>
      <c r="I161" s="217" t="s">
        <v>21</v>
      </c>
      <c r="J161" s="217" t="s">
        <v>20</v>
      </c>
      <c r="K161" s="218">
        <v>20000.0</v>
      </c>
      <c r="L161" s="211" t="s">
        <v>62</v>
      </c>
      <c r="M161" s="143"/>
      <c r="N161" s="211" t="s">
        <v>276</v>
      </c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IFERROR(__xludf.DUMMYFUNCTION("FILTER('설정시트'!$D$7:$L$20,'설정시트'!$C$7:$C$20=I161)"),"관리비")</f>
        <v>관리비</v>
      </c>
      <c r="AC161" s="214" t="str">
        <f>IFERROR(__xludf.DUMMYFUNCTION("""COMPUTED_VALUE"""),"대출이자")</f>
        <v>대출이자</v>
      </c>
      <c r="AD161" s="214" t="str">
        <f>IFERROR(__xludf.DUMMYFUNCTION("""COMPUTED_VALUE"""),"통신비")</f>
        <v>통신비</v>
      </c>
      <c r="AE161" s="214" t="str">
        <f>IFERROR(__xludf.DUMMYFUNCTION("""COMPUTED_VALUE"""),"보험료")</f>
        <v>보험료</v>
      </c>
      <c r="AF161" s="214" t="str">
        <f>IFERROR(__xludf.DUMMYFUNCTION("""COMPUTED_VALUE"""),"곗돈")</f>
        <v>곗돈</v>
      </c>
      <c r="AG161" s="214"/>
      <c r="AH161" s="214"/>
      <c r="AI161" s="214"/>
      <c r="AJ161" s="215"/>
    </row>
    <row r="162">
      <c r="H162" s="231">
        <v>45741.0</v>
      </c>
      <c r="I162" s="217" t="s">
        <v>22</v>
      </c>
      <c r="J162" s="217" t="s">
        <v>23</v>
      </c>
      <c r="K162" s="218">
        <v>449000.0</v>
      </c>
      <c r="L162" s="211" t="s">
        <v>58</v>
      </c>
      <c r="M162" s="143"/>
      <c r="N162" s="211" t="s">
        <v>495</v>
      </c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IFERROR(__xludf.DUMMYFUNCTION("FILTER('설정시트'!$D$7:$L$20,'설정시트'!$C$7:$C$20=I162)"),"주방/욕실")</f>
        <v>주방/욕실</v>
      </c>
      <c r="AC162" s="214" t="str">
        <f>IFERROR(__xludf.DUMMYFUNCTION("""COMPUTED_VALUE"""),"소모품")</f>
        <v>소모품</v>
      </c>
      <c r="AD162" s="214" t="str">
        <f>IFERROR(__xludf.DUMMYFUNCTION("""COMPUTED_VALUE"""),"기타")</f>
        <v>기타</v>
      </c>
      <c r="AE162" s="214"/>
      <c r="AF162" s="214"/>
      <c r="AG162" s="214"/>
      <c r="AH162" s="214"/>
      <c r="AI162" s="214"/>
      <c r="AJ162" s="215"/>
    </row>
    <row r="163">
      <c r="H163" s="231">
        <v>45741.0</v>
      </c>
      <c r="I163" s="217" t="s">
        <v>21</v>
      </c>
      <c r="J163" s="217" t="s">
        <v>19</v>
      </c>
      <c r="K163" s="218">
        <v>88010.0</v>
      </c>
      <c r="L163" s="211" t="s">
        <v>62</v>
      </c>
      <c r="M163" s="143"/>
      <c r="N163" s="211" t="s">
        <v>496</v>
      </c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IFERROR(__xludf.DUMMYFUNCTION("FILTER('설정시트'!$D$7:$L$20,'설정시트'!$C$7:$C$20=I163)"),"관리비")</f>
        <v>관리비</v>
      </c>
      <c r="AC163" s="214" t="str">
        <f>IFERROR(__xludf.DUMMYFUNCTION("""COMPUTED_VALUE"""),"대출이자")</f>
        <v>대출이자</v>
      </c>
      <c r="AD163" s="214" t="str">
        <f>IFERROR(__xludf.DUMMYFUNCTION("""COMPUTED_VALUE"""),"통신비")</f>
        <v>통신비</v>
      </c>
      <c r="AE163" s="214" t="str">
        <f>IFERROR(__xludf.DUMMYFUNCTION("""COMPUTED_VALUE"""),"보험료")</f>
        <v>보험료</v>
      </c>
      <c r="AF163" s="214" t="str">
        <f>IFERROR(__xludf.DUMMYFUNCTION("""COMPUTED_VALUE"""),"곗돈")</f>
        <v>곗돈</v>
      </c>
      <c r="AG163" s="214"/>
      <c r="AH163" s="214"/>
      <c r="AI163" s="214"/>
      <c r="AJ163" s="215"/>
    </row>
    <row r="164">
      <c r="H164" s="231">
        <v>45742.0</v>
      </c>
      <c r="I164" s="217" t="s">
        <v>26</v>
      </c>
      <c r="J164" s="217" t="s">
        <v>28</v>
      </c>
      <c r="K164" s="218">
        <v>19800.0</v>
      </c>
      <c r="L164" s="211" t="s">
        <v>58</v>
      </c>
      <c r="M164" s="143"/>
      <c r="N164" s="211" t="s">
        <v>497</v>
      </c>
      <c r="O164" s="212"/>
      <c r="P164" s="212"/>
      <c r="Q164" s="143"/>
      <c r="R164" s="211" t="s">
        <v>491</v>
      </c>
      <c r="S164" s="212"/>
      <c r="T164" s="145"/>
      <c r="AB164" s="214" t="str">
        <f>IFERROR(__xludf.DUMMYFUNCTION("FILTER('설정시트'!$D$7:$L$20,'설정시트'!$C$7:$C$20=I164)"),"식재료비")</f>
        <v>식재료비</v>
      </c>
      <c r="AC164" s="214" t="str">
        <f>IFERROR(__xludf.DUMMYFUNCTION("""COMPUTED_VALUE"""),"회사점심")</f>
        <v>회사점심</v>
      </c>
      <c r="AD164" s="214" t="str">
        <f>IFERROR(__xludf.DUMMYFUNCTION("""COMPUTED_VALUE"""),"간식/카페")</f>
        <v>간식/카페</v>
      </c>
      <c r="AE164" s="214" t="str">
        <f>IFERROR(__xludf.DUMMYFUNCTION("""COMPUTED_VALUE"""),"외식/배달")</f>
        <v>외식/배달</v>
      </c>
      <c r="AF164" s="214" t="str">
        <f>IFERROR(__xludf.DUMMYFUNCTION("""COMPUTED_VALUE"""),"기타")</f>
        <v>기타</v>
      </c>
      <c r="AG164" s="214"/>
      <c r="AH164" s="214"/>
      <c r="AI164" s="214"/>
      <c r="AJ164" s="215"/>
    </row>
    <row r="165">
      <c r="H165" s="231">
        <v>45743.0</v>
      </c>
      <c r="I165" s="217" t="s">
        <v>3</v>
      </c>
      <c r="J165" s="217" t="s">
        <v>8</v>
      </c>
      <c r="K165" s="218">
        <v>1.0E7</v>
      </c>
      <c r="L165" s="211"/>
      <c r="M165" s="143"/>
      <c r="N165" s="211" t="s">
        <v>119</v>
      </c>
      <c r="O165" s="212"/>
      <c r="P165" s="212"/>
      <c r="Q165" s="143"/>
      <c r="R165" s="211"/>
      <c r="S165" s="212"/>
      <c r="T165" s="145"/>
      <c r="AB165" s="214" t="str">
        <f>IFERROR(__xludf.DUMMYFUNCTION("FILTER('설정시트'!$D$7:$L$20,'설정시트'!$C$7:$C$20=I165)"),"🍪 월급")</f>
        <v>🍪 월급</v>
      </c>
      <c r="AC165" s="214" t="str">
        <f>IFERROR(__xludf.DUMMYFUNCTION("""COMPUTED_VALUE"""),"🍪 부수입")</f>
        <v>🍪 부수입</v>
      </c>
      <c r="AD165" s="214" t="str">
        <f>IFERROR(__xludf.DUMMYFUNCTION("""COMPUTED_VALUE"""),"🐻 월급")</f>
        <v>🐻 월급</v>
      </c>
      <c r="AE165" s="214" t="str">
        <f>IFERROR(__xludf.DUMMYFUNCTION("""COMPUTED_VALUE"""),"🐻 부수입")</f>
        <v>🐻 부수입</v>
      </c>
      <c r="AF165" s="214" t="str">
        <f>IFERROR(__xludf.DUMMYFUNCTION("""COMPUTED_VALUE"""),"기타")</f>
        <v>기타</v>
      </c>
      <c r="AG165" s="214"/>
      <c r="AH165" s="214"/>
      <c r="AI165" s="214"/>
      <c r="AJ165" s="215"/>
    </row>
    <row r="166">
      <c r="H166" s="231">
        <v>45743.0</v>
      </c>
      <c r="I166" s="217" t="s">
        <v>22</v>
      </c>
      <c r="J166" s="217" t="s">
        <v>24</v>
      </c>
      <c r="K166" s="218">
        <v>12500.0</v>
      </c>
      <c r="L166" s="211" t="s">
        <v>58</v>
      </c>
      <c r="M166" s="143"/>
      <c r="N166" s="211" t="s">
        <v>498</v>
      </c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IFERROR(__xludf.DUMMYFUNCTION("FILTER('설정시트'!$D$7:$L$20,'설정시트'!$C$7:$C$20=I166)"),"주방/욕실")</f>
        <v>주방/욕실</v>
      </c>
      <c r="AC166" s="214" t="str">
        <f>IFERROR(__xludf.DUMMYFUNCTION("""COMPUTED_VALUE"""),"소모품")</f>
        <v>소모품</v>
      </c>
      <c r="AD166" s="214" t="str">
        <f>IFERROR(__xludf.DUMMYFUNCTION("""COMPUTED_VALUE"""),"기타")</f>
        <v>기타</v>
      </c>
      <c r="AE166" s="214"/>
      <c r="AF166" s="214"/>
      <c r="AG166" s="214"/>
      <c r="AH166" s="214"/>
      <c r="AI166" s="214"/>
      <c r="AJ166" s="215"/>
    </row>
    <row r="167">
      <c r="H167" s="231">
        <v>45744.0</v>
      </c>
      <c r="I167" s="217" t="s">
        <v>26</v>
      </c>
      <c r="J167" s="217" t="s">
        <v>27</v>
      </c>
      <c r="K167" s="218">
        <v>63000.0</v>
      </c>
      <c r="L167" s="211" t="s">
        <v>58</v>
      </c>
      <c r="M167" s="143"/>
      <c r="N167" s="211" t="s">
        <v>499</v>
      </c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IFERROR(__xludf.DUMMYFUNCTION("FILTER('설정시트'!$D$7:$L$20,'설정시트'!$C$7:$C$20=I167)"),"식재료비")</f>
        <v>식재료비</v>
      </c>
      <c r="AC167" s="214" t="str">
        <f>IFERROR(__xludf.DUMMYFUNCTION("""COMPUTED_VALUE"""),"회사점심")</f>
        <v>회사점심</v>
      </c>
      <c r="AD167" s="214" t="str">
        <f>IFERROR(__xludf.DUMMYFUNCTION("""COMPUTED_VALUE"""),"간식/카페")</f>
        <v>간식/카페</v>
      </c>
      <c r="AE167" s="214" t="str">
        <f>IFERROR(__xludf.DUMMYFUNCTION("""COMPUTED_VALUE"""),"외식/배달")</f>
        <v>외식/배달</v>
      </c>
      <c r="AF167" s="214" t="str">
        <f>IFERROR(__xludf.DUMMYFUNCTION("""COMPUTED_VALUE"""),"기타")</f>
        <v>기타</v>
      </c>
      <c r="AG167" s="214"/>
      <c r="AH167" s="214"/>
      <c r="AI167" s="214"/>
      <c r="AJ167" s="215"/>
    </row>
    <row r="168">
      <c r="H168" s="231">
        <v>45744.0</v>
      </c>
      <c r="I168" s="217" t="s">
        <v>31</v>
      </c>
      <c r="J168" s="217" t="s">
        <v>30</v>
      </c>
      <c r="K168" s="218">
        <v>23000.0</v>
      </c>
      <c r="L168" s="211" t="s">
        <v>61</v>
      </c>
      <c r="M168" s="143"/>
      <c r="N168" s="211" t="s">
        <v>292</v>
      </c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IFERROR(__xludf.DUMMYFUNCTION("FILTER('설정시트'!$D$7:$L$20,'설정시트'!$C$7:$C$20=I168)"),"식재료비")</f>
        <v>식재료비</v>
      </c>
      <c r="AC168" s="214" t="str">
        <f>IFERROR(__xludf.DUMMYFUNCTION("""COMPUTED_VALUE"""),"회사점심")</f>
        <v>회사점심</v>
      </c>
      <c r="AD168" s="214" t="str">
        <f>IFERROR(__xludf.DUMMYFUNCTION("""COMPUTED_VALUE"""),"간식/카페")</f>
        <v>간식/카페</v>
      </c>
      <c r="AE168" s="214" t="str">
        <f>IFERROR(__xludf.DUMMYFUNCTION("""COMPUTED_VALUE"""),"외식/배달")</f>
        <v>외식/배달</v>
      </c>
      <c r="AF168" s="214" t="str">
        <f>IFERROR(__xludf.DUMMYFUNCTION("""COMPUTED_VALUE"""),"기타")</f>
        <v>기타</v>
      </c>
      <c r="AG168" s="214"/>
      <c r="AH168" s="214"/>
      <c r="AI168" s="214"/>
      <c r="AJ168" s="215"/>
    </row>
    <row r="169">
      <c r="H169" s="231">
        <v>45744.0</v>
      </c>
      <c r="I169" s="217" t="s">
        <v>25</v>
      </c>
      <c r="J169" s="217" t="s">
        <v>24</v>
      </c>
      <c r="K169" s="218">
        <v>1200.0</v>
      </c>
      <c r="L169" s="211" t="s">
        <v>61</v>
      </c>
      <c r="M169" s="143"/>
      <c r="N169" s="211" t="s">
        <v>229</v>
      </c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IFERROR(__xludf.DUMMYFUNCTION("FILTER('설정시트'!$D$7:$L$20,'설정시트'!$C$7:$C$20=I169)"),"주방/욕실")</f>
        <v>주방/욕실</v>
      </c>
      <c r="AC169" s="214" t="str">
        <f>IFERROR(__xludf.DUMMYFUNCTION("""COMPUTED_VALUE"""),"소모품")</f>
        <v>소모품</v>
      </c>
      <c r="AD169" s="214" t="str">
        <f>IFERROR(__xludf.DUMMYFUNCTION("""COMPUTED_VALUE"""),"기타")</f>
        <v>기타</v>
      </c>
      <c r="AE169" s="214"/>
      <c r="AF169" s="214"/>
      <c r="AG169" s="214"/>
      <c r="AH169" s="214"/>
      <c r="AI169" s="214"/>
      <c r="AJ169" s="215"/>
    </row>
    <row r="170">
      <c r="H170" s="231">
        <v>45744.0</v>
      </c>
      <c r="I170" s="217" t="s">
        <v>31</v>
      </c>
      <c r="J170" s="217" t="s">
        <v>27</v>
      </c>
      <c r="K170" s="218">
        <v>6560.0</v>
      </c>
      <c r="L170" s="211" t="s">
        <v>61</v>
      </c>
      <c r="M170" s="143"/>
      <c r="N170" s="211" t="s">
        <v>500</v>
      </c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IFERROR(__xludf.DUMMYFUNCTION("FILTER('설정시트'!$D$7:$L$20,'설정시트'!$C$7:$C$20=I170)"),"식재료비")</f>
        <v>식재료비</v>
      </c>
      <c r="AC170" s="214" t="str">
        <f>IFERROR(__xludf.DUMMYFUNCTION("""COMPUTED_VALUE"""),"회사점심")</f>
        <v>회사점심</v>
      </c>
      <c r="AD170" s="214" t="str">
        <f>IFERROR(__xludf.DUMMYFUNCTION("""COMPUTED_VALUE"""),"간식/카페")</f>
        <v>간식/카페</v>
      </c>
      <c r="AE170" s="214" t="str">
        <f>IFERROR(__xludf.DUMMYFUNCTION("""COMPUTED_VALUE"""),"외식/배달")</f>
        <v>외식/배달</v>
      </c>
      <c r="AF170" s="214" t="str">
        <f>IFERROR(__xludf.DUMMYFUNCTION("""COMPUTED_VALUE"""),"기타")</f>
        <v>기타</v>
      </c>
      <c r="AG170" s="214"/>
      <c r="AH170" s="214"/>
      <c r="AI170" s="214"/>
      <c r="AJ170" s="215"/>
    </row>
    <row r="171">
      <c r="H171" s="231">
        <v>45744.0</v>
      </c>
      <c r="I171" s="217" t="s">
        <v>26</v>
      </c>
      <c r="J171" s="217" t="s">
        <v>27</v>
      </c>
      <c r="K171" s="218">
        <v>68250.0</v>
      </c>
      <c r="L171" s="211" t="s">
        <v>58</v>
      </c>
      <c r="M171" s="143"/>
      <c r="N171" s="211" t="s">
        <v>501</v>
      </c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IFERROR(__xludf.DUMMYFUNCTION("FILTER('설정시트'!$D$7:$L$20,'설정시트'!$C$7:$C$20=I171)"),"식재료비")</f>
        <v>식재료비</v>
      </c>
      <c r="AC171" s="214" t="str">
        <f>IFERROR(__xludf.DUMMYFUNCTION("""COMPUTED_VALUE"""),"회사점심")</f>
        <v>회사점심</v>
      </c>
      <c r="AD171" s="214" t="str">
        <f>IFERROR(__xludf.DUMMYFUNCTION("""COMPUTED_VALUE"""),"간식/카페")</f>
        <v>간식/카페</v>
      </c>
      <c r="AE171" s="214" t="str">
        <f>IFERROR(__xludf.DUMMYFUNCTION("""COMPUTED_VALUE"""),"외식/배달")</f>
        <v>외식/배달</v>
      </c>
      <c r="AF171" s="214" t="str">
        <f>IFERROR(__xludf.DUMMYFUNCTION("""COMPUTED_VALUE"""),"기타")</f>
        <v>기타</v>
      </c>
      <c r="AG171" s="214"/>
      <c r="AH171" s="214"/>
      <c r="AI171" s="214"/>
      <c r="AJ171" s="215"/>
    </row>
    <row r="172">
      <c r="H172" s="231">
        <v>45745.0</v>
      </c>
      <c r="I172" s="217" t="s">
        <v>31</v>
      </c>
      <c r="J172" s="217" t="s">
        <v>29</v>
      </c>
      <c r="K172" s="218">
        <v>13500.0</v>
      </c>
      <c r="L172" s="211" t="s">
        <v>61</v>
      </c>
      <c r="M172" s="143"/>
      <c r="N172" s="211" t="s">
        <v>502</v>
      </c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IFERROR(__xludf.DUMMYFUNCTION("FILTER('설정시트'!$D$7:$L$20,'설정시트'!$C$7:$C$20=I172)"),"식재료비")</f>
        <v>식재료비</v>
      </c>
      <c r="AC172" s="214" t="str">
        <f>IFERROR(__xludf.DUMMYFUNCTION("""COMPUTED_VALUE"""),"회사점심")</f>
        <v>회사점심</v>
      </c>
      <c r="AD172" s="214" t="str">
        <f>IFERROR(__xludf.DUMMYFUNCTION("""COMPUTED_VALUE"""),"간식/카페")</f>
        <v>간식/카페</v>
      </c>
      <c r="AE172" s="214" t="str">
        <f>IFERROR(__xludf.DUMMYFUNCTION("""COMPUTED_VALUE"""),"외식/배달")</f>
        <v>외식/배달</v>
      </c>
      <c r="AF172" s="214" t="str">
        <f>IFERROR(__xludf.DUMMYFUNCTION("""COMPUTED_VALUE"""),"기타")</f>
        <v>기타</v>
      </c>
      <c r="AG172" s="214"/>
      <c r="AH172" s="214"/>
      <c r="AI172" s="214"/>
      <c r="AJ172" s="215"/>
    </row>
    <row r="173">
      <c r="H173" s="231">
        <v>45747.0</v>
      </c>
      <c r="I173" s="217" t="s">
        <v>26</v>
      </c>
      <c r="J173" s="217" t="s">
        <v>30</v>
      </c>
      <c r="K173" s="218">
        <v>3700.0</v>
      </c>
      <c r="L173" s="211" t="s">
        <v>57</v>
      </c>
      <c r="M173" s="143"/>
      <c r="N173" s="211" t="s">
        <v>503</v>
      </c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IFERROR(__xludf.DUMMYFUNCTION("FILTER('설정시트'!$D$7:$L$20,'설정시트'!$C$7:$C$20=I173)"),"식재료비")</f>
        <v>식재료비</v>
      </c>
      <c r="AC173" s="214" t="str">
        <f>IFERROR(__xludf.DUMMYFUNCTION("""COMPUTED_VALUE"""),"회사점심")</f>
        <v>회사점심</v>
      </c>
      <c r="AD173" s="214" t="str">
        <f>IFERROR(__xludf.DUMMYFUNCTION("""COMPUTED_VALUE"""),"간식/카페")</f>
        <v>간식/카페</v>
      </c>
      <c r="AE173" s="214" t="str">
        <f>IFERROR(__xludf.DUMMYFUNCTION("""COMPUTED_VALUE"""),"외식/배달")</f>
        <v>외식/배달</v>
      </c>
      <c r="AF173" s="214" t="str">
        <f>IFERROR(__xludf.DUMMYFUNCTION("""COMPUTED_VALUE"""),"기타")</f>
        <v>기타</v>
      </c>
      <c r="AG173" s="214"/>
      <c r="AH173" s="214"/>
      <c r="AI173" s="214"/>
      <c r="AJ173" s="215"/>
    </row>
    <row r="174">
      <c r="H174" s="231">
        <v>45747.0</v>
      </c>
      <c r="I174" s="217" t="s">
        <v>32</v>
      </c>
      <c r="J174" s="217" t="s">
        <v>34</v>
      </c>
      <c r="K174" s="218">
        <v>7890.0</v>
      </c>
      <c r="L174" s="211" t="s">
        <v>58</v>
      </c>
      <c r="M174" s="143"/>
      <c r="N174" s="211" t="s">
        <v>504</v>
      </c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IFERROR(__xludf.DUMMYFUNCTION("FILTER('설정시트'!$D$7:$L$20,'설정시트'!$C$7:$C$20=I174)"),"의류/잡화")</f>
        <v>의류/잡화</v>
      </c>
      <c r="AC174" s="214" t="str">
        <f>IFERROR(__xludf.DUMMYFUNCTION("""COMPUTED_VALUE"""),"OTT")</f>
        <v>OTT</v>
      </c>
      <c r="AD174" s="214" t="str">
        <f>IFERROR(__xludf.DUMMYFUNCTION("""COMPUTED_VALUE"""),"문화생활")</f>
        <v>문화생활</v>
      </c>
      <c r="AE174" s="214" t="str">
        <f>IFERROR(__xludf.DUMMYFUNCTION("""COMPUTED_VALUE"""),"자기계발")</f>
        <v>자기계발</v>
      </c>
      <c r="AF174" s="214" t="str">
        <f>IFERROR(__xludf.DUMMYFUNCTION("""COMPUTED_VALUE"""),"미용")</f>
        <v>미용</v>
      </c>
      <c r="AG174" s="214"/>
      <c r="AH174" s="214" t="str">
        <f>IFERROR(__xludf.DUMMYFUNCTION("""COMPUTED_VALUE"""),"기타")</f>
        <v>기타</v>
      </c>
      <c r="AI174" s="214"/>
      <c r="AJ174" s="215"/>
    </row>
    <row r="175">
      <c r="H175" s="231">
        <v>45747.0</v>
      </c>
      <c r="I175" s="217" t="s">
        <v>26</v>
      </c>
      <c r="J175" s="217" t="s">
        <v>28</v>
      </c>
      <c r="K175" s="218">
        <v>22800.0</v>
      </c>
      <c r="L175" s="211" t="s">
        <v>58</v>
      </c>
      <c r="M175" s="143"/>
      <c r="N175" s="211" t="s">
        <v>505</v>
      </c>
      <c r="O175" s="212"/>
      <c r="P175" s="212"/>
      <c r="Q175" s="143"/>
      <c r="R175" s="211" t="s">
        <v>506</v>
      </c>
      <c r="S175" s="212"/>
      <c r="T175" s="145"/>
      <c r="AB175" s="214" t="str">
        <f>IFERROR(__xludf.DUMMYFUNCTION("FILTER('설정시트'!$D$7:$L$20,'설정시트'!$C$7:$C$20=I175)"),"식재료비")</f>
        <v>식재료비</v>
      </c>
      <c r="AC175" s="214" t="str">
        <f>IFERROR(__xludf.DUMMYFUNCTION("""COMPUTED_VALUE"""),"회사점심")</f>
        <v>회사점심</v>
      </c>
      <c r="AD175" s="214" t="str">
        <f>IFERROR(__xludf.DUMMYFUNCTION("""COMPUTED_VALUE"""),"간식/카페")</f>
        <v>간식/카페</v>
      </c>
      <c r="AE175" s="214" t="str">
        <f>IFERROR(__xludf.DUMMYFUNCTION("""COMPUTED_VALUE"""),"외식/배달")</f>
        <v>외식/배달</v>
      </c>
      <c r="AF175" s="214" t="str">
        <f>IFERROR(__xludf.DUMMYFUNCTION("""COMPUTED_VALUE"""),"기타")</f>
        <v>기타</v>
      </c>
      <c r="AG175" s="214"/>
      <c r="AH175" s="214"/>
      <c r="AI175" s="214"/>
      <c r="AJ175" s="215"/>
    </row>
    <row r="176">
      <c r="H176" s="231">
        <v>45747.0</v>
      </c>
      <c r="I176" s="217" t="s">
        <v>46</v>
      </c>
      <c r="J176" s="217" t="s">
        <v>47</v>
      </c>
      <c r="K176" s="218">
        <v>50000.0</v>
      </c>
      <c r="L176" s="211" t="s">
        <v>55</v>
      </c>
      <c r="M176" s="143"/>
      <c r="N176" s="211" t="s">
        <v>507</v>
      </c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IFERROR(__xludf.DUMMYFUNCTION("FILTER('설정시트'!$D$7:$L$20,'설정시트'!$C$7:$C$20=I176)"),"축의/부의금")</f>
        <v>축의/부의금</v>
      </c>
      <c r="AC176" s="214" t="str">
        <f>IFERROR(__xludf.DUMMYFUNCTION("""COMPUTED_VALUE"""),"생신/생일선물")</f>
        <v>생신/생일선물</v>
      </c>
      <c r="AD176" s="214" t="str">
        <f>IFERROR(__xludf.DUMMYFUNCTION("""COMPUTED_VALUE"""),"명절/어버이날")</f>
        <v>명절/어버이날</v>
      </c>
      <c r="AE176" s="214" t="str">
        <f>IFERROR(__xludf.DUMMYFUNCTION("""COMPUTED_VALUE"""),"여행")</f>
        <v>여행</v>
      </c>
      <c r="AF176" s="214" t="str">
        <f>IFERROR(__xludf.DUMMYFUNCTION("""COMPUTED_VALUE"""),"기타")</f>
        <v>기타</v>
      </c>
      <c r="AG176" s="214" t="str">
        <f>IFERROR(__xludf.DUMMYFUNCTION("""COMPUTED_VALUE"""),"출산")</f>
        <v>출산</v>
      </c>
      <c r="AH176" s="214"/>
      <c r="AI176" s="214"/>
      <c r="AJ176" s="215"/>
    </row>
    <row r="177">
      <c r="H177" s="208"/>
      <c r="I177" s="217"/>
      <c r="J177" s="217"/>
      <c r="K177" s="218"/>
      <c r="L177" s="211"/>
      <c r="M177" s="143"/>
      <c r="N177" s="211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08"/>
      <c r="I178" s="217"/>
      <c r="J178" s="217"/>
      <c r="K178" s="218"/>
      <c r="L178" s="211"/>
      <c r="M178" s="143"/>
      <c r="N178" s="211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08"/>
      <c r="I179" s="217"/>
      <c r="J179" s="217"/>
      <c r="K179" s="218"/>
      <c r="L179" s="211"/>
      <c r="M179" s="143"/>
      <c r="N179" s="211"/>
      <c r="O179" s="212"/>
      <c r="P179" s="212"/>
      <c r="Q179" s="143"/>
      <c r="R179" s="211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08"/>
      <c r="I180" s="217"/>
      <c r="J180" s="217"/>
      <c r="K180" s="218"/>
      <c r="L180" s="211"/>
      <c r="M180" s="143"/>
      <c r="N180" s="211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08"/>
      <c r="I181" s="217"/>
      <c r="J181" s="217"/>
      <c r="K181" s="218"/>
      <c r="L181" s="211"/>
      <c r="M181" s="143"/>
      <c r="N181" s="211"/>
      <c r="O181" s="212"/>
      <c r="P181" s="212"/>
      <c r="Q181" s="143"/>
      <c r="R181" s="211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08"/>
      <c r="I182" s="217"/>
      <c r="J182" s="217"/>
      <c r="K182" s="218"/>
      <c r="L182" s="213"/>
      <c r="M182" s="143"/>
      <c r="N182" s="211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08"/>
      <c r="I183" s="217"/>
      <c r="J183" s="217"/>
      <c r="K183" s="218"/>
      <c r="L183" s="213"/>
      <c r="M183" s="143"/>
      <c r="N183" s="211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08"/>
      <c r="I184" s="217"/>
      <c r="J184" s="217"/>
      <c r="K184" s="218"/>
      <c r="L184" s="211"/>
      <c r="M184" s="143"/>
      <c r="N184" s="211"/>
      <c r="O184" s="212"/>
      <c r="P184" s="212"/>
      <c r="Q184" s="143"/>
      <c r="R184" s="211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08"/>
      <c r="I185" s="217"/>
      <c r="J185" s="217"/>
      <c r="K185" s="230"/>
      <c r="L185" s="211"/>
      <c r="M185" s="143"/>
      <c r="N185" s="211"/>
      <c r="O185" s="212"/>
      <c r="P185" s="212"/>
      <c r="Q185" s="143"/>
      <c r="R185" s="211"/>
      <c r="S185" s="212"/>
      <c r="T185" s="145"/>
      <c r="AB185" s="214" t="str">
        <f>IFERROR(__xludf.DUMMYFUNCTION("FILTER('설정시트'!$D$7:$L$20,'설정시트'!$C$7:$C$20=I187)"),"#N/A")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08"/>
      <c r="I186" s="217"/>
      <c r="J186" s="217"/>
      <c r="K186" s="218"/>
      <c r="L186" s="213"/>
      <c r="M186" s="143"/>
      <c r="N186" s="211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36"/>
      <c r="I187" s="237"/>
      <c r="J187" s="237"/>
      <c r="K187" s="238"/>
      <c r="L187" s="211"/>
      <c r="M187" s="143"/>
      <c r="N187" s="211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IFERROR(__xludf.DUMMYFUNCTION("FILTER('설정시트'!$D$7:$L$20,'설정시트'!$C$7:$C$20=#REF!)"),"#N/A")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1306F103-82DB-4721-A081-DFC677B29403}" filter="1" showAutoFilter="1">
      <autoFilter ref="$H$61:$J$150"/>
    </customSheetView>
    <customSheetView guid="{48029EEC-043B-4596-BD82-4885B5601D90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H91:H92">
    <cfRule type="expression" dxfId="7" priority="1" stopIfTrue="1">
      <formula>AND(H91="", #REF!&lt;&gt;"")</formula>
    </cfRule>
  </conditionalFormatting>
  <conditionalFormatting sqref="R9:X9">
    <cfRule type="expression" dxfId="5" priority="2" stopIfTrue="1">
      <formula>MONTH(R9)&lt;&gt;$D$3</formula>
    </cfRule>
  </conditionalFormatting>
  <conditionalFormatting sqref="R19:X19">
    <cfRule type="expression" dxfId="6" priority="3" stopIfTrue="1">
      <formula>MONTH(R19)&lt;&gt;$D$3</formula>
    </cfRule>
  </conditionalFormatting>
  <conditionalFormatting sqref="R17:X17">
    <cfRule type="expression" dxfId="6" priority="4" stopIfTrue="1">
      <formula>MONTH(R17)&lt;&gt;$D$3</formula>
    </cfRule>
  </conditionalFormatting>
  <conditionalFormatting sqref="R15:X15">
    <cfRule type="expression" dxfId="6" priority="5" stopIfTrue="1">
      <formula>MONTH(R15)&lt;&gt;$D$3</formula>
    </cfRule>
  </conditionalFormatting>
  <conditionalFormatting sqref="R13:X13">
    <cfRule type="expression" dxfId="6" priority="6" stopIfTrue="1">
      <formula>MONTH(R13)&lt;&gt;$D$3</formula>
    </cfRule>
  </conditionalFormatting>
  <conditionalFormatting sqref="R11:X11">
    <cfRule type="expression" dxfId="6" priority="7" stopIfTrue="1">
      <formula>MONTH(R11)&lt;&gt;$D$3</formula>
    </cfRule>
  </conditionalFormatting>
  <conditionalFormatting sqref="R20:X20">
    <cfRule type="expression" dxfId="6" priority="8" stopIfTrue="1">
      <formula>MONTH(R19)&lt;&gt;$D$3</formula>
    </cfRule>
  </conditionalFormatting>
  <conditionalFormatting sqref="R18:X18">
    <cfRule type="expression" dxfId="6" priority="9" stopIfTrue="1">
      <formula>MONTH(R17)&lt;&gt;$D$3</formula>
    </cfRule>
  </conditionalFormatting>
  <conditionalFormatting sqref="R16:X16">
    <cfRule type="expression" dxfId="6" priority="10" stopIfTrue="1">
      <formula>MONTH(R15)&lt;&gt;$D$3</formula>
    </cfRule>
  </conditionalFormatting>
  <conditionalFormatting sqref="R14:X14">
    <cfRule type="expression" dxfId="6" priority="11" stopIfTrue="1">
      <formula>MONTH(R13)&lt;&gt;$D$3</formula>
    </cfRule>
  </conditionalFormatting>
  <conditionalFormatting sqref="R12:X12">
    <cfRule type="expression" dxfId="6" priority="12" stopIfTrue="1">
      <formula>MONTH(R11)&lt;&gt;$D$3</formula>
    </cfRule>
  </conditionalFormatting>
  <conditionalFormatting sqref="R10:X10">
    <cfRule type="expression" dxfId="6" priority="13" stopIfTrue="1">
      <formula>MONTH(R9)&lt;&gt;$D$3</formula>
    </cfRule>
  </conditionalFormatting>
  <conditionalFormatting sqref="Y20">
    <cfRule type="expression" dxfId="6" priority="14" stopIfTrue="1">
      <formula>MONTH($R$19)&lt;&gt;$D$3</formula>
    </cfRule>
  </conditionalFormatting>
  <conditionalFormatting sqref="Y18">
    <cfRule type="expression" dxfId="6" priority="15" stopIfTrue="1">
      <formula>MONTH($R$17)&lt;&gt;$D$3</formula>
    </cfRule>
  </conditionalFormatting>
  <conditionalFormatting sqref="Y16">
    <cfRule type="expression" dxfId="6" priority="16" stopIfTrue="1">
      <formula>MONTH($R$15)&lt;&gt;$D$3</formula>
    </cfRule>
  </conditionalFormatting>
  <conditionalFormatting sqref="Y14">
    <cfRule type="expression" dxfId="6" priority="17" stopIfTrue="1">
      <formula>MONTH($R$13)&lt;&gt;$D$3</formula>
    </cfRule>
  </conditionalFormatting>
  <conditionalFormatting sqref="Y12">
    <cfRule type="expression" dxfId="6" priority="18" stopIfTrue="1">
      <formula>MONTH($R$11)&lt;&gt;$D$3</formula>
    </cfRule>
  </conditionalFormatting>
  <conditionalFormatting sqref="Y10">
    <cfRule type="expression" dxfId="6" priority="19" stopIfTrue="1">
      <formula>MONTH($X$9)&lt;&gt;$D$3</formula>
    </cfRule>
  </conditionalFormatting>
  <conditionalFormatting sqref="H62:H90 H93:H500">
    <cfRule type="expression" dxfId="7" priority="20" stopIfTrue="1">
      <formula>AND(H62="", I62&lt;&gt;"")</formula>
    </cfRule>
  </conditionalFormatting>
  <conditionalFormatting sqref="H62:H90 H93:H500">
    <cfRule type="expression" dxfId="7" priority="21" stopIfTrue="1">
      <formula>AND(H62="", I62&lt;&gt;"")</formula>
    </cfRule>
  </conditionalFormatting>
  <conditionalFormatting sqref="H62:H90 H93:H500">
    <cfRule type="expression" dxfId="7" priority="22" stopIfTrue="1">
      <formula>AND(H62="", I62&lt;&gt;"")</formula>
    </cfRule>
  </conditionalFormatting>
  <conditionalFormatting sqref="H62:H90 H93:H500">
    <cfRule type="expression" dxfId="7" priority="23" stopIfTrue="1">
      <formula>AND(H62="", I62&lt;&gt;"")</formula>
    </cfRule>
  </conditionalFormatting>
  <conditionalFormatting sqref="H62:H90 H93:H500">
    <cfRule type="expression" dxfId="7" priority="24" stopIfTrue="1">
      <formula>AND(H62="", I62&lt;&gt;"")</formula>
    </cfRule>
  </conditionalFormatting>
  <conditionalFormatting sqref="H62:H90 H93:H500">
    <cfRule type="expression" dxfId="7" priority="25" stopIfTrue="1">
      <formula>AND(H62="", I62&lt;&gt;"")</formula>
    </cfRule>
  </conditionalFormatting>
  <conditionalFormatting sqref="H62:H90 H93:H500">
    <cfRule type="expression" dxfId="7" priority="26" stopIfTrue="1">
      <formula>AND(H62="", I62&lt;&gt;"")</formula>
    </cfRule>
  </conditionalFormatting>
  <conditionalFormatting sqref="H62:H90 H93:H500">
    <cfRule type="expression" dxfId="7" priority="27" stopIfTrue="1">
      <formula>AND(H62="", I62&lt;&gt;"")</formula>
    </cfRule>
  </conditionalFormatting>
  <conditionalFormatting sqref="H62:H90 H93:H500">
    <cfRule type="expression" dxfId="7" priority="28" stopIfTrue="1">
      <formula>AND(H62="", I62&lt;&gt;"")</formula>
    </cfRule>
  </conditionalFormatting>
  <conditionalFormatting sqref="H62:H90 H93:H500">
    <cfRule type="expression" dxfId="7" priority="29" stopIfTrue="1">
      <formula>AND(H62="", I62&lt;&gt;"")</formula>
    </cfRule>
  </conditionalFormatting>
  <conditionalFormatting sqref="H62:H90 H93:H500">
    <cfRule type="expression" dxfId="7" priority="30" stopIfTrue="1">
      <formula>AND(H62="", I62&lt;&gt;"")</formula>
    </cfRule>
  </conditionalFormatting>
  <conditionalFormatting sqref="H62:H90 H93:H500">
    <cfRule type="expression" dxfId="7" priority="31" stopIfTrue="1">
      <formula>AND(H62="", I62&lt;&gt;"")</formula>
    </cfRule>
  </conditionalFormatting>
  <conditionalFormatting sqref="H62:H90 H93:H500">
    <cfRule type="expression" dxfId="7" priority="32" stopIfTrue="1">
      <formula>AND(H62="", I62&lt;&gt;"")</formula>
    </cfRule>
  </conditionalFormatting>
  <conditionalFormatting sqref="H62:H90 H93:H500">
    <cfRule type="expression" dxfId="7" priority="33" stopIfTrue="1">
      <formula>AND(H62="", I62&lt;&gt;"")</formula>
    </cfRule>
  </conditionalFormatting>
  <conditionalFormatting sqref="H62:H90 H93:H500">
    <cfRule type="expression" dxfId="7" priority="34" stopIfTrue="1">
      <formula>AND(H62="", I62&lt;&gt;"")</formula>
    </cfRule>
  </conditionalFormatting>
  <conditionalFormatting sqref="H62:H90 H93:H500">
    <cfRule type="expression" dxfId="7" priority="35" stopIfTrue="1">
      <formula>AND(H62="", I62&lt;&gt;"")</formula>
    </cfRule>
  </conditionalFormatting>
  <conditionalFormatting sqref="H62:H90 H93:H500">
    <cfRule type="expression" dxfId="7" priority="36" stopIfTrue="1">
      <formula>AND(H62="", I62&lt;&gt;"")</formula>
    </cfRule>
  </conditionalFormatting>
  <conditionalFormatting sqref="H62:H90 H93:H500">
    <cfRule type="expression" dxfId="7" priority="37" stopIfTrue="1">
      <formula>AND(H62="", I62&lt;&gt;"")</formula>
    </cfRule>
  </conditionalFormatting>
  <conditionalFormatting sqref="H62:H90 H93:H500">
    <cfRule type="expression" dxfId="7" priority="38" stopIfTrue="1">
      <formula>AND(H62="", I62&lt;&gt;"")</formula>
    </cfRule>
  </conditionalFormatting>
  <conditionalFormatting sqref="H62:H90 H93:H500">
    <cfRule type="expression" dxfId="7" priority="39" stopIfTrue="1">
      <formula>AND(H62="", I62&lt;&gt;"")</formula>
    </cfRule>
  </conditionalFormatting>
  <conditionalFormatting sqref="H62:H90 H93:H500">
    <cfRule type="expression" dxfId="7" priority="40" stopIfTrue="1">
      <formula>AND(H62="", I62&lt;&gt;"")</formula>
    </cfRule>
  </conditionalFormatting>
  <conditionalFormatting sqref="H62:H90 H93:H500">
    <cfRule type="expression" dxfId="7" priority="41" stopIfTrue="1">
      <formula>AND(H62="", I62&lt;&gt;"")</formula>
    </cfRule>
  </conditionalFormatting>
  <conditionalFormatting sqref="H62:H90 H93:H500">
    <cfRule type="expression" dxfId="7" priority="42" stopIfTrue="1">
      <formula>AND(H62="", I62&lt;&gt;"")</formula>
    </cfRule>
  </conditionalFormatting>
  <conditionalFormatting sqref="H62:H90 H93:H500">
    <cfRule type="expression" dxfId="7" priority="43" stopIfTrue="1">
      <formula>AND(H62="", I62&lt;&gt;"")</formula>
    </cfRule>
  </conditionalFormatting>
  <conditionalFormatting sqref="H62:H90 H93:H500">
    <cfRule type="expression" dxfId="7" priority="44" stopIfTrue="1">
      <formula>AND(H62="", I62&lt;&gt;"")</formula>
    </cfRule>
  </conditionalFormatting>
  <conditionalFormatting sqref="H62:H90 H93:H500">
    <cfRule type="expression" dxfId="7" priority="45" stopIfTrue="1">
      <formula>AND(H62="", I62&lt;&gt;"")</formula>
    </cfRule>
  </conditionalFormatting>
  <conditionalFormatting sqref="H62:H90 H93:H500">
    <cfRule type="expression" dxfId="7" priority="46" stopIfTrue="1">
      <formula>AND(H62="", I62&lt;&gt;"")</formula>
    </cfRule>
  </conditionalFormatting>
  <conditionalFormatting sqref="H62:H90 H93:H500">
    <cfRule type="expression" dxfId="7" priority="47" stopIfTrue="1">
      <formula>AND(H62="", I62&lt;&gt;"")</formula>
    </cfRule>
  </conditionalFormatting>
  <conditionalFormatting sqref="H62:H90 H93:H500">
    <cfRule type="expression" dxfId="7" priority="48" stopIfTrue="1">
      <formula>AND(H62="", I62&lt;&gt;"")</formula>
    </cfRule>
  </conditionalFormatting>
  <conditionalFormatting sqref="H62:H90 H93:H500">
    <cfRule type="expression" dxfId="7" priority="49" stopIfTrue="1">
      <formula>AND(H62="", I62&lt;&gt;"")</formula>
    </cfRule>
  </conditionalFormatting>
  <conditionalFormatting sqref="H62:H90 H93:H500">
    <cfRule type="expression" dxfId="7" priority="50" stopIfTrue="1">
      <formula>AND(H62="", I62&lt;&gt;"")</formula>
    </cfRule>
  </conditionalFormatting>
  <conditionalFormatting sqref="H62:H90 H93:H500">
    <cfRule type="expression" dxfId="7" priority="51" stopIfTrue="1">
      <formula>AND(H62="", I62&lt;&gt;"")</formula>
    </cfRule>
  </conditionalFormatting>
  <conditionalFormatting sqref="H62:H90 H93:H500">
    <cfRule type="expression" dxfId="7" priority="52" stopIfTrue="1">
      <formula>AND(H62="", I62&lt;&gt;"")</formula>
    </cfRule>
  </conditionalFormatting>
  <conditionalFormatting sqref="H62:H90 H93:H500">
    <cfRule type="expression" dxfId="7" priority="53" stopIfTrue="1">
      <formula>AND(H62="", I62&lt;&gt;"")</formula>
    </cfRule>
  </conditionalFormatting>
  <conditionalFormatting sqref="H62:H90 H93:H500">
    <cfRule type="expression" dxfId="7" priority="54" stopIfTrue="1">
      <formula>AND(H62="", I62&lt;&gt;"")</formula>
    </cfRule>
  </conditionalFormatting>
  <conditionalFormatting sqref="H62:H90 H93:H500">
    <cfRule type="expression" dxfId="7" priority="55" stopIfTrue="1">
      <formula>AND(H62="", I62&lt;&gt;"")</formula>
    </cfRule>
  </conditionalFormatting>
  <conditionalFormatting sqref="H62:H90 H93:H500">
    <cfRule type="expression" dxfId="7" priority="56" stopIfTrue="1">
      <formula>AND(H62="", I62&lt;&gt;"")</formula>
    </cfRule>
  </conditionalFormatting>
  <conditionalFormatting sqref="H62:H90 H93:H500">
    <cfRule type="expression" dxfId="7" priority="57" stopIfTrue="1">
      <formula>AND(H62="", I62&lt;&gt;"")</formula>
    </cfRule>
  </conditionalFormatting>
  <conditionalFormatting sqref="H62:H90 H93:H500">
    <cfRule type="expression" dxfId="7" priority="58" stopIfTrue="1">
      <formula>AND(H62="", I62&lt;&gt;"")</formula>
    </cfRule>
  </conditionalFormatting>
  <conditionalFormatting sqref="H62:H90 H93:H500">
    <cfRule type="expression" dxfId="7" priority="59" stopIfTrue="1">
      <formula>AND(H62="", I62&lt;&gt;"")</formula>
    </cfRule>
  </conditionalFormatting>
  <conditionalFormatting sqref="H62:H90 H93:H500">
    <cfRule type="expression" dxfId="7" priority="60" stopIfTrue="1">
      <formula>AND(H62="", I62&lt;&gt;"")</formula>
    </cfRule>
  </conditionalFormatting>
  <conditionalFormatting sqref="H62:H90 H93:H500">
    <cfRule type="expression" dxfId="7" priority="61" stopIfTrue="1">
      <formula>AND(H62="", I62&lt;&gt;"")</formula>
    </cfRule>
  </conditionalFormatting>
  <conditionalFormatting sqref="H62:H90 H93:H500">
    <cfRule type="expression" dxfId="7" priority="62" stopIfTrue="1">
      <formula>AND(H62="", I62&lt;&gt;"")</formula>
    </cfRule>
  </conditionalFormatting>
  <conditionalFormatting sqref="H62:H90 H93:H500">
    <cfRule type="expression" dxfId="7" priority="63" stopIfTrue="1">
      <formula>AND(H62="", I62&lt;&gt;"")</formula>
    </cfRule>
  </conditionalFormatting>
  <conditionalFormatting sqref="H62:H90 H93:H500">
    <cfRule type="expression" dxfId="7" priority="64" stopIfTrue="1">
      <formula>AND(H62="", I62&lt;&gt;"")</formula>
    </cfRule>
  </conditionalFormatting>
  <conditionalFormatting sqref="H62:H90 H93:H500">
    <cfRule type="expression" dxfId="7" priority="65" stopIfTrue="1">
      <formula>AND(H62="", I62&lt;&gt;"")</formula>
    </cfRule>
  </conditionalFormatting>
  <conditionalFormatting sqref="H62:H90 H93:H500">
    <cfRule type="expression" dxfId="7" priority="66" stopIfTrue="1">
      <formula>AND(H62="", I62&lt;&gt;"")</formula>
    </cfRule>
  </conditionalFormatting>
  <conditionalFormatting sqref="H62:H90 H93:H500">
    <cfRule type="expression" dxfId="7" priority="67" stopIfTrue="1">
      <formula>AND(H62="", I62&lt;&gt;"")</formula>
    </cfRule>
  </conditionalFormatting>
  <conditionalFormatting sqref="H62:H90 H93:H500">
    <cfRule type="expression" dxfId="7" priority="68" stopIfTrue="1">
      <formula>AND(H62="", I62&lt;&gt;"")</formula>
    </cfRule>
  </conditionalFormatting>
  <conditionalFormatting sqref="H62:H90 H93:H500">
    <cfRule type="expression" dxfId="7" priority="69" stopIfTrue="1">
      <formula>AND(H62="", I62&lt;&gt;"")</formula>
    </cfRule>
  </conditionalFormatting>
  <conditionalFormatting sqref="H62:H90 H93:H500">
    <cfRule type="expression" dxfId="7" priority="70" stopIfTrue="1">
      <formula>AND(H62="", I62&lt;&gt;"")</formula>
    </cfRule>
  </conditionalFormatting>
  <conditionalFormatting sqref="H62:H90 H93:H500">
    <cfRule type="expression" dxfId="7" priority="71" stopIfTrue="1">
      <formula>AND(H62="", I62&lt;&gt;"")</formula>
    </cfRule>
  </conditionalFormatting>
  <conditionalFormatting sqref="H62:H90 H93:H500">
    <cfRule type="expression" dxfId="7" priority="72" stopIfTrue="1">
      <formula>AND(H62="", I62&lt;&gt;"")</formula>
    </cfRule>
  </conditionalFormatting>
  <conditionalFormatting sqref="H62:H90 H93:H500">
    <cfRule type="expression" dxfId="7" priority="73" stopIfTrue="1">
      <formula>AND(H62="", I62&lt;&gt;"")</formula>
    </cfRule>
  </conditionalFormatting>
  <conditionalFormatting sqref="H62:H90 H93:H500">
    <cfRule type="expression" dxfId="7" priority="74" stopIfTrue="1">
      <formula>AND(H62="", I62&lt;&gt;"")</formula>
    </cfRule>
  </conditionalFormatting>
  <conditionalFormatting sqref="H62:H90 H93:H500">
    <cfRule type="expression" dxfId="7" priority="75" stopIfTrue="1">
      <formula>AND(H62="", I62&lt;&gt;"")</formula>
    </cfRule>
  </conditionalFormatting>
  <conditionalFormatting sqref="H62:H90 H93:H500">
    <cfRule type="expression" dxfId="7" priority="76" stopIfTrue="1">
      <formula>AND(H62="", I62&lt;&gt;"")</formula>
    </cfRule>
  </conditionalFormatting>
  <conditionalFormatting sqref="H62:H90 H93:H500">
    <cfRule type="expression" dxfId="7" priority="77" stopIfTrue="1">
      <formula>AND(H62="", I62&lt;&gt;"")</formula>
    </cfRule>
  </conditionalFormatting>
  <conditionalFormatting sqref="H62:H90 H93:H500">
    <cfRule type="expression" dxfId="7" priority="78" stopIfTrue="1">
      <formula>AND(H62="", I62&lt;&gt;"")</formula>
    </cfRule>
  </conditionalFormatting>
  <conditionalFormatting sqref="H62:H90 H93:H500">
    <cfRule type="expression" dxfId="7" priority="79" stopIfTrue="1">
      <formula>AND(H62="", I62&lt;&gt;"")</formula>
    </cfRule>
  </conditionalFormatting>
  <conditionalFormatting sqref="H62:H90 H93:H500">
    <cfRule type="expression" dxfId="7" priority="80" stopIfTrue="1">
      <formula>AND(H62="", I62&lt;&gt;"")</formula>
    </cfRule>
  </conditionalFormatting>
  <conditionalFormatting sqref="H62:H90 H93:H500">
    <cfRule type="expression" dxfId="7" priority="81" stopIfTrue="1">
      <formula>AND(H62="", I62&lt;&gt;"")</formula>
    </cfRule>
  </conditionalFormatting>
  <conditionalFormatting sqref="H62:H90 H93:H500">
    <cfRule type="expression" dxfId="7" priority="82" stopIfTrue="1">
      <formula>AND(H62="", I62&lt;&gt;"")</formula>
    </cfRule>
  </conditionalFormatting>
  <conditionalFormatting sqref="H62:H90 H93:H500">
    <cfRule type="expression" dxfId="7" priority="83" stopIfTrue="1">
      <formula>AND(H62="", I62&lt;&gt;"")</formula>
    </cfRule>
  </conditionalFormatting>
  <conditionalFormatting sqref="H62:H90 H93:H500">
    <cfRule type="expression" dxfId="7" priority="84" stopIfTrue="1">
      <formula>AND(H62="", I62&lt;&gt;"")</formula>
    </cfRule>
  </conditionalFormatting>
  <conditionalFormatting sqref="H62:H90 H93:H500">
    <cfRule type="expression" dxfId="7" priority="85" stopIfTrue="1">
      <formula>AND(H62="", I62&lt;&gt;"")</formula>
    </cfRule>
  </conditionalFormatting>
  <conditionalFormatting sqref="H62:H90 H93:H500">
    <cfRule type="expression" dxfId="7" priority="86" stopIfTrue="1">
      <formula>AND(H62="", I62&lt;&gt;"")</formula>
    </cfRule>
  </conditionalFormatting>
  <conditionalFormatting sqref="H62:H90 H93:H500">
    <cfRule type="expression" dxfId="7" priority="87" stopIfTrue="1">
      <formula>AND(H62="", I62&lt;&gt;"")</formula>
    </cfRule>
  </conditionalFormatting>
  <conditionalFormatting sqref="H62:H90 H93:H500">
    <cfRule type="expression" dxfId="7" priority="88" stopIfTrue="1">
      <formula>AND(H62="", I62&lt;&gt;"")</formula>
    </cfRule>
  </conditionalFormatting>
  <conditionalFormatting sqref="H62:H90 H93:H500">
    <cfRule type="expression" dxfId="7" priority="89" stopIfTrue="1">
      <formula>AND(H62="", I62&lt;&gt;"")</formula>
    </cfRule>
  </conditionalFormatting>
  <conditionalFormatting sqref="H62:H90 H93:H500">
    <cfRule type="expression" dxfId="7" priority="90" stopIfTrue="1">
      <formula>AND(H62="", I62&lt;&gt;"")</formula>
    </cfRule>
  </conditionalFormatting>
  <conditionalFormatting sqref="H62:H90 H93:H500">
    <cfRule type="expression" dxfId="7" priority="91" stopIfTrue="1">
      <formula>AND(H62="", I62&lt;&gt;"")</formula>
    </cfRule>
  </conditionalFormatting>
  <conditionalFormatting sqref="H62:H90 H93:H500">
    <cfRule type="expression" dxfId="7" priority="92" stopIfTrue="1">
      <formula>AND(H62="", I62&lt;&gt;"")</formula>
    </cfRule>
  </conditionalFormatting>
  <conditionalFormatting sqref="H62:H90 H93:H500">
    <cfRule type="expression" dxfId="7" priority="93" stopIfTrue="1">
      <formula>AND(H62="", I62&lt;&gt;"")</formula>
    </cfRule>
  </conditionalFormatting>
  <conditionalFormatting sqref="H62:H90 H93:H500">
    <cfRule type="expression" dxfId="7" priority="94" stopIfTrue="1">
      <formula>AND(H62="", I62&lt;&gt;"")</formula>
    </cfRule>
  </conditionalFormatting>
  <conditionalFormatting sqref="H62:H90 H93:H500">
    <cfRule type="expression" dxfId="7" priority="95" stopIfTrue="1">
      <formula>AND(H62="", I62&lt;&gt;"")</formula>
    </cfRule>
  </conditionalFormatting>
  <conditionalFormatting sqref="H62:H90 H93:H500">
    <cfRule type="expression" dxfId="7" priority="96" stopIfTrue="1">
      <formula>AND(H62="", I62&lt;&gt;"")</formula>
    </cfRule>
  </conditionalFormatting>
  <conditionalFormatting sqref="H62:H90 H93:H500">
    <cfRule type="expression" dxfId="7" priority="97" stopIfTrue="1">
      <formula>AND(H62="", I62&lt;&gt;"")</formula>
    </cfRule>
  </conditionalFormatting>
  <conditionalFormatting sqref="H62:H90 H93:H500">
    <cfRule type="expression" dxfId="7" priority="98" stopIfTrue="1">
      <formula>AND(H62="", I62&lt;&gt;"")</formula>
    </cfRule>
  </conditionalFormatting>
  <conditionalFormatting sqref="H62:H90 H93:H500">
    <cfRule type="expression" dxfId="7" priority="99" stopIfTrue="1">
      <formula>AND(H62="", I62&lt;&gt;"")</formula>
    </cfRule>
  </conditionalFormatting>
  <conditionalFormatting sqref="H62:H90 H93:H500">
    <cfRule type="expression" dxfId="7" priority="100" stopIfTrue="1">
      <formula>AND(H62="", I62&lt;&gt;"")</formula>
    </cfRule>
  </conditionalFormatting>
  <conditionalFormatting sqref="H62:H90 H93:H500">
    <cfRule type="expression" dxfId="7" priority="101" stopIfTrue="1">
      <formula>AND(H62="", I62&lt;&gt;"")</formula>
    </cfRule>
  </conditionalFormatting>
  <conditionalFormatting sqref="H62:H90 H93:H500">
    <cfRule type="expression" dxfId="7" priority="102" stopIfTrue="1">
      <formula>AND(H62="", I62&lt;&gt;"")</formula>
    </cfRule>
  </conditionalFormatting>
  <conditionalFormatting sqref="H62:H90 H93:H500">
    <cfRule type="expression" dxfId="7" priority="103" stopIfTrue="1">
      <formula>AND(H62="", I62&lt;&gt;"")</formula>
    </cfRule>
  </conditionalFormatting>
  <conditionalFormatting sqref="H62:H90 H93:H500">
    <cfRule type="expression" dxfId="7" priority="104" stopIfTrue="1">
      <formula>AND(H62="", I62&lt;&gt;"")</formula>
    </cfRule>
  </conditionalFormatting>
  <conditionalFormatting sqref="H62:H90 H93:H500">
    <cfRule type="expression" dxfId="7" priority="105" stopIfTrue="1">
      <formula>AND(H62="", I62&lt;&gt;"")</formula>
    </cfRule>
  </conditionalFormatting>
  <conditionalFormatting sqref="H62:H90 H93:H500">
    <cfRule type="expression" dxfId="7" priority="106" stopIfTrue="1">
      <formula>AND(H62="", I62&lt;&gt;"")</formula>
    </cfRule>
  </conditionalFormatting>
  <conditionalFormatting sqref="H62:H90 H93:H500">
    <cfRule type="expression" dxfId="7" priority="107" stopIfTrue="1">
      <formula>AND(H62="", I62&lt;&gt;"")</formula>
    </cfRule>
  </conditionalFormatting>
  <conditionalFormatting sqref="H62:H90 H93:H500">
    <cfRule type="expression" dxfId="7" priority="108" stopIfTrue="1">
      <formula>AND(H62="", I62&lt;&gt;"")</formula>
    </cfRule>
  </conditionalFormatting>
  <conditionalFormatting sqref="H62:H90 H93:H500">
    <cfRule type="expression" dxfId="7" priority="109" stopIfTrue="1">
      <formula>AND(H62="", I62&lt;&gt;"")</formula>
    </cfRule>
  </conditionalFormatting>
  <conditionalFormatting sqref="H62:H90 H93:H500">
    <cfRule type="expression" dxfId="7" priority="110" stopIfTrue="1">
      <formula>AND(H62="", I62&lt;&gt;"")</formula>
    </cfRule>
  </conditionalFormatting>
  <conditionalFormatting sqref="H62:H90 H93:H500">
    <cfRule type="expression" dxfId="7" priority="111" stopIfTrue="1">
      <formula>AND(H62="", I62&lt;&gt;"")</formula>
    </cfRule>
  </conditionalFormatting>
  <conditionalFormatting sqref="H62:H90 H93:H500">
    <cfRule type="expression" dxfId="7" priority="112" stopIfTrue="1">
      <formula>AND(H62="", I62&lt;&gt;"")</formula>
    </cfRule>
  </conditionalFormatting>
  <conditionalFormatting sqref="H62:H90 H93:H500">
    <cfRule type="expression" dxfId="7" priority="113" stopIfTrue="1">
      <formula>AND(H62="", I62&lt;&gt;"")</formula>
    </cfRule>
  </conditionalFormatting>
  <conditionalFormatting sqref="H62:H90 H93:H500">
    <cfRule type="expression" dxfId="7" priority="114" stopIfTrue="1">
      <formula>AND(H62="", I62&lt;&gt;"")</formula>
    </cfRule>
  </conditionalFormatting>
  <conditionalFormatting sqref="H62:H90 H93:H500">
    <cfRule type="expression" dxfId="7" priority="115" stopIfTrue="1">
      <formula>AND(H62="", I62&lt;&gt;"")</formula>
    </cfRule>
  </conditionalFormatting>
  <conditionalFormatting sqref="H62:H90 H93:H500">
    <cfRule type="expression" dxfId="7" priority="116" stopIfTrue="1">
      <formula>AND(H62="", I62&lt;&gt;"")</formula>
    </cfRule>
  </conditionalFormatting>
  <conditionalFormatting sqref="H62:H90 H93:H500">
    <cfRule type="expression" dxfId="7" priority="117" stopIfTrue="1">
      <formula>AND(H62="", I62&lt;&gt;"")</formula>
    </cfRule>
  </conditionalFormatting>
  <conditionalFormatting sqref="H62:H90 H93:H500">
    <cfRule type="expression" dxfId="7" priority="118" stopIfTrue="1">
      <formula>AND(H62="", I62&lt;&gt;"")</formula>
    </cfRule>
  </conditionalFormatting>
  <conditionalFormatting sqref="H62:H90 H93:H500">
    <cfRule type="expression" dxfId="7" priority="119" stopIfTrue="1">
      <formula>AND(H62="", I62&lt;&gt;"")</formula>
    </cfRule>
  </conditionalFormatting>
  <conditionalFormatting sqref="H62:H90 H93:H500">
    <cfRule type="expression" dxfId="7" priority="120" stopIfTrue="1">
      <formula>AND(H62="", I62&lt;&gt;"")</formula>
    </cfRule>
  </conditionalFormatting>
  <conditionalFormatting sqref="H62:H90 H93:H500">
    <cfRule type="expression" dxfId="7" priority="121" stopIfTrue="1">
      <formula>AND(H62="", I62&lt;&gt;"")</formula>
    </cfRule>
  </conditionalFormatting>
  <conditionalFormatting sqref="H62:H90 H93:H500">
    <cfRule type="expression" dxfId="7" priority="122" stopIfTrue="1">
      <formula>AND(H62="", I62&lt;&gt;"")</formula>
    </cfRule>
  </conditionalFormatting>
  <conditionalFormatting sqref="H62:H90 H93:H500">
    <cfRule type="expression" dxfId="7" priority="123" stopIfTrue="1">
      <formula>AND(H62="", I62&lt;&gt;"")</formula>
    </cfRule>
  </conditionalFormatting>
  <conditionalFormatting sqref="H62:H90 H93:H500">
    <cfRule type="expression" dxfId="7" priority="124" stopIfTrue="1">
      <formula>AND(H62="", I62&lt;&gt;"")</formula>
    </cfRule>
  </conditionalFormatting>
  <conditionalFormatting sqref="H62:H90 H93:H500">
    <cfRule type="expression" dxfId="7" priority="125" stopIfTrue="1">
      <formula>AND(H62="", I62&lt;&gt;"")</formula>
    </cfRule>
  </conditionalFormatting>
  <conditionalFormatting sqref="H62:H90 H93:H500">
    <cfRule type="expression" dxfId="7" priority="126" stopIfTrue="1">
      <formula>AND(H62="", I62&lt;&gt;"")</formula>
    </cfRule>
  </conditionalFormatting>
  <conditionalFormatting sqref="H62:H90 H93:H500">
    <cfRule type="expression" dxfId="7" priority="127" stopIfTrue="1">
      <formula>AND(H62="", I62&lt;&gt;"")</formula>
    </cfRule>
  </conditionalFormatting>
  <conditionalFormatting sqref="H62:H90 H93:H500">
    <cfRule type="expression" dxfId="7" priority="128" stopIfTrue="1">
      <formula>AND(H62="", I62&lt;&gt;"")</formula>
    </cfRule>
  </conditionalFormatting>
  <conditionalFormatting sqref="H62:H90 H93:H500">
    <cfRule type="expression" dxfId="7" priority="129" stopIfTrue="1">
      <formula>AND(H62="", I62&lt;&gt;"")</formula>
    </cfRule>
  </conditionalFormatting>
  <conditionalFormatting sqref="H62:H90 H93:H500">
    <cfRule type="expression" dxfId="7" priority="130" stopIfTrue="1">
      <formula>AND(H62="", I62&lt;&gt;"")</formula>
    </cfRule>
  </conditionalFormatting>
  <conditionalFormatting sqref="H62:H90 H93:H500">
    <cfRule type="expression" dxfId="7" priority="131" stopIfTrue="1">
      <formula>AND(H62="", I62&lt;&gt;"")</formula>
    </cfRule>
  </conditionalFormatting>
  <conditionalFormatting sqref="H62:H90 H93:H500">
    <cfRule type="expression" dxfId="7" priority="132" stopIfTrue="1">
      <formula>AND(H62="", I62&lt;&gt;"")</formula>
    </cfRule>
  </conditionalFormatting>
  <conditionalFormatting sqref="H62:H90 H93:H500">
    <cfRule type="expression" dxfId="7" priority="133" stopIfTrue="1">
      <formula>AND(H62="", I62&lt;&gt;"")</formula>
    </cfRule>
  </conditionalFormatting>
  <conditionalFormatting sqref="H62:H90 H93:H500">
    <cfRule type="expression" dxfId="7" priority="134" stopIfTrue="1">
      <formula>AND(H62="", I62&lt;&gt;"")</formula>
    </cfRule>
  </conditionalFormatting>
  <conditionalFormatting sqref="H62:H90 H93:H500">
    <cfRule type="expression" dxfId="7" priority="135" stopIfTrue="1">
      <formula>AND(H62="", I62&lt;&gt;"")</formula>
    </cfRule>
  </conditionalFormatting>
  <conditionalFormatting sqref="H62:H90 H93:H500">
    <cfRule type="expression" dxfId="7" priority="136" stopIfTrue="1">
      <formula>AND(H62="", I62&lt;&gt;"")</formula>
    </cfRule>
  </conditionalFormatting>
  <conditionalFormatting sqref="H62:H90 H93:H500">
    <cfRule type="expression" dxfId="7" priority="137" stopIfTrue="1">
      <formula>AND(H62="", I62&lt;&gt;"")</formula>
    </cfRule>
  </conditionalFormatting>
  <conditionalFormatting sqref="H62:H90 H93:H500">
    <cfRule type="expression" dxfId="7" priority="138" stopIfTrue="1">
      <formula>AND(H62="", I62&lt;&gt;"")</formula>
    </cfRule>
  </conditionalFormatting>
  <conditionalFormatting sqref="H62:H90 H93:H500">
    <cfRule type="expression" dxfId="7" priority="139" stopIfTrue="1">
      <formula>AND(H62="", I62&lt;&gt;"")</formula>
    </cfRule>
  </conditionalFormatting>
  <conditionalFormatting sqref="H62:H90 H93:H500">
    <cfRule type="expression" dxfId="7" priority="140" stopIfTrue="1">
      <formula>AND(H62="", I62&lt;&gt;"")</formula>
    </cfRule>
  </conditionalFormatting>
  <conditionalFormatting sqref="H62:H90 H93:H500">
    <cfRule type="expression" dxfId="7" priority="141" stopIfTrue="1">
      <formula>AND(H62="", I62&lt;&gt;"")</formula>
    </cfRule>
  </conditionalFormatting>
  <conditionalFormatting sqref="H62:H90 H93:H500">
    <cfRule type="expression" dxfId="7" priority="142" stopIfTrue="1">
      <formula>AND(H62="", I62&lt;&gt;"")</formula>
    </cfRule>
  </conditionalFormatting>
  <conditionalFormatting sqref="H62:H90 H93:H500">
    <cfRule type="expression" dxfId="7" priority="143" stopIfTrue="1">
      <formula>AND(H62="", I62&lt;&gt;"")</formula>
    </cfRule>
  </conditionalFormatting>
  <conditionalFormatting sqref="H62:H90 H93:H500">
    <cfRule type="expression" dxfId="7" priority="144" stopIfTrue="1">
      <formula>AND(H62="", I62&lt;&gt;"")</formula>
    </cfRule>
  </conditionalFormatting>
  <conditionalFormatting sqref="H62:H90 H93:H500">
    <cfRule type="expression" dxfId="7" priority="145" stopIfTrue="1">
      <formula>AND(H62="", I62&lt;&gt;"")</formula>
    </cfRule>
  </conditionalFormatting>
  <conditionalFormatting sqref="H62:H90 H93:H500">
    <cfRule type="expression" dxfId="7" priority="146" stopIfTrue="1">
      <formula>AND(H62="", I62&lt;&gt;"")</formula>
    </cfRule>
  </conditionalFormatting>
  <conditionalFormatting sqref="H62:H90 H93:H500">
    <cfRule type="expression" dxfId="7" priority="147" stopIfTrue="1">
      <formula>AND(H62="", I62&lt;&gt;"")</formula>
    </cfRule>
  </conditionalFormatting>
  <conditionalFormatting sqref="H62:H90 H93:H500">
    <cfRule type="expression" dxfId="7" priority="148" stopIfTrue="1">
      <formula>AND(H62="", I62&lt;&gt;"")</formula>
    </cfRule>
  </conditionalFormatting>
  <conditionalFormatting sqref="H62:H90 H93:H500">
    <cfRule type="expression" dxfId="7" priority="149" stopIfTrue="1">
      <formula>AND(H62="", I62&lt;&gt;"")</formula>
    </cfRule>
  </conditionalFormatting>
  <conditionalFormatting sqref="H62:H90 H93:H500">
    <cfRule type="expression" dxfId="7" priority="150" stopIfTrue="1">
      <formula>AND(H62="", I62&lt;&gt;"")</formula>
    </cfRule>
  </conditionalFormatting>
  <conditionalFormatting sqref="H62:H90 H93:H500">
    <cfRule type="expression" dxfId="7" priority="151" stopIfTrue="1">
      <formula>AND(H62="", I62&lt;&gt;"")</formula>
    </cfRule>
  </conditionalFormatting>
  <conditionalFormatting sqref="H62:H90 H93:H500">
    <cfRule type="expression" dxfId="7" priority="152" stopIfTrue="1">
      <formula>AND(H62="", I62&lt;&gt;"")</formula>
    </cfRule>
  </conditionalFormatting>
  <conditionalFormatting sqref="H62:H90 H93:H500">
    <cfRule type="expression" dxfId="7" priority="153" stopIfTrue="1">
      <formula>AND(H62="", I62&lt;&gt;"")</formula>
    </cfRule>
  </conditionalFormatting>
  <conditionalFormatting sqref="H62:H90 H93:H500">
    <cfRule type="expression" dxfId="7" priority="154" stopIfTrue="1">
      <formula>AND(H62="", I62&lt;&gt;"")</formula>
    </cfRule>
  </conditionalFormatting>
  <conditionalFormatting sqref="H62:H90 H93:H500">
    <cfRule type="expression" dxfId="7" priority="155" stopIfTrue="1">
      <formula>AND(H62="", I62&lt;&gt;"")</formula>
    </cfRule>
  </conditionalFormatting>
  <conditionalFormatting sqref="H62:H90 H93:H500">
    <cfRule type="expression" dxfId="7" priority="156" stopIfTrue="1">
      <formula>AND(H62="", I62&lt;&gt;"")</formula>
    </cfRule>
  </conditionalFormatting>
  <conditionalFormatting sqref="H62:H90 H93:H500">
    <cfRule type="expression" dxfId="7" priority="157" stopIfTrue="1">
      <formula>AND(H62="", I62&lt;&gt;"")</formula>
    </cfRule>
  </conditionalFormatting>
  <conditionalFormatting sqref="H62:H90 H93:H500">
    <cfRule type="expression" dxfId="7" priority="158" stopIfTrue="1">
      <formula>AND(H62="", I62&lt;&gt;"")</formula>
    </cfRule>
  </conditionalFormatting>
  <conditionalFormatting sqref="H62:H90 H93:H500">
    <cfRule type="expression" dxfId="7" priority="159" stopIfTrue="1">
      <formula>AND(H62="", I62&lt;&gt;"")</formula>
    </cfRule>
  </conditionalFormatting>
  <conditionalFormatting sqref="H62:H90 H93:H500">
    <cfRule type="expression" dxfId="7" priority="160" stopIfTrue="1">
      <formula>AND(H62="", I62&lt;&gt;"")</formula>
    </cfRule>
  </conditionalFormatting>
  <conditionalFormatting sqref="H62:H90 H93:H500">
    <cfRule type="expression" dxfId="7" priority="161" stopIfTrue="1">
      <formula>AND(H62="", I62&lt;&gt;"")</formula>
    </cfRule>
  </conditionalFormatting>
  <conditionalFormatting sqref="H62:H90 H93:H500">
    <cfRule type="expression" dxfId="7" priority="162" stopIfTrue="1">
      <formula>AND(H62="", I62&lt;&gt;"")</formula>
    </cfRule>
  </conditionalFormatting>
  <conditionalFormatting sqref="H62:H90 H93:H500">
    <cfRule type="expression" dxfId="7" priority="163" stopIfTrue="1">
      <formula>AND(H62="", I62&lt;&gt;"")</formula>
    </cfRule>
  </conditionalFormatting>
  <conditionalFormatting sqref="H62:H90 H93:H500">
    <cfRule type="expression" dxfId="7" priority="164" stopIfTrue="1">
      <formula>AND(H62="", I62&lt;&gt;"")</formula>
    </cfRule>
  </conditionalFormatting>
  <conditionalFormatting sqref="H62:H90 H93:H500">
    <cfRule type="expression" dxfId="7" priority="165" stopIfTrue="1">
      <formula>AND(H62="", I62&lt;&gt;"")</formula>
    </cfRule>
  </conditionalFormatting>
  <conditionalFormatting sqref="H62:H90 H93:H500">
    <cfRule type="expression" dxfId="7" priority="166" stopIfTrue="1">
      <formula>AND(H62="", I62&lt;&gt;"")</formula>
    </cfRule>
  </conditionalFormatting>
  <conditionalFormatting sqref="H62:H90 H93:H500">
    <cfRule type="expression" dxfId="7" priority="167" stopIfTrue="1">
      <formula>AND(H62="", I62&lt;&gt;"")</formula>
    </cfRule>
  </conditionalFormatting>
  <conditionalFormatting sqref="H62:H90 H93:H500">
    <cfRule type="expression" dxfId="7" priority="168" stopIfTrue="1">
      <formula>AND(H62="", I62&lt;&gt;"")</formula>
    </cfRule>
  </conditionalFormatting>
  <conditionalFormatting sqref="H62:H90 H93:H500">
    <cfRule type="expression" dxfId="7" priority="169" stopIfTrue="1">
      <formula>AND(H62="", I62&lt;&gt;"")</formula>
    </cfRule>
  </conditionalFormatting>
  <conditionalFormatting sqref="H62:H90 H93:H500">
    <cfRule type="expression" dxfId="7" priority="170" stopIfTrue="1">
      <formula>AND(H62="", I62&lt;&gt;"")</formula>
    </cfRule>
  </conditionalFormatting>
  <conditionalFormatting sqref="H62:H90 H93:H500">
    <cfRule type="expression" dxfId="7" priority="171" stopIfTrue="1">
      <formula>AND(H62="", I62&lt;&gt;"")</formula>
    </cfRule>
  </conditionalFormatting>
  <conditionalFormatting sqref="H62:H90 H93:H500">
    <cfRule type="expression" dxfId="7" priority="172" stopIfTrue="1">
      <formula>AND(H62="", I62&lt;&gt;"")</formula>
    </cfRule>
  </conditionalFormatting>
  <conditionalFormatting sqref="H62:H90 H93:H500">
    <cfRule type="expression" dxfId="7" priority="173" stopIfTrue="1">
      <formula>AND(H62="", I62&lt;&gt;"")</formula>
    </cfRule>
  </conditionalFormatting>
  <conditionalFormatting sqref="H62:H90 H93:H500">
    <cfRule type="expression" dxfId="7" priority="174" stopIfTrue="1">
      <formula>AND(H62="", I62&lt;&gt;"")</formula>
    </cfRule>
  </conditionalFormatting>
  <conditionalFormatting sqref="H62:H90 H93:H500">
    <cfRule type="expression" dxfId="7" priority="175" stopIfTrue="1">
      <formula>AND(H62="", I62&lt;&gt;"")</formula>
    </cfRule>
  </conditionalFormatting>
  <conditionalFormatting sqref="H62:H90 H93:H500">
    <cfRule type="expression" dxfId="7" priority="176" stopIfTrue="1">
      <formula>AND(H62="", I62&lt;&gt;"")</formula>
    </cfRule>
  </conditionalFormatting>
  <conditionalFormatting sqref="H62:H90 H93:H500">
    <cfRule type="expression" dxfId="7" priority="177" stopIfTrue="1">
      <formula>AND(H62="", I62&lt;&gt;"")</formula>
    </cfRule>
  </conditionalFormatting>
  <conditionalFormatting sqref="H62:H90 H93:H500">
    <cfRule type="expression" dxfId="7" priority="178" stopIfTrue="1">
      <formula>AND(H62="", I62&lt;&gt;"")</formula>
    </cfRule>
  </conditionalFormatting>
  <conditionalFormatting sqref="H62:H90 H93:H500">
    <cfRule type="expression" dxfId="7" priority="179" stopIfTrue="1">
      <formula>AND(H62="", I62&lt;&gt;"")</formula>
    </cfRule>
  </conditionalFormatting>
  <conditionalFormatting sqref="H62:H90 H93:H500">
    <cfRule type="expression" dxfId="7" priority="180" stopIfTrue="1">
      <formula>AND(H62="", I62&lt;&gt;"")</formula>
    </cfRule>
  </conditionalFormatting>
  <conditionalFormatting sqref="H62:H90 H93:H500">
    <cfRule type="expression" dxfId="7" priority="181" stopIfTrue="1">
      <formula>AND(H62="", I62&lt;&gt;"")</formula>
    </cfRule>
  </conditionalFormatting>
  <conditionalFormatting sqref="H62:H90 H93:H500">
    <cfRule type="expression" dxfId="7" priority="182" stopIfTrue="1">
      <formula>AND(H62="", I62&lt;&gt;"")</formula>
    </cfRule>
  </conditionalFormatting>
  <conditionalFormatting sqref="H62:H90 H93:H500">
    <cfRule type="expression" dxfId="7" priority="183" stopIfTrue="1">
      <formula>AND(H62="", I62&lt;&gt;"")</formula>
    </cfRule>
  </conditionalFormatting>
  <conditionalFormatting sqref="H62:H90 H93:H500">
    <cfRule type="expression" dxfId="7" priority="184" stopIfTrue="1">
      <formula>AND(H62="", I62&lt;&gt;"")</formula>
    </cfRule>
  </conditionalFormatting>
  <conditionalFormatting sqref="H62:H90 H93:H500">
    <cfRule type="expression" dxfId="7" priority="185" stopIfTrue="1">
      <formula>AND(H62="", I62&lt;&gt;"")</formula>
    </cfRule>
  </conditionalFormatting>
  <conditionalFormatting sqref="H62:H90 H93:H500">
    <cfRule type="expression" dxfId="7" priority="186" stopIfTrue="1">
      <formula>AND(H62="", I62&lt;&gt;"")</formula>
    </cfRule>
  </conditionalFormatting>
  <conditionalFormatting sqref="H62:H90 H93:H500">
    <cfRule type="expression" dxfId="7" priority="187" stopIfTrue="1">
      <formula>AND(H62="", I62&lt;&gt;"")</formula>
    </cfRule>
  </conditionalFormatting>
  <conditionalFormatting sqref="H62:H90 H93:H500">
    <cfRule type="expression" dxfId="7" priority="188" stopIfTrue="1">
      <formula>AND(H62="", I62&lt;&gt;"")</formula>
    </cfRule>
  </conditionalFormatting>
  <conditionalFormatting sqref="H62:H90 H93:H500">
    <cfRule type="expression" dxfId="7" priority="189" stopIfTrue="1">
      <formula>AND(H62="", I62&lt;&gt;"")</formula>
    </cfRule>
  </conditionalFormatting>
  <conditionalFormatting sqref="H62:H90 H93:H500">
    <cfRule type="expression" dxfId="7" priority="190" stopIfTrue="1">
      <formula>AND(H62="", I62&lt;&gt;"")</formula>
    </cfRule>
  </conditionalFormatting>
  <conditionalFormatting sqref="H62:H90 H93:H500">
    <cfRule type="expression" dxfId="7" priority="191" stopIfTrue="1">
      <formula>AND(H62="", I62&lt;&gt;"")</formula>
    </cfRule>
  </conditionalFormatting>
  <conditionalFormatting sqref="H62:H90 H93:H500">
    <cfRule type="expression" dxfId="7" priority="192" stopIfTrue="1">
      <formula>AND(H62="", I62&lt;&gt;"")</formula>
    </cfRule>
  </conditionalFormatting>
  <conditionalFormatting sqref="H62:H90 H93:H500">
    <cfRule type="expression" dxfId="7" priority="193" stopIfTrue="1">
      <formula>AND(H62="", I62&lt;&gt;"")</formula>
    </cfRule>
  </conditionalFormatting>
  <conditionalFormatting sqref="H62:H90 H93:H500">
    <cfRule type="expression" dxfId="7" priority="194" stopIfTrue="1">
      <formula>AND(H62="", I62&lt;&gt;"")</formula>
    </cfRule>
  </conditionalFormatting>
  <conditionalFormatting sqref="H62:H90 H93:H500">
    <cfRule type="expression" dxfId="7" priority="195" stopIfTrue="1">
      <formula>AND(H62="", I62&lt;&gt;"")</formula>
    </cfRule>
  </conditionalFormatting>
  <conditionalFormatting sqref="H62:H90 H93:H500">
    <cfRule type="expression" dxfId="7" priority="196" stopIfTrue="1">
      <formula>AND(H62="", I62&lt;&gt;"")</formula>
    </cfRule>
  </conditionalFormatting>
  <conditionalFormatting sqref="H62:H90 H93:H500">
    <cfRule type="expression" dxfId="7" priority="197" stopIfTrue="1">
      <formula>AND(H62="", I62&lt;&gt;"")</formula>
    </cfRule>
  </conditionalFormatting>
  <conditionalFormatting sqref="H62:H90 H93:H500">
    <cfRule type="expression" dxfId="7" priority="198" stopIfTrue="1">
      <formula>AND(H62="", I62&lt;&gt;"")</formula>
    </cfRule>
  </conditionalFormatting>
  <conditionalFormatting sqref="H62:H90 H93:H500">
    <cfRule type="expression" dxfId="7" priority="199" stopIfTrue="1">
      <formula>AND(H62="", I62&lt;&gt;"")</formula>
    </cfRule>
  </conditionalFormatting>
  <conditionalFormatting sqref="H62:H90 H93:H500">
    <cfRule type="expression" dxfId="7" priority="200" stopIfTrue="1">
      <formula>AND(H62="", I62&lt;&gt;"")</formula>
    </cfRule>
  </conditionalFormatting>
  <conditionalFormatting sqref="H62:H90 H93:H500">
    <cfRule type="expression" dxfId="7" priority="201" stopIfTrue="1">
      <formula>AND(H62="", I62&lt;&gt;"")</formula>
    </cfRule>
  </conditionalFormatting>
  <conditionalFormatting sqref="H62:H90 H93:H500">
    <cfRule type="expression" dxfId="7" priority="202" stopIfTrue="1">
      <formula>AND(H62="", I62&lt;&gt;"")</formula>
    </cfRule>
  </conditionalFormatting>
  <conditionalFormatting sqref="H62:H90 H93:H500">
    <cfRule type="expression" dxfId="7" priority="203" stopIfTrue="1">
      <formula>AND(H62="", I62&lt;&gt;"")</formula>
    </cfRule>
  </conditionalFormatting>
  <conditionalFormatting sqref="H62:H90 H93:H500">
    <cfRule type="expression" dxfId="7" priority="204" stopIfTrue="1">
      <formula>AND(H62="", I62&lt;&gt;"")</formula>
    </cfRule>
  </conditionalFormatting>
  <conditionalFormatting sqref="H62:H90 H93:H500">
    <cfRule type="expression" dxfId="7" priority="205" stopIfTrue="1">
      <formula>AND(H62="", I62&lt;&gt;"")</formula>
    </cfRule>
  </conditionalFormatting>
  <conditionalFormatting sqref="H62:H90 H93:H500">
    <cfRule type="expression" dxfId="7" priority="206" stopIfTrue="1">
      <formula>AND(H62="", I62&lt;&gt;"")</formula>
    </cfRule>
  </conditionalFormatting>
  <conditionalFormatting sqref="H62:H90 H93:H500">
    <cfRule type="expression" dxfId="7" priority="207" stopIfTrue="1">
      <formula>AND(H62="", I62&lt;&gt;"")</formula>
    </cfRule>
  </conditionalFormatting>
  <conditionalFormatting sqref="H62:H90 H93:H500">
    <cfRule type="expression" dxfId="7" priority="208" stopIfTrue="1">
      <formula>AND(H62="", I62&lt;&gt;"")</formula>
    </cfRule>
  </conditionalFormatting>
  <conditionalFormatting sqref="H62:H90 H93:H500">
    <cfRule type="expression" dxfId="7" priority="209" stopIfTrue="1">
      <formula>AND(H62="", I62&lt;&gt;"")</formula>
    </cfRule>
  </conditionalFormatting>
  <conditionalFormatting sqref="H62:H90 H93:H500">
    <cfRule type="expression" dxfId="7" priority="210" stopIfTrue="1">
      <formula>AND(H62="", I62&lt;&gt;"")</formula>
    </cfRule>
  </conditionalFormatting>
  <conditionalFormatting sqref="H62:H90 H93:H500">
    <cfRule type="expression" dxfId="7" priority="211" stopIfTrue="1">
      <formula>AND(H62="", I62&lt;&gt;"")</formula>
    </cfRule>
  </conditionalFormatting>
  <conditionalFormatting sqref="H62:H90 H93:H500">
    <cfRule type="expression" dxfId="7" priority="212" stopIfTrue="1">
      <formula>AND(H62="", I62&lt;&gt;"")</formula>
    </cfRule>
  </conditionalFormatting>
  <conditionalFormatting sqref="H62:H90 H93:H500">
    <cfRule type="expression" dxfId="7" priority="213" stopIfTrue="1">
      <formula>AND(H62="", I62&lt;&gt;"")</formula>
    </cfRule>
  </conditionalFormatting>
  <conditionalFormatting sqref="H62:H90 H93:H500">
    <cfRule type="expression" dxfId="7" priority="214" stopIfTrue="1">
      <formula>AND(H62="", I62&lt;&gt;"")</formula>
    </cfRule>
  </conditionalFormatting>
  <conditionalFormatting sqref="H62:H90 H93:H500">
    <cfRule type="expression" dxfId="7" priority="215" stopIfTrue="1">
      <formula>AND(H62="", I62&lt;&gt;"")</formula>
    </cfRule>
  </conditionalFormatting>
  <conditionalFormatting sqref="H62:H90 H93:H500">
    <cfRule type="expression" dxfId="7" priority="216" stopIfTrue="1">
      <formula>AND(H62="", I62&lt;&gt;"")</formula>
    </cfRule>
  </conditionalFormatting>
  <conditionalFormatting sqref="H62:H90 H93:H500">
    <cfRule type="expression" dxfId="7" priority="217" stopIfTrue="1">
      <formula>AND(H62="", I62&lt;&gt;"")</formula>
    </cfRule>
  </conditionalFormatting>
  <conditionalFormatting sqref="H62:H90 H93:H500">
    <cfRule type="expression" dxfId="7" priority="218" stopIfTrue="1">
      <formula>AND(H62="", I62&lt;&gt;"")</formula>
    </cfRule>
  </conditionalFormatting>
  <conditionalFormatting sqref="H62:H90 H93:H500">
    <cfRule type="expression" dxfId="7" priority="219" stopIfTrue="1">
      <formula>AND(H62="", I62&lt;&gt;"")</formula>
    </cfRule>
  </conditionalFormatting>
  <conditionalFormatting sqref="H62:H90 H93:H500">
    <cfRule type="expression" dxfId="7" priority="220" stopIfTrue="1">
      <formula>AND(H62="", I62&lt;&gt;"")</formula>
    </cfRule>
  </conditionalFormatting>
  <conditionalFormatting sqref="H62:H90 H93:H500">
    <cfRule type="expression" dxfId="7" priority="221" stopIfTrue="1">
      <formula>AND(H62="", I62&lt;&gt;"")</formula>
    </cfRule>
  </conditionalFormatting>
  <conditionalFormatting sqref="H62:H90 H93:H500">
    <cfRule type="expression" dxfId="7" priority="222" stopIfTrue="1">
      <formula>AND(H62="", I62&lt;&gt;"")</formula>
    </cfRule>
  </conditionalFormatting>
  <conditionalFormatting sqref="H62:H90 H93:H500">
    <cfRule type="expression" dxfId="7" priority="223" stopIfTrue="1">
      <formula>AND(H62="", I62&lt;&gt;"")</formula>
    </cfRule>
  </conditionalFormatting>
  <conditionalFormatting sqref="H62:H90 H93:H500">
    <cfRule type="expression" dxfId="7" priority="224" stopIfTrue="1">
      <formula>AND(H62="", I62&lt;&gt;"")</formula>
    </cfRule>
  </conditionalFormatting>
  <conditionalFormatting sqref="H62:H90 H93:H500">
    <cfRule type="expression" dxfId="7" priority="225" stopIfTrue="1">
      <formula>AND(H62="", I62&lt;&gt;"")</formula>
    </cfRule>
  </conditionalFormatting>
  <conditionalFormatting sqref="H62:H90 H93:H500">
    <cfRule type="expression" dxfId="7" priority="226" stopIfTrue="1">
      <formula>AND(H62="", I62&lt;&gt;"")</formula>
    </cfRule>
  </conditionalFormatting>
  <conditionalFormatting sqref="H62:H90 H93:H500">
    <cfRule type="expression" dxfId="7" priority="227" stopIfTrue="1">
      <formula>AND(H62="", I62&lt;&gt;"")</formula>
    </cfRule>
  </conditionalFormatting>
  <conditionalFormatting sqref="H62:H90 H93:H500">
    <cfRule type="expression" dxfId="7" priority="228" stopIfTrue="1">
      <formula>AND(H62="", I62&lt;&gt;"")</formula>
    </cfRule>
  </conditionalFormatting>
  <conditionalFormatting sqref="H62:H90 H93:H500">
    <cfRule type="expression" dxfId="7" priority="229" stopIfTrue="1">
      <formula>AND(H62="", I62&lt;&gt;"")</formula>
    </cfRule>
  </conditionalFormatting>
  <conditionalFormatting sqref="H62:H90 H93:H500">
    <cfRule type="expression" dxfId="7" priority="230" stopIfTrue="1">
      <formula>AND(H62="", I62&lt;&gt;"")</formula>
    </cfRule>
  </conditionalFormatting>
  <conditionalFormatting sqref="H62:H90 H93:H500">
    <cfRule type="expression" dxfId="7" priority="231" stopIfTrue="1">
      <formula>AND(H62="", I62&lt;&gt;"")</formula>
    </cfRule>
  </conditionalFormatting>
  <conditionalFormatting sqref="H62:H90 H93:H500">
    <cfRule type="expression" dxfId="7" priority="232" stopIfTrue="1">
      <formula>AND(H62="", I62&lt;&gt;"")</formula>
    </cfRule>
  </conditionalFormatting>
  <conditionalFormatting sqref="H62:H90 H93:H500">
    <cfRule type="expression" dxfId="7" priority="233" stopIfTrue="1">
      <formula>AND(H62="", I62&lt;&gt;"")</formula>
    </cfRule>
  </conditionalFormatting>
  <conditionalFormatting sqref="H62:H90 H93:H500">
    <cfRule type="expression" dxfId="7" priority="234" stopIfTrue="1">
      <formula>AND(H62="", I62&lt;&gt;"")</formula>
    </cfRule>
  </conditionalFormatting>
  <conditionalFormatting sqref="H62:H90 H93:H500">
    <cfRule type="expression" dxfId="7" priority="235" stopIfTrue="1">
      <formula>AND(H62="", I62&lt;&gt;"")</formula>
    </cfRule>
  </conditionalFormatting>
  <conditionalFormatting sqref="H62:H90 H93:H500">
    <cfRule type="expression" dxfId="7" priority="236" stopIfTrue="1">
      <formula>AND(H62="", I62&lt;&gt;"")</formula>
    </cfRule>
  </conditionalFormatting>
  <conditionalFormatting sqref="H62:H90 H93:H500">
    <cfRule type="expression" dxfId="7" priority="237" stopIfTrue="1">
      <formula>AND(H62="", I62&lt;&gt;"")</formula>
    </cfRule>
  </conditionalFormatting>
  <conditionalFormatting sqref="H62:H90 H93:H500">
    <cfRule type="expression" dxfId="7" priority="238" stopIfTrue="1">
      <formula>AND(H62="", I62&lt;&gt;"")</formula>
    </cfRule>
  </conditionalFormatting>
  <conditionalFormatting sqref="H62:H90 H93:H500">
    <cfRule type="expression" dxfId="7" priority="239" stopIfTrue="1">
      <formula>AND(H62="", I62&lt;&gt;"")</formula>
    </cfRule>
  </conditionalFormatting>
  <conditionalFormatting sqref="H62:H90 H93:H500">
    <cfRule type="expression" dxfId="7" priority="240" stopIfTrue="1">
      <formula>AND(H62="", I62&lt;&gt;"")</formula>
    </cfRule>
  </conditionalFormatting>
  <conditionalFormatting sqref="H62:H90 H93:H500">
    <cfRule type="expression" dxfId="7" priority="241" stopIfTrue="1">
      <formula>AND(H62="", I62&lt;&gt;"")</formula>
    </cfRule>
  </conditionalFormatting>
  <conditionalFormatting sqref="H62:H90 H93:H500">
    <cfRule type="expression" dxfId="7" priority="242" stopIfTrue="1">
      <formula>AND(H62="", I62&lt;&gt;"")</formula>
    </cfRule>
  </conditionalFormatting>
  <conditionalFormatting sqref="H62:H90 H93:H500">
    <cfRule type="expression" dxfId="7" priority="243" stopIfTrue="1">
      <formula>AND(H62="", I62&lt;&gt;"")</formula>
    </cfRule>
  </conditionalFormatting>
  <conditionalFormatting sqref="H62:H90 H93:H500">
    <cfRule type="expression" dxfId="7" priority="244" stopIfTrue="1">
      <formula>AND(H62="", I62&lt;&gt;"")</formula>
    </cfRule>
  </conditionalFormatting>
  <conditionalFormatting sqref="H62:H90 H93:H500">
    <cfRule type="expression" dxfId="7" priority="245" stopIfTrue="1">
      <formula>AND(H62="", I62&lt;&gt;"")</formula>
    </cfRule>
  </conditionalFormatting>
  <conditionalFormatting sqref="H62:H90 H93:H500">
    <cfRule type="expression" dxfId="7" priority="246" stopIfTrue="1">
      <formula>AND(H62="", I62&lt;&gt;"")</formula>
    </cfRule>
  </conditionalFormatting>
  <conditionalFormatting sqref="H62:H90 H93:H500">
    <cfRule type="expression" dxfId="7" priority="247" stopIfTrue="1">
      <formula>AND(H62="", I62&lt;&gt;"")</formula>
    </cfRule>
  </conditionalFormatting>
  <conditionalFormatting sqref="H62:H90 H93:H500">
    <cfRule type="expression" dxfId="7" priority="248" stopIfTrue="1">
      <formula>AND(H62="", I62&lt;&gt;"")</formula>
    </cfRule>
  </conditionalFormatting>
  <conditionalFormatting sqref="H62:H90 H93:H500">
    <cfRule type="expression" dxfId="7" priority="249" stopIfTrue="1">
      <formula>AND(H62="", I62&lt;&gt;"")</formula>
    </cfRule>
  </conditionalFormatting>
  <conditionalFormatting sqref="H62:H90 H93:H500">
    <cfRule type="expression" dxfId="7" priority="250" stopIfTrue="1">
      <formula>AND(H62="", I62&lt;&gt;"")</formula>
    </cfRule>
  </conditionalFormatting>
  <conditionalFormatting sqref="H62:H90 H93:H500">
    <cfRule type="expression" dxfId="7" priority="251" stopIfTrue="1">
      <formula>AND(H62="", I62&lt;&gt;"")</formula>
    </cfRule>
  </conditionalFormatting>
  <conditionalFormatting sqref="H62:H90 H93:H500">
    <cfRule type="expression" dxfId="7" priority="252" stopIfTrue="1">
      <formula>AND(H62="", I62&lt;&gt;"")</formula>
    </cfRule>
  </conditionalFormatting>
  <conditionalFormatting sqref="H62:H90 H93:H500">
    <cfRule type="expression" dxfId="7" priority="253" stopIfTrue="1">
      <formula>AND(H62="", I62&lt;&gt;"")</formula>
    </cfRule>
  </conditionalFormatting>
  <conditionalFormatting sqref="H62:H90 H93:H500">
    <cfRule type="expression" dxfId="7" priority="254" stopIfTrue="1">
      <formula>AND(H62="", I62&lt;&gt;"")</formula>
    </cfRule>
  </conditionalFormatting>
  <conditionalFormatting sqref="H62:H90 H93:H500">
    <cfRule type="expression" dxfId="7" priority="255" stopIfTrue="1">
      <formula>AND(H62="", I62&lt;&gt;"")</formula>
    </cfRule>
  </conditionalFormatting>
  <conditionalFormatting sqref="H62:H90 H93:H500">
    <cfRule type="expression" dxfId="7" priority="256" stopIfTrue="1">
      <formula>AND(H62="", I62&lt;&gt;"")</formula>
    </cfRule>
  </conditionalFormatting>
  <conditionalFormatting sqref="H62:H90 H93:H500">
    <cfRule type="expression" dxfId="7" priority="257" stopIfTrue="1">
      <formula>AND(H62="", I62&lt;&gt;"")</formula>
    </cfRule>
  </conditionalFormatting>
  <conditionalFormatting sqref="H62:H90 H93:H500">
    <cfRule type="expression" dxfId="7" priority="258" stopIfTrue="1">
      <formula>AND(H62="", I62&lt;&gt;"")</formula>
    </cfRule>
  </conditionalFormatting>
  <conditionalFormatting sqref="H62:H90 H93:H500">
    <cfRule type="expression" dxfId="7" priority="259" stopIfTrue="1">
      <formula>AND(H62="", I62&lt;&gt;"")</formula>
    </cfRule>
  </conditionalFormatting>
  <conditionalFormatting sqref="H62:H90 H93:H500">
    <cfRule type="expression" dxfId="7" priority="260" stopIfTrue="1">
      <formula>AND(H62="", I62&lt;&gt;"")</formula>
    </cfRule>
  </conditionalFormatting>
  <conditionalFormatting sqref="H62:H90 H93:H500">
    <cfRule type="expression" dxfId="7" priority="261" stopIfTrue="1">
      <formula>AND(H62="", I62&lt;&gt;"")</formula>
    </cfRule>
  </conditionalFormatting>
  <conditionalFormatting sqref="H62:H90 H93:H500">
    <cfRule type="expression" dxfId="7" priority="262" stopIfTrue="1">
      <formula>AND(H62="", I62&lt;&gt;"")</formula>
    </cfRule>
  </conditionalFormatting>
  <conditionalFormatting sqref="H62:H90 H93:H500">
    <cfRule type="expression" dxfId="7" priority="263" stopIfTrue="1">
      <formula>AND(H62="", I62&lt;&gt;"")</formula>
    </cfRule>
  </conditionalFormatting>
  <conditionalFormatting sqref="H62:H90 H93:H500">
    <cfRule type="expression" dxfId="7" priority="264" stopIfTrue="1">
      <formula>AND(H62="", I62&lt;&gt;"")</formula>
    </cfRule>
  </conditionalFormatting>
  <conditionalFormatting sqref="H62:H90 H93:H500">
    <cfRule type="expression" dxfId="7" priority="265" stopIfTrue="1">
      <formula>AND(H62="", I62&lt;&gt;"")</formula>
    </cfRule>
  </conditionalFormatting>
  <conditionalFormatting sqref="H62:H90 H93:H500">
    <cfRule type="expression" dxfId="7" priority="266" stopIfTrue="1">
      <formula>AND(H62="", I62&lt;&gt;"")</formula>
    </cfRule>
  </conditionalFormatting>
  <conditionalFormatting sqref="H62:H90 H93:H500">
    <cfRule type="expression" dxfId="7" priority="267" stopIfTrue="1">
      <formula>AND(H62="", I62&lt;&gt;"")</formula>
    </cfRule>
  </conditionalFormatting>
  <conditionalFormatting sqref="H62:H90 H93:H500">
    <cfRule type="expression" dxfId="7" priority="268" stopIfTrue="1">
      <formula>AND(H62="", I62&lt;&gt;"")</formula>
    </cfRule>
  </conditionalFormatting>
  <conditionalFormatting sqref="H62:H90 H93:H500">
    <cfRule type="expression" dxfId="7" priority="269" stopIfTrue="1">
      <formula>AND(H62="", I62&lt;&gt;"")</formula>
    </cfRule>
  </conditionalFormatting>
  <conditionalFormatting sqref="H62:H90 H93:H500">
    <cfRule type="expression" dxfId="7" priority="270" stopIfTrue="1">
      <formula>AND(H62="", I62&lt;&gt;"")</formula>
    </cfRule>
  </conditionalFormatting>
  <conditionalFormatting sqref="H62:H90 H93:H500">
    <cfRule type="expression" dxfId="7" priority="271" stopIfTrue="1">
      <formula>AND(H62="", I62&lt;&gt;"")</formula>
    </cfRule>
  </conditionalFormatting>
  <conditionalFormatting sqref="H62:H90 H93:H500">
    <cfRule type="expression" dxfId="7" priority="272" stopIfTrue="1">
      <formula>AND(H62="", I62&lt;&gt;"")</formula>
    </cfRule>
  </conditionalFormatting>
  <conditionalFormatting sqref="H62:H90 H93:H500">
    <cfRule type="expression" dxfId="7" priority="273" stopIfTrue="1">
      <formula>AND(H62="", I62&lt;&gt;"")</formula>
    </cfRule>
  </conditionalFormatting>
  <conditionalFormatting sqref="H62:H90 H93:H500">
    <cfRule type="expression" dxfId="7" priority="274" stopIfTrue="1">
      <formula>AND(H62="", I62&lt;&gt;"")</formula>
    </cfRule>
  </conditionalFormatting>
  <conditionalFormatting sqref="H62:H90 H93:H500">
    <cfRule type="expression" dxfId="7" priority="275" stopIfTrue="1">
      <formula>AND(H62="", I62&lt;&gt;"")</formula>
    </cfRule>
  </conditionalFormatting>
  <conditionalFormatting sqref="H62:H500">
    <cfRule type="expression" dxfId="7" priority="276" stopIfTrue="1">
      <formula>AND(H62="", I62&lt;&gt;"")</formula>
    </cfRule>
  </conditionalFormatting>
  <dataValidations>
    <dataValidation type="list" allowBlank="1" showErrorMessage="1" sqref="J272">
      <formula1>'3월'!$AB$272:$AI$272</formula1>
    </dataValidation>
    <dataValidation type="list" allowBlank="1" showErrorMessage="1" sqref="J475">
      <formula1>'3월'!$AB$475:$AI$475</formula1>
    </dataValidation>
    <dataValidation type="list" allowBlank="1" showErrorMessage="1" sqref="J381">
      <formula1>'3월'!$AB$381:$AI$381</formula1>
    </dataValidation>
    <dataValidation type="list" allowBlank="1" showErrorMessage="1" sqref="J93">
      <formula1>'3월'!$AB$93:$AI$93</formula1>
    </dataValidation>
    <dataValidation type="list" allowBlank="1" showErrorMessage="1" sqref="J404">
      <formula1>'3월'!$AB$404:$AI$404</formula1>
    </dataValidation>
    <dataValidation type="list" allowBlank="1" showErrorMessage="1" sqref="J366">
      <formula1>'3월'!$AB$366:$AI$366</formula1>
    </dataValidation>
    <dataValidation type="list" allowBlank="1" showErrorMessage="1" sqref="J78">
      <formula1>'3월'!$AB$78:$AI$78</formula1>
    </dataValidation>
    <dataValidation type="list" allowBlank="1" showErrorMessage="1" sqref="J183">
      <formula1>'3월'!$AB$183:$AI$183</formula1>
    </dataValidation>
    <dataValidation type="list" allowBlank="1" showErrorMessage="1" sqref="J257">
      <formula1>'3월'!$AB$257:$AI$257</formula1>
    </dataValidation>
    <dataValidation type="list" allowBlank="1" showErrorMessage="1" sqref="J490">
      <formula1>'3월'!$AB$490:$AI$490</formula1>
    </dataValidation>
    <dataValidation type="list" allowBlank="1" showErrorMessage="1" sqref="J455">
      <formula1>'3월'!$AB$455:$AI$455</formula1>
    </dataValidation>
    <dataValidation type="list" allowBlank="1" showErrorMessage="1" sqref="J495">
      <formula1>'3월'!$AB$495:$AI$495</formula1>
    </dataValidation>
    <dataValidation type="list" allowBlank="1" showErrorMessage="1" sqref="J148">
      <formula1>'3월'!$AB$148:$AI$148</formula1>
    </dataValidation>
    <dataValidation type="list" allowBlank="1" showErrorMessage="1" sqref="J237">
      <formula1>'3월'!$AB$237:$AI$237</formula1>
    </dataValidation>
    <dataValidation type="list" allowBlank="1" showErrorMessage="1" sqref="J330">
      <formula1>'3월'!$AB$330:$AI$330</formula1>
    </dataValidation>
    <dataValidation type="list" allowBlank="1" showErrorMessage="1" sqref="J292">
      <formula1>'3월'!$AB$292:$AI$292</formula1>
    </dataValidation>
    <dataValidation type="list" allowBlank="1" showErrorMessage="1" sqref="J297">
      <formula1>'3월'!$AB$297:$AI$297</formula1>
    </dataValidation>
    <dataValidation type="list" allowBlank="1" showErrorMessage="1" sqref="J346">
      <formula1>'3월'!$AB$346:$AI$346</formula1>
    </dataValidation>
    <dataValidation type="list" allowBlank="1" showErrorMessage="1" sqref="J199">
      <formula1>'3월'!$AB$199:$AI$199</formula1>
    </dataValidation>
    <dataValidation type="list" allowBlank="1" showErrorMessage="1" sqref="J132">
      <formula1>'3월'!$AB$132:$AI$132</formula1>
    </dataValidation>
    <dataValidation type="list" allowBlank="1" showErrorMessage="1" sqref="J232">
      <formula1>'3월'!$AB$232:$AI$232</formula1>
    </dataValidation>
    <dataValidation type="list" allowBlank="1" showErrorMessage="1" sqref="J435">
      <formula1>'3월'!$AB$435:$AI$435</formula1>
    </dataValidation>
    <dataValidation type="list" allowBlank="1" showErrorMessage="1" sqref="J128">
      <formula1>'3월'!$AB$128:$AI$128</formula1>
    </dataValidation>
    <dataValidation type="list" allowBlank="1" showErrorMessage="1" sqref="J123">
      <formula1>'3월'!$AB$123:$AI$123</formula1>
    </dataValidation>
    <dataValidation type="list" allowBlank="1" showErrorMessage="1" sqref="J241">
      <formula1>'3월'!$AB$241:$AI$241</formula1>
    </dataValidation>
    <dataValidation type="list" allowBlank="1" showErrorMessage="1" sqref="J350">
      <formula1>'3월'!$AB$350:$AI$350</formula1>
    </dataValidation>
    <dataValidation type="list" allowBlank="1" showErrorMessage="1" sqref="J217">
      <formula1>'3월'!$AB$217:$AI$217</formula1>
    </dataValidation>
    <dataValidation type="list" allowBlank="1" showErrorMessage="1" sqref="J108">
      <formula1>'3월'!$AB$108:$AI$108</formula1>
    </dataValidation>
    <dataValidation type="list" allowBlank="1" showErrorMessage="1" sqref="J81">
      <formula1>'3월'!$AB$81:$AI$81</formula1>
    </dataValidation>
    <dataValidation type="list" allowBlank="1" showErrorMessage="1" sqref="J137">
      <formula1>'3월'!$AB$137:$AI$137</formula1>
    </dataValidation>
    <dataValidation type="list" allowBlank="1" showErrorMessage="1" sqref="J326">
      <formula1>'3월'!$AB$326:$AI$326</formula1>
    </dataValidation>
    <dataValidation type="list" allowBlank="1" showErrorMessage="1" sqref="J444">
      <formula1>'3월'!$AB$444:$AI$444</formula1>
    </dataValidation>
    <dataValidation type="list" allowBlank="1" showErrorMessage="1" sqref="J341">
      <formula1>'3월'!$AB$341:$AI$341</formula1>
    </dataValidation>
    <dataValidation type="list" allowBlank="1" showErrorMessage="1" sqref="J226">
      <formula1>'3월'!$AB$226:$AI$226</formula1>
    </dataValidation>
    <dataValidation type="list" allowBlank="1" showErrorMessage="1" sqref="J415">
      <formula1>'3월'!$AB$415:$AI$415</formula1>
    </dataValidation>
    <dataValidation type="list" allowBlank="1" showErrorMessage="1" sqref="J117">
      <formula1>'3월'!$AB$117:$AI$117</formula1>
    </dataValidation>
    <dataValidation type="list" allowBlank="1" showErrorMessage="1" sqref="J450">
      <formula1>'3월'!$AB$450:$AI$450</formula1>
    </dataValidation>
    <dataValidation type="list" allowBlank="1" showErrorMessage="1" sqref="J152">
      <formula1>'3월'!$AB$152:$AI$152</formula1>
    </dataValidation>
    <dataValidation type="list" allowBlank="1" showErrorMessage="1" sqref="J335">
      <formula1>'3월'!$AB$335:$AI$335</formula1>
    </dataValidation>
    <dataValidation type="list" allowBlank="1" showErrorMessage="1" sqref="J261">
      <formula1>'3월'!$AB$261:$AI$261</formula1>
    </dataValidation>
    <dataValidation type="list" allowBlank="1" showErrorMessage="1" sqref="J143">
      <formula1>'3월'!$AB$143:$AI$143</formula1>
    </dataValidation>
    <dataValidation type="list" allowBlank="1" showErrorMessage="1" sqref="J424">
      <formula1>'3월'!$AB$424:$AI$424</formula1>
    </dataValidation>
    <dataValidation type="list" allowBlank="1" showErrorMessage="1" sqref="J315">
      <formula1>'3월'!$AB$315:$AI$315</formula1>
    </dataValidation>
    <dataValidation type="list" allowBlank="1" showErrorMessage="1" sqref="J252">
      <formula1>'3월'!$AB$252:$AI$252</formula1>
    </dataValidation>
    <dataValidation type="list" allowBlank="1" showErrorMessage="1" sqref="J361">
      <formula1>'3월'!$AB$361:$AI$361</formula1>
    </dataValidation>
    <dataValidation type="list" allowBlank="1" showErrorMessage="1" sqref="J370">
      <formula1>'3월'!$AB$370:$AI$370</formula1>
    </dataValidation>
    <dataValidation type="list" allowBlank="1" showErrorMessage="1" sqref="J281">
      <formula1>'3월'!$AB$281:$AI$281</formula1>
    </dataValidation>
    <dataValidation type="list" allowBlank="1" showErrorMessage="1" sqref="J470">
      <formula1>'3월'!$AB$470:$AI$470</formula1>
    </dataValidation>
    <dataValidation type="list" allowBlank="1" showErrorMessage="1" sqref="J306">
      <formula1>'3월'!$AB$306:$AI$306</formula1>
    </dataValidation>
    <dataValidation type="list" allowBlank="1" showErrorMessage="1" sqref="J206">
      <formula1>'3월'!$AB$206:$AI$206</formula1>
    </dataValidation>
    <dataValidation type="list" allowBlank="1" showErrorMessage="1" sqref="J76">
      <formula1>'3월'!$AB$76:$AI$76</formula1>
    </dataValidation>
    <dataValidation type="list" allowBlank="1" showErrorMessage="1" sqref="J163">
      <formula1>'3월'!$AB$163:$AI$163</formula1>
    </dataValidation>
    <dataValidation type="list" allowBlank="1" showErrorMessage="1" sqref="J172">
      <formula1>'3월'!$AB$172:$AI$172</formula1>
    </dataValidation>
    <dataValidation type="list" allowBlank="1" showErrorMessage="1" sqref="J286">
      <formula1>'3월'!$AB$286:$AI$286</formula1>
    </dataValidation>
    <dataValidation type="list" allowBlank="1" showErrorMessage="1" sqref="J461">
      <formula1>'3월'!$AB$461:$AI$461</formula1>
    </dataValidation>
    <dataValidation type="list" allowBlank="1" showErrorMessage="1" sqref="J177">
      <formula1>'3월'!$AB$177:$AI$177</formula1>
    </dataValidation>
    <dataValidation type="list" allowBlank="1" showErrorMessage="1" sqref="J106">
      <formula1>'3월'!$AB$106:$AI$106</formula1>
    </dataValidation>
    <dataValidation type="list" allowBlank="1" showErrorMessage="1" sqref="J139">
      <formula1>'3월'!$AB$139:$AI$139</formula1>
    </dataValidation>
    <dataValidation type="list" allowBlank="1" showErrorMessage="1" sqref="J215">
      <formula1>'3월'!$AB$215:$AI$215</formula1>
    </dataValidation>
    <dataValidation type="list" allowBlank="1" showErrorMessage="1" sqref="J248">
      <formula1>'3월'!$AB$248:$AI$248</formula1>
    </dataValidation>
    <dataValidation type="list" allowBlank="1" showErrorMessage="1" sqref="J121">
      <formula1>'3월'!$AB$121:$AI$121</formula1>
    </dataValidation>
    <dataValidation type="list" allowBlank="1" showErrorMessage="1" sqref="J395">
      <formula1>'3월'!$AB$395:$AI$395</formula1>
    </dataValidation>
    <dataValidation type="list" allowBlank="1" showErrorMessage="1" sqref="J154">
      <formula1>'3월'!$AB$154:$AI$154</formula1>
    </dataValidation>
    <dataValidation type="list" allowBlank="1" showErrorMessage="1" sqref="J210">
      <formula1>'3월'!$AB$210:$AI$210</formula1>
    </dataValidation>
    <dataValidation type="list" allowBlank="1" showErrorMessage="1" sqref="J390">
      <formula1>'3월'!$AB$390:$AI$390</formula1>
    </dataValidation>
    <dataValidation type="list" allowBlank="1" showErrorMessage="1" sqref="J489">
      <formula1>'3월'!$AB$489:$AI$489</formula1>
    </dataValidation>
    <dataValidation type="list" allowBlank="1" showErrorMessage="1" sqref="J101">
      <formula1>'3월'!$AB$101:$AI$101</formula1>
    </dataValidation>
    <dataValidation type="list" allowBlank="1" showErrorMessage="1" sqref="J230">
      <formula1>'3월'!$AB$230:$AI$230</formula1>
    </dataValidation>
    <dataValidation type="list" allowBlank="1" showErrorMessage="1" sqref="J263">
      <formula1>'3월'!$AB$263:$AI$263</formula1>
    </dataValidation>
    <dataValidation type="list" allowBlank="1" showErrorMessage="1" sqref="J304">
      <formula1>'3월'!$AB$304:$AI$304</formula1>
    </dataValidation>
    <dataValidation type="list" allowBlank="1" showErrorMessage="1" sqref="J375">
      <formula1>'3월'!$AB$375:$AI$375</formula1>
    </dataValidation>
    <dataValidation type="list" allowBlank="1" showErrorMessage="1" sqref="J337">
      <formula1>'3월'!$AB$337:$AI$337</formula1>
    </dataValidation>
    <dataValidation type="list" allowBlank="1" showErrorMessage="1" sqref="J413">
      <formula1>'3월'!$AB$413:$AI$413</formula1>
    </dataValidation>
    <dataValidation type="list" allowBlank="1" showErrorMessage="1" sqref="J446">
      <formula1>'3월'!$AB$446:$AI$446</formula1>
    </dataValidation>
    <dataValidation type="list" allowBlank="1" showErrorMessage="1" sqref="J197">
      <formula1>'3월'!$AB$197:$AI$197</formula1>
    </dataValidation>
    <dataValidation type="list" allowBlank="1" showErrorMessage="1" sqref="J192">
      <formula1>'3월'!$AB$192:$AI$192</formula1>
    </dataValidation>
    <dataValidation type="list" allowBlank="1" showErrorMessage="1" sqref="J372">
      <formula1>'3월'!$AB$372:$AI$372</formula1>
    </dataValidation>
    <dataValidation type="list" allowBlank="1" showErrorMessage="1" sqref="J83">
      <formula1>'3월'!$AB$83:$AI$83</formula1>
    </dataValidation>
    <dataValidation type="list" allowBlank="1" showErrorMessage="1" sqref="J266">
      <formula1>'3월'!$AB$266:$AI$266</formula1>
    </dataValidation>
    <dataValidation type="list" allowBlank="1" showErrorMessage="1" sqref="J157">
      <formula1>'3월'!$AB$157:$AI$157</formula1>
    </dataValidation>
    <dataValidation type="list" allowBlank="1" showErrorMessage="1" sqref="J481">
      <formula1>'3월'!$AB$481:$AI$481</formula1>
    </dataValidation>
    <dataValidation type="list" allowBlank="1" showErrorMessage="1" sqref="J283">
      <formula1>'3월'!$AB$283:$AI$283</formula1>
    </dataValidation>
    <dataValidation type="list" allowBlank="1" showErrorMessage="1" sqref="J317">
      <formula1>'3월'!$AB$317:$AI$317</formula1>
    </dataValidation>
    <dataValidation type="list" allowBlank="1" showErrorMessage="1" sqref="J464">
      <formula1>'3월'!$AB$464:$AI$464</formula1>
    </dataValidation>
    <dataValidation type="list" allowBlank="1" showErrorMessage="1" sqref="J141">
      <formula1>'3월'!$AB$141:$AI$141</formula1>
    </dataValidation>
    <dataValidation type="list" allowBlank="1" showErrorMessage="1" sqref="J174">
      <formula1>'3월'!$AB$174:$AI$174</formula1>
    </dataValidation>
    <dataValidation type="list" allowBlank="1" showErrorMessage="1" sqref="J91">
      <formula1>'3월'!$AB$91:$AI$91</formula1>
    </dataValidation>
    <dataValidation type="list" allowBlank="1" showErrorMessage="1" sqref="J228">
      <formula1>'3월'!$AB$228:$AI$228</formula1>
    </dataValidation>
    <dataValidation type="list" allowBlank="1" showErrorMessage="1" sqref="J469">
      <formula1>'3월'!$AB$469:$AI$469</formula1>
    </dataValidation>
    <dataValidation type="list" allowBlank="1" showErrorMessage="1" sqref="J250">
      <formula1>'3월'!$AB$250:$AI$250</formula1>
    </dataValidation>
    <dataValidation type="list" allowBlank="1" showErrorMessage="1" sqref="J355">
      <formula1>'3월'!$AB$355:$AI$355</formula1>
    </dataValidation>
    <dataValidation type="list" allowBlank="1" showErrorMessage="1" sqref="J119">
      <formula1>'3월'!$AB$119:$AI$119</formula1>
    </dataValidation>
    <dataValidation type="list" allowBlank="1" showErrorMessage="1" sqref="J97">
      <formula1>'3월'!$AB$97:$AI$97</formula1>
    </dataValidation>
    <dataValidation type="list" allowBlank="1" showErrorMessage="1" sqref="J246">
      <formula1>'3월'!$AB$246:$AI$246</formula1>
    </dataValidation>
    <dataValidation type="list" allowBlank="1" showErrorMessage="1" sqref="J392">
      <formula1>'3월'!$AB$392:$AI$392</formula1>
    </dataValidation>
    <dataValidation type="list" allowBlank="1" showErrorMessage="1" sqref="J426">
      <formula1>'3월'!$AB$426:$AI$426</formula1>
    </dataValidation>
    <dataValidation type="list" allowBlank="1" showErrorMessage="1" sqref="J397">
      <formula1>'3월'!$AB$397:$AI$397</formula1>
    </dataValidation>
    <dataValidation type="list" allowBlank="1" showErrorMessage="1" sqref="J288">
      <formula1>'3월'!$AB$288:$AI$288</formula1>
    </dataValidation>
    <dataValidation type="list" allowBlank="1" showErrorMessage="1" sqref="J430">
      <formula1>'3월'!$AB$430:$AI$430</formula1>
    </dataValidation>
    <dataValidation type="list" allowBlank="1" showErrorMessage="1" sqref="J179">
      <formula1>'3월'!$AB$179:$AI$179</formula1>
    </dataValidation>
    <dataValidation type="list" allowBlank="1" showErrorMessage="1" sqref="J429">
      <formula1>'3월'!$AB$429:$AI$429</formula1>
    </dataValidation>
    <dataValidation type="list" allowBlank="1" showErrorMessage="1" sqref="J194">
      <formula1>'3월'!$AB$194:$AI$194</formula1>
    </dataValidation>
    <dataValidation type="list" allowBlank="1" showErrorMessage="1" sqref="J321">
      <formula1>'3월'!$AB$321:$AI$321</formula1>
    </dataValidation>
    <dataValidation type="list" allowBlank="1" showErrorMessage="1" sqref="J212">
      <formula1>'3월'!$AB$212:$AI$212</formula1>
    </dataValidation>
    <dataValidation type="list" allowBlank="1" showErrorMessage="1" sqref="J449">
      <formula1>'3월'!$AB$449:$AI$449</formula1>
    </dataValidation>
    <dataValidation type="list" allowBlank="1" showErrorMessage="1" sqref="J486">
      <formula1>'3월'!$AB$486:$AI$486</formula1>
    </dataValidation>
    <dataValidation type="list" allowBlank="1" showErrorMessage="1" sqref="J103">
      <formula1>'3월'!$AB$103:$AI$103</formula1>
    </dataValidation>
    <dataValidation type="list" allowBlank="1" showErrorMessage="1" sqref="J377">
      <formula1>'3월'!$AB$377:$AI$377</formula1>
    </dataValidation>
    <dataValidation type="list" allowBlank="1" showErrorMessage="1" sqref="J410">
      <formula1>'3월'!$AB$410:$AI$410</formula1>
    </dataValidation>
    <dataValidation type="list" allowBlank="1" showErrorMessage="1" sqref="J95">
      <formula1>'3월'!$AB$95:$AI$95</formula1>
    </dataValidation>
    <dataValidation type="list" allowBlank="1" showErrorMessage="1" sqref="J268">
      <formula1>'3월'!$AB$268:$AI$268</formula1>
    </dataValidation>
    <dataValidation type="list" allowBlank="1" showErrorMessage="1" sqref="J159">
      <formula1>'3월'!$AB$159:$AI$159</formula1>
    </dataValidation>
    <dataValidation type="list" allowBlank="1" showErrorMessage="1" sqref="J409">
      <formula1>'3월'!$AB$409:$AI$409</formula1>
    </dataValidation>
    <dataValidation type="list" allowBlank="1" showErrorMessage="1" sqref="J301">
      <formula1>'3월'!$AB$301:$AI$301</formula1>
    </dataValidation>
    <dataValidation type="list" allowBlank="1" showErrorMessage="1" sqref="J466">
      <formula1>'3월'!$AB$466:$AI$466</formula1>
    </dataValidation>
    <dataValidation type="list" allowBlank="1" showErrorMessage="1" sqref="J484">
      <formula1>'3월'!$AB$484:$AI$484</formula1>
    </dataValidation>
    <dataValidation type="list" allowBlank="1" showErrorMessage="1" sqref="J357">
      <formula1>'3월'!$AB$357:$AI$357</formula1>
    </dataValidation>
    <dataValidation type="list" allowBlank="1" showErrorMessage="1" sqref="J88">
      <formula1>'3월'!$AB$88:$AI$88</formula1>
    </dataValidation>
    <dataValidation type="list" allowBlank="1" showErrorMessage="1" sqref="J125">
      <formula1>'3월'!$AB$125:$AI$125</formula1>
    </dataValidation>
    <dataValidation type="list" allowBlank="1" showErrorMessage="1" sqref="J427">
      <formula1>'3월'!$AB$427:$AI$427</formula1>
    </dataValidation>
    <dataValidation type="list" allowBlank="1" showErrorMessage="1" sqref="J219">
      <formula1>'3월'!$AB$219:$AI$219</formula1>
    </dataValidation>
    <dataValidation type="list" allowBlank="1" showErrorMessage="1" sqref="J72">
      <formula1>'3월'!$AB$72:$AI$72</formula1>
    </dataValidation>
    <dataValidation type="list" allowBlank="1" showErrorMessage="1" sqref="J437">
      <formula1>'3월'!$AB$437:$AI$437</formula1>
    </dataValidation>
    <dataValidation type="list" allowBlank="1" showErrorMessage="1" sqref="J432">
      <formula1>'3월'!$AB$432:$AI$432</formula1>
    </dataValidation>
    <dataValidation type="list" allowBlank="1" showErrorMessage="1" sqref="J333">
      <formula1>'3월'!$AB$333:$AI$333</formula1>
    </dataValidation>
    <dataValidation type="list" allowBlank="1" showErrorMessage="1" sqref="J399">
      <formula1>'3월'!$AB$399:$AI$399</formula1>
    </dataValidation>
    <dataValidation type="list" allowBlank="1" showErrorMessage="1" sqref="J150">
      <formula1>'3월'!$AB$150:$AI$150</formula1>
    </dataValidation>
    <dataValidation type="list" allowBlank="1" showErrorMessage="1" sqref="J214">
      <formula1>'3월'!$AB$214:$AI$214</formula1>
    </dataValidation>
    <dataValidation type="list" allowBlank="1" showErrorMessage="1" sqref="J422">
      <formula1>'3월'!$AB$422:$AI$422</formula1>
    </dataValidation>
    <dataValidation type="list" allowBlank="1" showErrorMessage="1" sqref="J462">
      <formula1>'3월'!$AB$462:$AI$462</formula1>
    </dataValidation>
    <dataValidation type="list" allowBlank="1" showErrorMessage="1" sqref="J115">
      <formula1>'3월'!$AB$115:$AI$115</formula1>
    </dataValidation>
    <dataValidation type="list" allowBlank="1" showErrorMessage="1" sqref="J389">
      <formula1>'3월'!$AB$389:$AI$389</formula1>
    </dataValidation>
    <dataValidation type="list" allowBlank="1" showErrorMessage="1" sqref="J488">
      <formula1>'3월'!$AB$488:$AI$488</formula1>
    </dataValidation>
    <dataValidation type="list" allowBlank="1" showErrorMessage="1" sqref="J160">
      <formula1>'3월'!$AB$160:$AI$160</formula1>
    </dataValidation>
    <dataValidation type="list" allowBlank="1" showErrorMessage="1" sqref="J204">
      <formula1>'3월'!$AB$204:$AI$204</formula1>
    </dataValidation>
    <dataValidation type="list" allowBlank="1" showErrorMessage="1" sqref="J478">
      <formula1>'3월'!$AB$478:$AI$478</formula1>
    </dataValidation>
    <dataValidation type="list" allowBlank="1" showErrorMessage="1" sqref="J100">
      <formula1>'3월'!$AB$100:$AI$100</formula1>
    </dataValidation>
    <dataValidation type="list" allowBlank="1" showErrorMessage="1" sqref="J166">
      <formula1>'3월'!$AB$166:$AI$166</formula1>
    </dataValidation>
    <dataValidation type="list" allowBlank="1" showErrorMessage="1" sqref="J472">
      <formula1>'3월'!$AB$472:$AI$472</formula1>
    </dataValidation>
    <dataValidation type="list" allowBlank="1" showErrorMessage="1" sqref="J209">
      <formula1>'3월'!$AB$209:$AI$209</formula1>
    </dataValidation>
    <dataValidation type="list" allowBlank="1" showErrorMessage="1" sqref="J73">
      <formula1>'3월'!$AB$73:$AI$73</formula1>
    </dataValidation>
    <dataValidation type="list" allowBlank="1" showErrorMessage="1" sqref="J165">
      <formula1>'3월'!$AB$165:$AI$165</formula1>
    </dataValidation>
    <dataValidation type="list" allowBlank="1" showErrorMessage="1" sqref="J373">
      <formula1>'3월'!$AB$373:$AI$373</formula1>
    </dataValidation>
    <dataValidation type="list" allowBlank="1" showErrorMessage="1" sqref="J308">
      <formula1>'3월'!$AB$308:$AI$308</formula1>
    </dataValidation>
    <dataValidation type="list" allowBlank="1" showErrorMessage="1" sqref="J156">
      <formula1>'3월'!$AB$156:$AI$156</formula1>
    </dataValidation>
    <dataValidation type="list" allowBlank="1" showErrorMessage="1" sqref="J303">
      <formula1>'3월'!$AB$303:$AI$303</formula1>
    </dataValidation>
    <dataValidation type="list" allowBlank="1" showErrorMessage="1" sqref="J255">
      <formula1>'3월'!$AB$255:$AI$255</formula1>
    </dataValidation>
    <dataValidation type="list" allowBlank="1" showErrorMessage="1" sqref="J463">
      <formula1>'3월'!$AB$463:$AI$463</formula1>
    </dataValidation>
    <dataValidation type="list" allowBlank="1" showErrorMessage="1" sqref="J190">
      <formula1>'3월'!$AB$190:$AI$190</formula1>
    </dataValidation>
    <dataValidation type="list" allowBlank="1" showErrorMessage="1" sqref="J161">
      <formula1>'3월'!$AB$161:$AI$161</formula1>
    </dataValidation>
    <dataValidation type="list" allowBlank="1" showErrorMessage="1" sqref="J280">
      <formula1>'3월'!$AB$280:$AI$280</formula1>
    </dataValidation>
    <dataValidation type="list" allowBlank="1" showErrorMessage="1" sqref="J245">
      <formula1>'3월'!$AB$245:$AI$245</formula1>
    </dataValidation>
    <dataValidation type="list" allowBlank="1" showErrorMessage="1" sqref="J208">
      <formula1>'3월'!$AB$208:$AI$208</formula1>
    </dataValidation>
    <dataValidation type="list" allowBlank="1" showErrorMessage="1" sqref="J307">
      <formula1>'3월'!$AB$307:$AI$307</formula1>
    </dataValidation>
    <dataValidation type="list" allowBlank="1" showErrorMessage="1" sqref="J344">
      <formula1>'3월'!$AB$344:$AI$344</formula1>
    </dataValidation>
    <dataValidation type="list" allowBlank="1" showErrorMessage="1" sqref="J155">
      <formula1>'3월'!$AB$155:$AI$155</formula1>
    </dataValidation>
    <dataValidation type="list" allowBlank="1" showErrorMessage="1" sqref="J254">
      <formula1>'3월'!$AB$254:$AI$254</formula1>
    </dataValidation>
    <dataValidation type="list" allowBlank="1" showErrorMessage="1" sqref="J290">
      <formula1>'3월'!$AB$290:$AI$290</formula1>
    </dataValidation>
    <dataValidation type="list" allowBlank="1" showErrorMessage="1" sqref="J126">
      <formula1>'3월'!$AB$126:$AI$126</formula1>
    </dataValidation>
    <dataValidation type="list" allowBlank="1" showErrorMessage="1" sqref="J334">
      <formula1>'3월'!$AB$334:$AI$334</formula1>
    </dataValidation>
    <dataValidation type="list" allowBlank="1" showErrorMessage="1" sqref="J116">
      <formula1>'3월'!$AB$116:$AI$116</formula1>
    </dataValidation>
    <dataValidation type="list" allowBlank="1" showErrorMessage="1" sqref="J433">
      <formula1>'3월'!$AB$433:$AI$433</formula1>
    </dataValidation>
    <dataValidation type="list" allowBlank="1" showErrorMessage="1" sqref="J244">
      <formula1>'3월'!$AB$244:$AI$244</formula1>
    </dataValidation>
    <dataValidation type="list" allowBlank="1" showErrorMessage="1" sqref="J343">
      <formula1>'3월'!$AB$343:$AI$343</formula1>
    </dataValidation>
    <dataValidation type="list" allowBlank="1" showErrorMessage="1" sqref="J191">
      <formula1>'3월'!$AB$191:$AI$191</formula1>
    </dataValidation>
    <dataValidation type="list" allowBlank="1" showErrorMessage="1" sqref="J347">
      <formula1>'3월'!$AB$347:$AI$347</formula1>
    </dataValidation>
    <dataValidation type="list" allowBlank="1" showErrorMessage="1" sqref="J111">
      <formula1>'3월'!$AB$111:$AI$111</formula1>
    </dataValidation>
    <dataValidation type="list" allowBlank="1" showErrorMessage="1" sqref="J253">
      <formula1>'3월'!$AB$253:$AI$253</formula1>
    </dataValidation>
    <dataValidation type="list" allowBlank="1" showErrorMessage="1" sqref="J291">
      <formula1>'3월'!$AB$291:$AI$291</formula1>
    </dataValidation>
    <dataValidation type="list" allowBlank="1" showErrorMessage="1" sqref="J309">
      <formula1>'3월'!$AB$309:$AI$309</formula1>
    </dataValidation>
    <dataValidation type="list" allowBlank="1" showErrorMessage="1" sqref="J423">
      <formula1>'3월'!$AB$423:$AI$423</formula1>
    </dataValidation>
    <dataValidation type="list" allowBlank="1" showErrorMessage="1" sqref="J243">
      <formula1>'3월'!$AB$243:$AI$243</formula1>
    </dataValidation>
    <dataValidation type="list" allowBlank="1" showErrorMessage="1" sqref="J75">
      <formula1>'3월'!$AB$75:$AI$75</formula1>
    </dataValidation>
    <dataValidation type="list" allowBlank="1" showErrorMessage="1" sqref="J296">
      <formula1>'3월'!$AB$296:$AI$296</formula1>
    </dataValidation>
    <dataValidation type="list" allowBlank="1" showErrorMessage="1" sqref="J129">
      <formula1>'3월'!$AB$129:$AI$129</formula1>
    </dataValidation>
    <dataValidation type="list" allowBlank="1" showErrorMessage="1" sqref="J471">
      <formula1>'3월'!$AB$471:$AI$471</formula1>
    </dataValidation>
    <dataValidation type="list" allowBlank="1" showErrorMessage="1" sqref="J167">
      <formula1>'3월'!$AB$167:$AI$167</formula1>
    </dataValidation>
    <dataValidation type="list" allowBlank="1" showErrorMessage="1" sqref="J200">
      <formula1>'3월'!$AB$200:$AI$200</formula1>
    </dataValidation>
    <dataValidation type="list" allowBlank="1" showErrorMessage="1" sqref="J164">
      <formula1>'3월'!$AB$164:$AI$164</formula1>
    </dataValidation>
    <dataValidation type="list" allowBlank="1" showErrorMessage="1" sqref="J474">
      <formula1>'3월'!$AB$474:$AI$474</formula1>
    </dataValidation>
    <dataValidation type="list" allowBlank="1" showErrorMessage="1" sqref="J205">
      <formula1>'3월'!$AB$205:$AI$205</formula1>
    </dataValidation>
    <dataValidation type="list" allowBlank="1" showErrorMessage="1" sqref="J479">
      <formula1>'3월'!$AB$479:$AI$479</formula1>
    </dataValidation>
    <dataValidation type="list" allowBlank="1" showErrorMessage="1" sqref="J299">
      <formula1>'3월'!$AB$299:$AI$299</formula1>
    </dataValidation>
    <dataValidation type="list" allowBlank="1" showErrorMessage="1" sqref="J74">
      <formula1>'3월'!$AB$74:$AI$74</formula1>
    </dataValidation>
    <dataValidation type="list" allowBlank="1" showErrorMessage="1" sqref="J218">
      <formula1>'3월'!$AB$218:$AI$218</formula1>
    </dataValidation>
    <dataValidation type="list" allowBlank="1" showErrorMessage="1" sqref="J332">
      <formula1>'3월'!$AB$332:$AI$332</formula1>
    </dataValidation>
    <dataValidation type="list" allowBlank="1" showErrorMessage="1" sqref="J240">
      <formula1>'3월'!$AB$240:$AI$240</formula1>
    </dataValidation>
    <dataValidation type="list" allowBlank="1" showErrorMessage="1" sqref="J436">
      <formula1>'3월'!$AB$436:$AI$436</formula1>
    </dataValidation>
    <dataValidation type="list" allowBlank="1" showErrorMessage="1" sqref="J256">
      <formula1>'3월'!$AB$256:$AI$256</formula1>
    </dataValidation>
    <dataValidation type="list" allowBlank="1" showErrorMessage="1" sqref="J382">
      <formula1>'3월'!$AB$382:$AI$382</formula1>
    </dataValidation>
    <dataValidation type="list" allowBlank="1" showErrorMessage="1" sqref="J114">
      <formula1>'3월'!$AB$114:$AI$114</formula1>
    </dataValidation>
    <dataValidation type="list" allowBlank="1" showErrorMessage="1" sqref="J293">
      <formula1>'3월'!$AB$293:$AI$293</formula1>
    </dataValidation>
    <dataValidation type="list" allowBlank="1" showErrorMessage="1" sqref="J388">
      <formula1>'3월'!$AB$388:$AI$388</formula1>
    </dataValidation>
    <dataValidation type="list" allowBlank="1" showErrorMessage="1" sqref="J421">
      <formula1>'3월'!$AB$421:$AI$421</formula1>
    </dataValidation>
    <dataValidation type="list" allowBlank="1" showErrorMessage="1" sqref="J151">
      <formula1>'3월'!$AB$151:$AI$151</formula1>
    </dataValidation>
    <dataValidation type="list" allowBlank="1" showErrorMessage="1" sqref="J203">
      <formula1>'3월'!$AB$203:$AI$203</formula1>
    </dataValidation>
    <dataValidation type="list" allowBlank="1" showErrorMessage="1" sqref="J439">
      <formula1>'3월'!$AB$439:$AI$439</formula1>
    </dataValidation>
    <dataValidation type="list" allowBlank="1" showErrorMessage="1" sqref="J383">
      <formula1>'3월'!$AB$383:$AI$383</formula1>
    </dataValidation>
    <dataValidation type="list" allowBlank="1" showErrorMessage="1" sqref="J473">
      <formula1>'3월'!$AB$473:$AI$473</formula1>
    </dataValidation>
    <dataValidation type="list" allowBlank="1" showErrorMessage="1" sqref="J113">
      <formula1>'3월'!$AB$113:$AI$113</formula1>
    </dataValidation>
    <dataValidation type="list" allowBlank="1" showErrorMessage="1" sqref="J477">
      <formula1>'3월'!$AB$477:$AI$477</formula1>
    </dataValidation>
    <dataValidation type="list" allowBlank="1" showErrorMessage="1" sqref="J387">
      <formula1>'3월'!$AB$387:$AI$387</formula1>
    </dataValidation>
    <dataValidation type="list" allowBlank="1" showErrorMessage="1" sqref="J259">
      <formula1>'3월'!$AB$259:$AI$259</formula1>
    </dataValidation>
    <dataValidation type="list" allowBlank="1" showErrorMessage="1" sqref="J420">
      <formula1>'3월'!$AB$420:$AI$420</formula1>
    </dataValidation>
    <dataValidation type="list" allowBlank="1" showErrorMessage="1" sqref="J349">
      <formula1>'3월'!$AB$349:$AI$349</formula1>
    </dataValidation>
    <dataValidation type="list" allowBlank="1" showErrorMessage="1" sqref="J71">
      <formula1>'3월'!$AB$71:$AI$71</formula1>
    </dataValidation>
    <dataValidation type="list" allowBlank="1" showErrorMessage="1" sqref="J169">
      <formula1>'3월'!$AB$169:$AI$169</formula1>
    </dataValidation>
    <dataValidation type="list" allowBlank="1" showErrorMessage="1" sqref="J294">
      <formula1>'3월'!$AB$294:$AI$294</formula1>
    </dataValidation>
    <dataValidation type="list" allowBlank="1" showErrorMessage="1" sqref="J384">
      <formula1>'3월'!$AB$384:$AI$384</formula1>
    </dataValidation>
    <dataValidation type="list" allowBlank="1" showErrorMessage="1" sqref="J110">
      <formula1>'3월'!$AB$110:$AI$110</formula1>
    </dataValidation>
    <dataValidation type="list" allowBlank="1" showErrorMessage="1" sqref="J202">
      <formula1>'3월'!$AB$202:$AI$202</formula1>
    </dataValidation>
    <dataValidation type="list" allowBlank="1" showErrorMessage="1" sqref="J476">
      <formula1>'3월'!$AB$476:$AI$476</formula1>
    </dataValidation>
    <dataValidation type="list" allowBlank="1" showErrorMessage="1" sqref="J112">
      <formula1>'3월'!$AB$112:$AI$112</formula1>
    </dataValidation>
    <dataValidation type="list" allowBlank="1" showErrorMessage="1" sqref="J386">
      <formula1>'3월'!$AB$386:$AI$386</formula1>
    </dataValidation>
    <dataValidation type="list" allowBlank="1" showErrorMessage="1" sqref="J70">
      <formula1>'3월'!$AB$70:$AI$70</formula1>
    </dataValidation>
    <dataValidation type="list" allowBlank="1" showErrorMessage="1" sqref="J295">
      <formula1>'3월'!$AB$295:$AI$295</formula1>
    </dataValidation>
    <dataValidation type="list" allowBlank="1" showErrorMessage="1" sqref="J201">
      <formula1>'3월'!$AB$201:$AI$201</formula1>
    </dataValidation>
    <dataValidation type="list" allowBlank="1" showErrorMessage="1" sqref="J385">
      <formula1>'3월'!$AB$385:$AI$385</formula1>
    </dataValidation>
    <dataValidation type="list" allowBlank="1" showErrorMessage="1" sqref="J438">
      <formula1>'3월'!$AB$438:$AI$438</formula1>
    </dataValidation>
    <dataValidation type="list" allowBlank="1" showErrorMessage="1" sqref="J258">
      <formula1>'3월'!$AB$258:$AI$258</formula1>
    </dataValidation>
    <dataValidation type="list" allowBlank="1" showErrorMessage="1" sqref="J348">
      <formula1>'3월'!$AB$348:$AI$348</formula1>
    </dataValidation>
    <dataValidation type="list" allowBlank="1" showErrorMessage="1" sqref="J168">
      <formula1>'3월'!$AB$168:$AI$168</formula1>
    </dataValidation>
    <dataValidation type="list" allowBlank="1" showErrorMessage="1" sqref="J300">
      <formula1>'3월'!$AB$300:$AI$300</formula1>
    </dataValidation>
    <dataValidation type="list" allowBlank="1" showErrorMessage="1" sqref="J267">
      <formula1>'3월'!$AB$267:$AI$267</formula1>
    </dataValidation>
    <dataValidation type="list" allowBlank="1" showErrorMessage="1" sqref="J173">
      <formula1>'3월'!$AB$173:$AI$173</formula1>
    </dataValidation>
    <dataValidation type="list" allowBlank="1" showErrorMessage="1" sqref="J480">
      <formula1>'3월'!$AB$480:$AI$480</formula1>
    </dataValidation>
    <dataValidation type="list" allowBlank="1" showErrorMessage="1" sqref="J158">
      <formula1>'3월'!$AB$158:$AI$158</formula1>
    </dataValidation>
    <dataValidation type="list" allowBlank="1" showErrorMessage="1" sqref="J391">
      <formula1>'3월'!$AB$391:$AI$391</formula1>
    </dataValidation>
    <dataValidation type="list" allowBlank="1" showErrorMessage="1" sqref="J356">
      <formula1>'3월'!$AB$356:$AI$356</formula1>
    </dataValidation>
    <dataValidation type="list" allowBlank="1" showErrorMessage="1" sqref="J465">
      <formula1>'3월'!$AB$465:$AI$465</formula1>
    </dataValidation>
    <dataValidation type="list" allowBlank="1" showErrorMessage="1" sqref="J247">
      <formula1>'3월'!$AB$247:$AI$247</formula1>
    </dataValidation>
    <dataValidation type="list" allowBlank="1" showErrorMessage="1" sqref="J80">
      <formula1>'3월'!$AB$80:$AI$80</formula1>
    </dataValidation>
    <dataValidation type="list" allowBlank="1" showErrorMessage="1" sqref="J282">
      <formula1>'3월'!$AB$282:$AI$282</formula1>
    </dataValidation>
    <dataValidation type="list" allowBlank="1" showErrorMessage="1" sqref="J193">
      <formula1>'3월'!$AB$193:$AI$193</formula1>
    </dataValidation>
    <dataValidation type="list" allowBlank="1" showErrorMessage="1" sqref="J396">
      <formula1>'3월'!$AB$396:$AI$396</formula1>
    </dataValidation>
    <dataValidation type="list" allowBlank="1" showErrorMessage="1" sqref="J445">
      <formula1>'3월'!$AB$445:$AI$445</formula1>
    </dataValidation>
    <dataValidation type="list" allowBlank="1" showErrorMessage="1" sqref="J138">
      <formula1>'3월'!$AB$138:$AI$138</formula1>
    </dataValidation>
    <dataValidation type="list" allowBlank="1" showErrorMessage="1" sqref="J231">
      <formula1>'3월'!$AB$231:$AI$231</formula1>
    </dataValidation>
    <dataValidation type="list" allowBlank="1" showErrorMessage="1" sqref="J133">
      <formula1>'3월'!$AB$133:$AI$133</formula1>
    </dataValidation>
    <dataValidation type="list" allowBlank="1" showErrorMessage="1" sqref="J227">
      <formula1>'3월'!$AB$227:$AI$227</formula1>
    </dataValidation>
    <dataValidation type="list" allowBlank="1" showErrorMessage="1" sqref="J198">
      <formula1>'3월'!$AB$198:$AI$198</formula1>
    </dataValidation>
    <dataValidation type="list" allowBlank="1" showErrorMessage="1" sqref="J340">
      <formula1>'3월'!$AB$340:$AI$340</formula1>
    </dataValidation>
    <dataValidation type="list" allowBlank="1" showErrorMessage="1" sqref="J298">
      <formula1>'3월'!$AB$298:$AI$298</formula1>
    </dataValidation>
    <dataValidation type="list" allowBlank="1" showErrorMessage="1" sqref="J336">
      <formula1>'3월'!$AB$336:$AI$336</formula1>
    </dataValidation>
    <dataValidation type="list" allowBlank="1" showErrorMessage="1" sqref="J189">
      <formula1>'3월'!$AB$189:$AI$189</formula1>
    </dataValidation>
    <dataValidation type="list" allowBlank="1" showErrorMessage="1" sqref="J331">
      <formula1>'3월'!$AB$331:$AI$331</formula1>
    </dataValidation>
    <dataValidation type="list" allowBlank="1" showErrorMessage="1" sqref="J425">
      <formula1>'3월'!$AB$425:$AI$425</formula1>
    </dataValidation>
    <dataValidation type="list" allowBlank="1" showErrorMessage="1" sqref="J79">
      <formula1>'3월'!$AB$79:$AI$79</formula1>
    </dataValidation>
    <dataValidation type="list" allowBlank="1" showErrorMessage="1" sqref="J236">
      <formula1>'3월'!$AB$236:$AI$236</formula1>
    </dataValidation>
    <dataValidation type="list" allowBlank="1" showErrorMessage="1" sqref="J345">
      <formula1>'3월'!$AB$345:$AI$345</formula1>
    </dataValidation>
    <dataValidation type="list" allowBlank="1" showErrorMessage="1" sqref="J142">
      <formula1>'3월'!$AB$142:$AI$142</formula1>
    </dataValidation>
    <dataValidation type="list" allowBlank="1" showErrorMessage="1" sqref="J251">
      <formula1>'3월'!$AB$251:$AI$251</formula1>
    </dataValidation>
    <dataValidation type="list" allowBlank="1" showErrorMessage="1" sqref="J440">
      <formula1>'3월'!$AB$440:$AI$440</formula1>
    </dataValidation>
    <dataValidation type="list" allowBlank="1" showErrorMessage="1" sqref="J118">
      <formula1>'3월'!$AB$118:$AI$118</formula1>
    </dataValidation>
    <dataValidation type="list" allowBlank="1" showErrorMessage="1" sqref="J207">
      <formula1>'3월'!$AB$207:$AI$207</formula1>
    </dataValidation>
    <dataValidation type="list" allowBlank="1" showErrorMessage="1" sqref="J434">
      <formula1>'3월'!$AB$434:$AI$434</formula1>
    </dataValidation>
    <dataValidation type="list" allowBlank="1" showErrorMessage="1" sqref="J360">
      <formula1>'3월'!$AB$360:$AI$360</formula1>
    </dataValidation>
    <dataValidation type="list" allowBlank="1" showErrorMessage="1" sqref="J242">
      <formula1>'3월'!$AB$242:$AI$242</formula1>
    </dataValidation>
    <dataValidation type="list" allowBlank="1" showErrorMessage="1" sqref="J127">
      <formula1>'3월'!$AB$127:$AI$127</formula1>
    </dataValidation>
    <dataValidation type="list" allowBlank="1" showErrorMessage="1" sqref="J316">
      <formula1>'3월'!$AB$316:$AI$316</formula1>
    </dataValidation>
    <dataValidation type="list" allowBlank="1" showErrorMessage="1" sqref="J351">
      <formula1>'3월'!$AB$351:$AI$351</formula1>
    </dataValidation>
    <dataValidation type="list" allowBlank="1" showErrorMessage="1" sqref="J107">
      <formula1>'3월'!$AB$107:$AI$107</formula1>
    </dataValidation>
    <dataValidation type="list" allowBlank="1" showErrorMessage="1" sqref="J271">
      <formula1>'3월'!$AB$271:$AI$271</formula1>
    </dataValidation>
    <dataValidation type="list" allowBlank="1" showErrorMessage="1" sqref="J460">
      <formula1>'3월'!$AB$460:$AI$460</formula1>
    </dataValidation>
    <dataValidation type="list" allowBlank="1" showErrorMessage="1" sqref="J162">
      <formula1>'3월'!$AB$162:$AI$162</formula1>
    </dataValidation>
    <dataValidation type="list" allowBlank="1" showErrorMessage="1" sqref="J77">
      <formula1>'3월'!$AB$77:$AI$77</formula1>
    </dataValidation>
    <dataValidation type="list" allowBlank="1" showErrorMessage="1" sqref="J325">
      <formula1>'3월'!$AB$325:$AI$325</formula1>
    </dataValidation>
    <dataValidation type="list" allowBlank="1" showErrorMessage="1" sqref="J216">
      <formula1>'3월'!$AB$216:$AI$216</formula1>
    </dataValidation>
    <dataValidation type="list" allowBlank="1" showErrorMessage="1" sqref="J153">
      <formula1>'3월'!$AB$153:$AI$153</formula1>
    </dataValidation>
    <dataValidation type="list" allowBlank="1" showErrorMessage="1" sqref="J305">
      <formula1>'3월'!$AB$305:$AI$305</formula1>
    </dataValidation>
    <dataValidation type="list" allowBlank="1" showErrorMessage="1" sqref="J82">
      <formula1>'3월'!$AB$82:$AI$82</formula1>
    </dataValidation>
    <dataValidation type="list" allowBlank="1" showErrorMessage="1" sqref="J262">
      <formula1>'3월'!$AB$262:$AI$262</formula1>
    </dataValidation>
    <dataValidation type="list" allowBlank="1" showErrorMessage="1" sqref="J371">
      <formula1>'3월'!$AB$371:$AI$371</formula1>
    </dataValidation>
    <dataValidation type="list" allowBlank="1" showErrorMessage="1" sqref="J380">
      <formula1>'3월'!$AB$380:$AI$380</formula1>
    </dataValidation>
    <dataValidation type="list" allowBlank="1" showErrorMessage="1" sqref="J405">
      <formula1>'3월'!$AB$405:$AI$405</formula1>
    </dataValidation>
    <dataValidation type="list" allowBlank="1" showErrorMessage="1" sqref="J414">
      <formula1>'3월'!$AB$414:$AI$414</formula1>
    </dataValidation>
    <dataValidation type="list" allowBlank="1" showErrorMessage="1" sqref="J90">
      <formula1>'3월'!$AB$90:$AI$90</formula1>
    </dataValidation>
    <dataValidation type="list" allowBlank="1" showErrorMessage="1" sqref="J144">
      <formula1>'3월'!$AB$144:$AI$144</formula1>
    </dataValidation>
    <dataValidation type="list" allowBlank="1" showErrorMessage="1" sqref="J96">
      <formula1>'3월'!$AB$96:$AI$96</formula1>
    </dataValidation>
    <dataValidation type="list" allowBlank="1" showErrorMessage="1" sqref="J408">
      <formula1>'3월'!$AB$408:$AI$408</formula1>
    </dataValidation>
    <dataValidation type="list" allowBlank="1" showErrorMessage="1" sqref="J342">
      <formula1>'3월'!$AB$342:$AI$342</formula1>
    </dataValidation>
    <dataValidation type="list" allowBlank="1" showErrorMessage="1" sqref="J319">
      <formula1>'3월'!$AB$319:$AI$319</formula1>
    </dataValidation>
    <dataValidation type="list" allowBlank="1" showErrorMessage="1" sqref="J233">
      <formula1>'3월'!$AB$233:$AI$233</formula1>
    </dataValidation>
    <dataValidation type="list" allowBlank="1" showErrorMessage="1" sqref="J124">
      <formula1>'3월'!$AB$124:$AI$124</formula1>
    </dataValidation>
    <dataValidation type="list" allowBlank="1" showErrorMessage="1" sqref="J398">
      <formula1>'3월'!$AB$398:$AI$398</formula1>
    </dataValidation>
    <dataValidation type="list" allowBlank="1" showErrorMessage="1" sqref="J289">
      <formula1>'3월'!$AB$289:$AI$289</formula1>
    </dataValidation>
    <dataValidation type="list" allowBlank="1" showErrorMessage="1" sqref="J431">
      <formula1>'3월'!$AB$431:$AI$431</formula1>
    </dataValidation>
    <dataValidation type="list" allowBlank="1" showErrorMessage="1" sqref="J322">
      <formula1>'3월'!$AB$322:$AI$322</formula1>
    </dataValidation>
    <dataValidation type="list" allowBlank="1" showErrorMessage="1" sqref="J213">
      <formula1>'3월'!$AB$213:$AI$213</formula1>
    </dataValidation>
    <dataValidation type="list" allowBlank="1" showErrorMessage="1" sqref="J487">
      <formula1>'3월'!$AB$487:$AI$487</formula1>
    </dataValidation>
    <dataValidation type="list" allowBlank="1" showErrorMessage="1" sqref="J175">
      <formula1>'3월'!$AB$175:$AI$175</formula1>
    </dataValidation>
    <dataValidation type="list" allowBlank="1" showErrorMessage="1" sqref="J269">
      <formula1>'3월'!$AB$269:$AI$269</formula1>
    </dataValidation>
    <dataValidation type="list" allowBlank="1" showErrorMessage="1" sqref="J378">
      <formula1>'3월'!$AB$378:$AI$378</formula1>
    </dataValidation>
    <dataValidation type="list" allowBlank="1" showErrorMessage="1" sqref="J104">
      <formula1>'3월'!$AB$104:$AI$104</formula1>
    </dataValidation>
    <dataValidation type="list" allowBlank="1" showErrorMessage="1" sqref="J359">
      <formula1>'3월'!$AB$359:$AI$359</formula1>
    </dataValidation>
    <dataValidation type="list" allowBlank="1" showErrorMessage="1" sqref="J284">
      <formula1>'3월'!$AB$284:$AI$284</formula1>
    </dataValidation>
    <dataValidation type="list" allowBlank="1" showErrorMessage="1" sqref="J374">
      <formula1>'3월'!$AB$374:$AI$374</formula1>
    </dataValidation>
    <dataValidation type="list" allowBlank="1" showErrorMessage="1" sqref="J411">
      <formula1>'3월'!$AB$411:$AI$411</formula1>
    </dataValidation>
    <dataValidation type="list" allowBlank="1" showErrorMessage="1" sqref="J87">
      <formula1>'3월'!$AB$87:$AI$87</formula1>
    </dataValidation>
    <dataValidation type="list" allowBlank="1" showErrorMessage="1" sqref="J467">
      <formula1>'3월'!$AB$467:$AI$467</formula1>
    </dataValidation>
    <dataValidation type="list" allowBlank="1" showErrorMessage="1" sqref="J448">
      <formula1>'3월'!$AB$448:$AI$448</formula1>
    </dataValidation>
    <dataValidation type="list" allowBlank="1" showErrorMessage="1" sqref="J393">
      <formula1>'3월'!$AB$393:$AI$393</formula1>
    </dataValidation>
    <dataValidation type="list" allowBlank="1" showErrorMessage="1" sqref="J483">
      <formula1>'3월'!$AB$483:$AI$483</formula1>
    </dataValidation>
    <dataValidation type="list" allowBlank="1" showErrorMessage="1" sqref="J302">
      <formula1>'3월'!$AB$302:$AI$302</formula1>
    </dataValidation>
    <dataValidation type="list" allowBlank="1" showErrorMessage="1" sqref="J122">
      <formula1>'3월'!$AB$122:$AI$122</formula1>
    </dataValidation>
    <dataValidation type="list" allowBlank="1" showErrorMessage="1" sqref="J92">
      <formula1>'3월'!$AB$92:$AI$92</formula1>
    </dataValidation>
    <dataValidation type="list" allowBlank="1" showErrorMessage="1" sqref="J176">
      <formula1>'3월'!$AB$176:$AI$176</formula1>
    </dataValidation>
    <dataValidation type="list" allowBlank="1" showErrorMessage="1" sqref="J287">
      <formula1>'3월'!$AB$287:$AI$287</formula1>
    </dataValidation>
    <dataValidation type="list" allowBlank="1" showErrorMessage="1" sqref="J249">
      <formula1>'3월'!$AB$249:$AI$249</formula1>
    </dataValidation>
    <dataValidation type="list" allowBlank="1" showErrorMessage="1" sqref="J195">
      <formula1>'3월'!$AB$195:$AI$195</formula1>
    </dataValidation>
    <dataValidation type="list" allowBlank="1" showErrorMessage="1" sqref="J285">
      <formula1>'3월'!$AB$285:$AI$285</formula1>
    </dataValidation>
    <dataValidation type="list" allowBlank="1" showErrorMessage="1" sqref="J178">
      <formula1>'3월'!$AB$178:$AI$178</formula1>
    </dataValidation>
    <dataValidation type="list" allowBlank="1" showErrorMessage="1" sqref="J394">
      <formula1>'3월'!$AB$394:$AI$394</formula1>
    </dataValidation>
    <dataValidation type="list" allowBlank="1" showErrorMessage="1" sqref="J428">
      <formula1>'3월'!$AB$428:$AI$428</formula1>
    </dataValidation>
    <dataValidation type="list" allowBlank="1" showErrorMessage="1" sqref="J500">
      <formula1>'3월'!$AB$500:$AI$500</formula1>
    </dataValidation>
    <dataValidation type="list" allowBlank="1" showErrorMessage="1" sqref="J320">
      <formula1>'3월'!$AB$320:$AI$320</formula1>
    </dataValidation>
    <dataValidation type="list" allowBlank="1" showErrorMessage="1" sqref="J89">
      <formula1>'3월'!$AB$89:$AI$89</formula1>
    </dataValidation>
    <dataValidation type="list" allowBlank="1" showErrorMessage="1" sqref="J358">
      <formula1>'3월'!$AB$358:$AI$358</formula1>
    </dataValidation>
    <dataValidation type="list" allowBlank="1" showErrorMessage="1" sqref="J120">
      <formula1>'3월'!$AB$120:$AI$120</formula1>
    </dataValidation>
    <dataValidation type="list" allowBlank="1" showErrorMessage="1" sqref="J338">
      <formula1>'3월'!$AB$338:$AI$338</formula1>
    </dataValidation>
    <dataValidation type="list" allowBlank="1" showErrorMessage="1" sqref="J211">
      <formula1>'3월'!$AB$211:$AI$211</formula1>
    </dataValidation>
    <dataValidation type="list" allowBlank="1" showErrorMessage="1" sqref="J485">
      <formula1>'3월'!$AB$485:$AI$485</formula1>
    </dataValidation>
    <dataValidation type="list" allowBlank="1" showErrorMessage="1" sqref="J102">
      <formula1>'3월'!$AB$102:$AI$102</formula1>
    </dataValidation>
    <dataValidation type="list" allowBlank="1" showErrorMessage="1" sqref="J94">
      <formula1>'3월'!$AB$94:$AI$94</formula1>
    </dataValidation>
    <dataValidation type="list" allowBlank="1" showErrorMessage="1" sqref="J339">
      <formula1>'3월'!$AB$339:$AI$339</formula1>
    </dataValidation>
    <dataValidation type="list" allowBlank="1" showErrorMessage="1" sqref="J447">
      <formula1>'3월'!$AB$447:$AI$447</formula1>
    </dataValidation>
    <dataValidation type="list" allowBlank="1" showErrorMessage="1" sqref="J196">
      <formula1>'3월'!$AB$196:$AI$196</formula1>
    </dataValidation>
    <dataValidation type="list" allowBlank="1" showErrorMessage="1" sqref="J376">
      <formula1>'3월'!$AB$376:$AI$376</formula1>
    </dataValidation>
    <dataValidation type="list" allowBlank="1" showErrorMessage="1" sqref="J442">
      <formula1>'3월'!$AB$442:$AI$442</formula1>
    </dataValidation>
    <dataValidation type="list" allowBlank="1" showErrorMessage="1" sqref="J234">
      <formula1>'3월'!$AB$234:$AI$234</formula1>
    </dataValidation>
    <dataValidation type="list" allowBlank="1" showErrorMessage="1" sqref="J140">
      <formula1>'3월'!$AB$140:$AI$140</formula1>
    </dataValidation>
    <dataValidation type="list" allowBlank="1" showErrorMessage="1" sqref="J224">
      <formula1>'3월'!$AB$224:$AI$224</formula1>
    </dataValidation>
    <dataValidation type="list" allowBlank="1" showErrorMessage="1" sqref="J318">
      <formula1>'3월'!$AB$318:$AI$318</formula1>
    </dataValidation>
    <dataValidation type="list" allowBlank="1" showErrorMessage="1" sqref="J323">
      <formula1>'3월'!$AB$323:$AI$323</formula1>
    </dataValidation>
    <dataValidation type="list" allowBlank="1" showErrorMessage="1" sqref="J99">
      <formula1>'3월'!$AB$99:$AI$99</formula1>
    </dataValidation>
    <dataValidation type="list" allowBlank="1" showErrorMessage="1" sqref="J498">
      <formula1>'3월'!$AB$498:$AI$498</formula1>
    </dataValidation>
    <dataValidation type="list" allowBlank="1" showErrorMessage="1" sqref="J229">
      <formula1>'3월'!$AB$229:$AI$229</formula1>
    </dataValidation>
    <dataValidation type="list" allowBlank="1" showErrorMessage="1" sqref="J328">
      <formula1>'3월'!$AB$328:$AI$328</formula1>
    </dataValidation>
    <dataValidation type="list" allowBlank="1" showErrorMessage="1" sqref="J407">
      <formula1>'3월'!$AB$407:$AI$407</formula1>
    </dataValidation>
    <dataValidation type="list" allowBlank="1" showErrorMessage="1" sqref="J86">
      <formula1>'3월'!$AB$86:$AI$86</formula1>
    </dataValidation>
    <dataValidation type="list" allowBlank="1" showErrorMessage="1" sqref="J363">
      <formula1>'3월'!$AB$363:$AI$363</formula1>
    </dataValidation>
    <dataValidation type="list" allowBlank="1" showErrorMessage="1" sqref="L62:L500">
      <formula1>'설정시트'!$D$23:$N$23</formula1>
    </dataValidation>
    <dataValidation type="list" allowBlank="1" showErrorMessage="1" sqref="J412">
      <formula1>'3월'!$AB$412:$AI$412</formula1>
    </dataValidation>
    <dataValidation type="list" allowBlank="1" showErrorMessage="1" sqref="J98">
      <formula1>'3월'!$AB$98:$AI$98</formula1>
    </dataValidation>
    <dataValidation type="list" allowBlank="1" showErrorMessage="1" sqref="J264">
      <formula1>'3월'!$AB$264:$AI$264</formula1>
    </dataValidation>
    <dataValidation type="list" allowBlank="1" showErrorMessage="1" sqref="J313">
      <formula1>'3월'!$AB$313:$AI$313</formula1>
    </dataValidation>
    <dataValidation type="list" allowBlank="1" showErrorMessage="1" sqref="J105">
      <formula1>'3월'!$AB$105:$AI$105</formula1>
    </dataValidation>
    <dataValidation type="list" allowBlank="1" showErrorMessage="1" sqref="J379">
      <formula1>'3월'!$AB$379:$AI$379</formula1>
    </dataValidation>
    <dataValidation type="list" allowBlank="1" showErrorMessage="1" sqref="J468">
      <formula1>'3월'!$AB$468:$AI$468</formula1>
    </dataValidation>
    <dataValidation type="list" allowBlank="1" showErrorMessage="1" sqref="J170">
      <formula1>'3월'!$AB$170:$AI$170</formula1>
    </dataValidation>
    <dataValidation type="list" allowBlank="1" showErrorMessage="1" sqref="J85">
      <formula1>'3월'!$AB$85:$AI$85</formula1>
    </dataValidation>
    <dataValidation type="list" allowBlank="1" showErrorMessage="1" sqref="J265">
      <formula1>'3월'!$AB$265:$AI$265</formula1>
    </dataValidation>
    <dataValidation type="list" allowBlank="1" showErrorMessage="1" sqref="J402">
      <formula1>'3월'!$AB$402:$AI$402</formula1>
    </dataValidation>
    <dataValidation type="list" allowBlank="1" showErrorMessage="1" sqref="J417">
      <formula1>'3월'!$AB$417:$AI$417</formula1>
    </dataValidation>
    <dataValidation type="list" allowBlank="1" showErrorMessage="1" sqref="J369">
      <formula1>'3월'!$AB$369:$AI$369</formula1>
    </dataValidation>
    <dataValidation type="list" allowBlank="1" showErrorMessage="1" sqref="J482">
      <formula1>'3월'!$AB$482:$AI$482</formula1>
    </dataValidation>
    <dataValidation type="list" allowBlank="1" showErrorMessage="1" sqref="J274">
      <formula1>'3월'!$AB$274:$AI$274</formula1>
    </dataValidation>
    <dataValidation type="list" allowBlank="1" showErrorMessage="1" sqref="J364">
      <formula1>'3월'!$AB$364:$AI$364</formula1>
    </dataValidation>
    <dataValidation type="list" allowBlank="1" showErrorMessage="1" sqref="J180">
      <formula1>'3월'!$AB$180:$AI$180</formula1>
    </dataValidation>
    <dataValidation type="list" allowBlank="1" showErrorMessage="1" sqref="J270">
      <formula1>'3월'!$AB$270:$AI$270</formula1>
    </dataValidation>
    <dataValidation type="list" allowBlank="1" showErrorMessage="1" sqref="J146">
      <formula1>'3월'!$AB$146:$AI$146</formula1>
    </dataValidation>
    <dataValidation type="list" allowBlank="1" showErrorMessage="1" sqref="J84">
      <formula1>'3월'!$AB$84:$AI$84</formula1>
    </dataValidation>
    <dataValidation type="list" allowBlank="1" showErrorMessage="1" sqref="J354">
      <formula1>'3월'!$AB$354:$AI$354</formula1>
    </dataValidation>
    <dataValidation type="list" allowBlank="1" showErrorMessage="1" sqref="J416">
      <formula1>'3월'!$AB$416:$AI$416</formula1>
    </dataValidation>
    <dataValidation type="list" allowBlank="1" showErrorMessage="1" sqref="J453">
      <formula1>'3월'!$AB$453:$AI$453</formula1>
    </dataValidation>
    <dataValidation type="list" allowBlank="1" showErrorMessage="1" sqref="J69">
      <formula1>'3월'!$AB$69:$AI$69</formula1>
    </dataValidation>
    <dataValidation type="list" allowBlank="1" showErrorMessage="1" sqref="J136">
      <formula1>'3월'!$AB$136:$AI$136</formula1>
    </dataValidation>
    <dataValidation type="list" allowBlank="1" showErrorMessage="1" sqref="J171">
      <formula1>'3월'!$AB$171:$AI$171</formula1>
    </dataValidation>
    <dataValidation type="list" allowBlank="1" showErrorMessage="1" sqref="J406">
      <formula1>'3월'!$AB$406:$AI$406</formula1>
    </dataValidation>
    <dataValidation type="list" allowBlank="1" showErrorMessage="1" sqref="J443">
      <formula1>'3월'!$AB$443:$AI$443</formula1>
    </dataValidation>
    <dataValidation type="list" allowBlank="1" showErrorMessage="1" sqref="J235">
      <formula1>'3월'!$AB$235:$AI$235</formula1>
    </dataValidation>
    <dataValidation type="list" allowBlank="1" showErrorMessage="1" sqref="J181">
      <formula1>'3월'!$AB$181:$AI$181</formula1>
    </dataValidation>
    <dataValidation type="list" allowBlank="1" showErrorMessage="1" sqref="J353">
      <formula1>'3월'!$AB$353:$AI$353</formula1>
    </dataValidation>
    <dataValidation type="list" allowBlank="1" showErrorMessage="1" sqref="J145">
      <formula1>'3월'!$AB$145:$AI$145</formula1>
    </dataValidation>
    <dataValidation type="list" allowBlank="1" showErrorMessage="1" sqref="J499">
      <formula1>'3월'!$AB$499:$AI$499</formula1>
    </dataValidation>
    <dataValidation type="list" allowBlank="1" showErrorMessage="1" sqref="J452">
      <formula1>'3월'!$AB$452:$AI$452</formula1>
    </dataValidation>
    <dataValidation type="list" allowBlank="1" showErrorMessage="1" sqref="J324">
      <formula1>'3월'!$AB$324:$AI$324</formula1>
    </dataValidation>
    <dataValidation type="list" allowBlank="1" showErrorMessage="1" sqref="J451">
      <formula1>'3월'!$AB$451:$AI$451</formula1>
    </dataValidation>
    <dataValidation type="list" allowBlank="1" showErrorMessage="1" sqref="J225">
      <formula1>'3월'!$AB$225:$AI$225</formula1>
    </dataValidation>
    <dataValidation type="list" allowBlank="1" showErrorMessage="1" sqref="J352">
      <formula1>'3월'!$AB$352:$AI$352</formula1>
    </dataValidation>
    <dataValidation type="list" allowBlank="1" showErrorMessage="1" sqref="J135">
      <formula1>'3월'!$AB$135:$AI$135</formula1>
    </dataValidation>
    <dataValidation type="list" allowBlank="1" showErrorMessage="1" sqref="J314">
      <formula1>'3월'!$AB$314:$AI$314</formula1>
    </dataValidation>
    <dataValidation type="list" allowBlank="1" showErrorMessage="1" sqref="J220">
      <formula1>'3월'!$AB$220:$AI$220</formula1>
    </dataValidation>
    <dataValidation type="list" allowBlank="1" showErrorMessage="1" sqref="J494">
      <formula1>'3월'!$AB$494:$AI$494</formula1>
    </dataValidation>
    <dataValidation type="list" allowBlank="1" showErrorMessage="1" sqref="J187">
      <formula1>'3월'!$AB$187:$AI$187</formula1>
    </dataValidation>
    <dataValidation type="list" allowBlank="1" showErrorMessage="1" sqref="J182">
      <formula1>'3월'!$AB$182:$AI$182</formula1>
    </dataValidation>
    <dataValidation type="list" allowBlank="1" showErrorMessage="1" sqref="J362">
      <formula1>'3월'!$AB$362:$AI$362</formula1>
    </dataValidation>
    <dataValidation type="list" allowBlank="1" showErrorMessage="1" sqref="J456">
      <formula1>'3월'!$AB$456:$AI$456</formula1>
    </dataValidation>
    <dataValidation type="list" allowBlank="1" showErrorMessage="1" sqref="J276">
      <formula1>'3월'!$AB$276:$AI$276</formula1>
    </dataValidation>
    <dataValidation type="list" allowBlank="1" showErrorMessage="1" sqref="J134">
      <formula1>'3월'!$AB$134:$AI$134</formula1>
    </dataValidation>
    <dataValidation type="list" allowBlank="1" showErrorMessage="1" sqref="J131">
      <formula1>'3월'!$AB$131:$AI$131</formula1>
    </dataValidation>
    <dataValidation type="list" allowBlank="1" showErrorMessage="1" sqref="J441">
      <formula1>'3월'!$AB$441:$AI$441</formula1>
    </dataValidation>
    <dataValidation type="list" allowBlank="1" showErrorMessage="1" sqref="J62">
      <formula1>'3월'!$AB$62:$AI$62</formula1>
    </dataValidation>
    <dataValidation type="list" allowBlank="1" showErrorMessage="1" sqref="J238">
      <formula1>'3월'!$AB$238:$AI$238</formula1>
    </dataValidation>
    <dataValidation type="list" allowBlank="1" showErrorMessage="1" sqref="J418">
      <formula1>'3월'!$AB$418:$AI$418</formula1>
    </dataValidation>
    <dataValidation type="list" allowBlank="1" showErrorMessage="1" sqref="J273">
      <formula1>'3월'!$AB$273:$AI$273</formula1>
    </dataValidation>
    <dataValidation type="list" allowBlank="1" showErrorMessage="1" sqref="J365">
      <formula1>'3월'!$AB$365:$AI$365</formula1>
    </dataValidation>
    <dataValidation type="list" allowBlank="1" showErrorMessage="1" sqref="J491">
      <formula1>'3월'!$AB$491:$AI$491</formula1>
    </dataValidation>
    <dataValidation type="list" allowBlank="1" showErrorMessage="1" sqref="J327">
      <formula1>'3월'!$AB$327:$AI$327</formula1>
    </dataValidation>
    <dataValidation type="list" allowBlank="1" showErrorMessage="1" sqref="J109">
      <formula1>'3월'!$AB$109:$AI$109</formula1>
    </dataValidation>
    <dataValidation type="list" allowBlank="1" showErrorMessage="1" sqref="J68">
      <formula1>'3월'!$AB$68:$AI$68</formula1>
    </dataValidation>
    <dataValidation type="list" allowBlank="1" showErrorMessage="1" sqref="J403">
      <formula1>'3월'!$AB$403:$AI$403</formula1>
    </dataValidation>
    <dataValidation type="list" allowBlank="1" showErrorMessage="1" sqref="J223">
      <formula1>'3월'!$AB$223:$AI$223</formula1>
    </dataValidation>
    <dataValidation type="list" allowBlank="1" showErrorMessage="1" sqref="J497">
      <formula1>'3월'!$AB$497:$AI$497</formula1>
    </dataValidation>
    <dataValidation type="list" allowBlank="1" showErrorMessage="1" sqref="J184:J185">
      <formula1>'3월'!$AB$184:$AI$184</formula1>
    </dataValidation>
    <dataValidation type="list" allowBlank="1" showErrorMessage="1" sqref="J147">
      <formula1>'3월'!$AB$147:$AI$147</formula1>
    </dataValidation>
    <dataValidation type="list" allowBlank="1" showErrorMessage="1" sqref="J260">
      <formula1>'3월'!$AB$260:$AI$260</formula1>
    </dataValidation>
    <dataValidation type="list" allowBlank="1" showErrorMessage="1" sqref="J459">
      <formula1>'3월'!$AB$459:$AI$459</formula1>
    </dataValidation>
    <dataValidation type="list" allowBlank="1" showErrorMessage="1" sqref="J279">
      <formula1>'3월'!$AB$279:$AI$279</formula1>
    </dataValidation>
    <dataValidation type="list" allowBlank="1" showErrorMessage="1" sqref="J67">
      <formula1>'3월'!$AB$67:$AI$67</formula1>
    </dataValidation>
    <dataValidation type="list" allowBlank="1" showErrorMessage="1" sqref="J454">
      <formula1>'3월'!$AB$454:$AI$454</formula1>
    </dataValidation>
    <dataValidation type="list" allowBlank="1" showErrorMessage="1" sqref="J458">
      <formula1>'3월'!$AB$458:$AI$458</formula1>
    </dataValidation>
    <dataValidation type="list" allowBlank="1" showErrorMessage="1" sqref="J222">
      <formula1>'3월'!$AB$222:$AI$222</formula1>
    </dataValidation>
    <dataValidation type="list" allowBlank="1" showErrorMessage="1" sqref="J312">
      <formula1>'3월'!$AB$312:$AI$312</formula1>
    </dataValidation>
    <dataValidation type="list" allowBlank="1" showErrorMessage="1" sqref="J496">
      <formula1>'3월'!$AB$496:$AI$496</formula1>
    </dataValidation>
    <dataValidation type="list" allowBlank="1" showErrorMessage="1" sqref="J63">
      <formula1>'3월'!$AB$63:$AI$63</formula1>
    </dataValidation>
    <dataValidation type="list" allowBlank="1" showErrorMessage="1" sqref="J492">
      <formula1>'3월'!$AB$492:$AI$492</formula1>
    </dataValidation>
    <dataValidation type="list" allowBlank="1" showErrorMessage="1" sqref="J401">
      <formula1>'3월'!$AB$401:$AI$401</formula1>
    </dataValidation>
    <dataValidation type="list" allowBlank="1" showErrorMessage="1" sqref="J66">
      <formula1>'3월'!$AB$66:$AI$66</formula1>
    </dataValidation>
    <dataValidation type="list" allowBlank="1" showErrorMessage="1" sqref="J278">
      <formula1>'3월'!$AB$278:$AI$278</formula1>
    </dataValidation>
    <dataValidation type="list" allowBlank="1" showErrorMessage="1" sqref="J275">
      <formula1>'3월'!$AB$275:$AI$275</formula1>
    </dataValidation>
    <dataValidation type="list" allowBlank="1" showErrorMessage="1" sqref="J311">
      <formula1>'3월'!$AB$311:$AI$311</formula1>
    </dataValidation>
    <dataValidation type="list" allowBlank="1" showErrorMessage="1" sqref="J188">
      <formula1>'3월'!$AB$188:$AI$188</formula1>
    </dataValidation>
    <dataValidation type="list" allowBlank="1" showErrorMessage="1" sqref="J368">
      <formula1>'3월'!$AB$368:$AI$368</formula1>
    </dataValidation>
    <dataValidation type="list" allowBlank="1" showErrorMessage="1" sqref="J493">
      <formula1>'3월'!$AB$493:$AI$493</formula1>
    </dataValidation>
    <dataValidation type="list" allowBlank="1" showErrorMessage="1" sqref="J221">
      <formula1>'3월'!$AB$221:$AI$221</formula1>
    </dataValidation>
    <dataValidation type="list" allowBlank="1" showErrorMessage="1" sqref="J329">
      <formula1>'3월'!$AB$329:$AI$329</formula1>
    </dataValidation>
    <dataValidation type="list" allowBlank="1" showErrorMessage="1" sqref="J457">
      <formula1>'3월'!$AB$457:$AI$457</formula1>
    </dataValidation>
    <dataValidation type="list" allowBlank="1" showErrorMessage="1" sqref="J65">
      <formula1>'3월'!$AB$65:$AI$65</formula1>
    </dataValidation>
    <dataValidation type="list" allowBlank="1" showErrorMessage="1" sqref="J367">
      <formula1>'3월'!$AB$367:$AI$367</formula1>
    </dataValidation>
    <dataValidation type="list" allowBlank="1" showErrorMessage="1" sqref="J186">
      <formula1>'3월'!$AB$186:$AI$186</formula1>
    </dataValidation>
    <dataValidation type="list" allowBlank="1" showErrorMessage="1" sqref="J149">
      <formula1>'3월'!$AB$149:$AI$149</formula1>
    </dataValidation>
    <dataValidation type="list" allowBlank="1" showErrorMessage="1" sqref="J277">
      <formula1>'3월'!$AB$277:$AI$277</formula1>
    </dataValidation>
    <dataValidation type="list" allowBlank="1" showErrorMessage="1" sqref="J400">
      <formula1>'3월'!$AB$400:$AI$400</formula1>
    </dataValidation>
    <dataValidation type="list" allowBlank="1" showErrorMessage="1" sqref="J64">
      <formula1>'3월'!$AB$64:$AI$64</formula1>
    </dataValidation>
    <dataValidation type="list" allowBlank="1" showErrorMessage="1" sqref="J419">
      <formula1>'3월'!$AB$419:$AI$419</formula1>
    </dataValidation>
    <dataValidation type="list" allowBlank="1" showErrorMessage="1" sqref="J239">
      <formula1>'3월'!$AB$239:$AI$239</formula1>
    </dataValidation>
    <dataValidation type="list" allowBlank="1" showErrorMessage="1" sqref="J130">
      <formula1>'3월'!$AB$130:$AI$130</formula1>
    </dataValidation>
    <dataValidation type="list" allowBlank="1" showErrorMessage="1" sqref="J310">
      <formula1>'3월'!$AB$310:$AI$310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4.0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SUMIFS($K$62:$K$499,$L$62:$L$499,E9,$I$62:$I$499,"&lt;&gt;수입",$I$62:$I$499,"&lt;&gt;저축")</f>
        <v>0</v>
      </c>
      <c r="R9" s="116">
        <f>DATE($C$3,$D$3,1)-WEEKDAY(DATE($C$3,$D$3,1))+1</f>
        <v>45746</v>
      </c>
      <c r="S9" s="117">
        <f t="shared" ref="S9:X9" si="1">R9 + 1</f>
        <v>45747</v>
      </c>
      <c r="T9" s="118">
        <f t="shared" si="1"/>
        <v>45748</v>
      </c>
      <c r="U9" s="118">
        <f t="shared" si="1"/>
        <v>45749</v>
      </c>
      <c r="V9" s="118">
        <f t="shared" si="1"/>
        <v>45750</v>
      </c>
      <c r="W9" s="118">
        <f t="shared" si="1"/>
        <v>45751</v>
      </c>
      <c r="X9" s="119">
        <f t="shared" si="1"/>
        <v>45752</v>
      </c>
      <c r="Y9" s="120"/>
      <c r="AB9" s="121" t="str">
        <f>$H$25</f>
        <v>🍪고정비</v>
      </c>
      <c r="AC9" s="122">
        <f>$K$31</f>
        <v>606251</v>
      </c>
      <c r="AD9" s="123">
        <f t="shared" ref="AD9:AD20" si="4">_xlfn.RANK.EQ(AC9,$AB$9:$AC$20,0) + ROW(AB1)/10000</f>
        <v>3.0001</v>
      </c>
      <c r="AE9" s="123">
        <f t="shared" ref="AE9:AE20" si="5">SMALL($AD$9:$AD$20, ROW(AB1))</f>
        <v>1.0012</v>
      </c>
      <c r="AF9" s="123" t="str">
        <f t="shared" ref="AF9:AF20" si="6">INDEX($AB$9:$AB$20,MATCH(AE9,$AD$9:$AD$20,0))</f>
        <v>🐻 이벤트성</v>
      </c>
      <c r="AG9" s="122">
        <f t="shared" ref="AG9:AG20" si="7">INDEX($AC$9:$AC$20,MATCH(AE9,$AD$9:$AD$20,0))</f>
        <v>2233282</v>
      </c>
    </row>
    <row r="10">
      <c r="E10" s="114" t="s">
        <v>55</v>
      </c>
      <c r="F10" s="115">
        <f t="shared" si="2"/>
        <v>0</v>
      </c>
      <c r="R10" s="124">
        <f t="shared" ref="R10:X10" si="3">SUMIFS($K$62:$K$499,$H$62:$H$499,R9,$I$62:$I$499,"&lt;&gt;수입",$I$62:$I$499,"&lt;&gt;저축")</f>
        <v>0</v>
      </c>
      <c r="S10" s="125">
        <f t="shared" si="3"/>
        <v>0</v>
      </c>
      <c r="T10" s="126">
        <f t="shared" si="3"/>
        <v>10000</v>
      </c>
      <c r="U10" s="126">
        <f t="shared" si="3"/>
        <v>144850</v>
      </c>
      <c r="V10" s="126">
        <f t="shared" si="3"/>
        <v>13500</v>
      </c>
      <c r="W10" s="126">
        <f t="shared" si="3"/>
        <v>167340</v>
      </c>
      <c r="X10" s="126">
        <f t="shared" si="3"/>
        <v>519730</v>
      </c>
      <c r="Y10" s="126">
        <f>SUM(R10:X10)</f>
        <v>855420</v>
      </c>
      <c r="AB10" s="121" t="str">
        <f>$H$33</f>
        <v>🐻고정비</v>
      </c>
      <c r="AC10" s="122">
        <f>$K$39</f>
        <v>695256</v>
      </c>
      <c r="AD10" s="123">
        <f t="shared" si="4"/>
        <v>2.0002</v>
      </c>
      <c r="AE10" s="123">
        <f t="shared" si="5"/>
        <v>2.0002</v>
      </c>
      <c r="AF10" s="123" t="str">
        <f t="shared" si="6"/>
        <v>🐻고정비</v>
      </c>
      <c r="AG10" s="122">
        <f t="shared" si="7"/>
        <v>695256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45753</v>
      </c>
      <c r="S11" s="128">
        <f t="shared" si="8"/>
        <v>45754</v>
      </c>
      <c r="T11" s="117">
        <f t="shared" si="8"/>
        <v>45755</v>
      </c>
      <c r="U11" s="117">
        <f t="shared" si="8"/>
        <v>45756</v>
      </c>
      <c r="V11" s="118">
        <f t="shared" si="8"/>
        <v>45757</v>
      </c>
      <c r="W11" s="129">
        <f t="shared" si="8"/>
        <v>45758</v>
      </c>
      <c r="X11" s="130">
        <f t="shared" si="8"/>
        <v>45759</v>
      </c>
      <c r="Y11" s="131"/>
      <c r="AB11" s="121" t="str">
        <f>$H$41</f>
        <v>🍪생필품</v>
      </c>
      <c r="AC11" s="122">
        <f>$K$47</f>
        <v>111374</v>
      </c>
      <c r="AD11" s="123">
        <f t="shared" si="4"/>
        <v>8.0003</v>
      </c>
      <c r="AE11" s="123">
        <f t="shared" si="5"/>
        <v>3.0001</v>
      </c>
      <c r="AF11" s="123" t="str">
        <f t="shared" si="6"/>
        <v>🍪고정비</v>
      </c>
      <c r="AG11" s="122">
        <f t="shared" si="7"/>
        <v>606251</v>
      </c>
    </row>
    <row r="12">
      <c r="C12" s="132" t="s">
        <v>136</v>
      </c>
      <c r="D12" s="133">
        <f>F33</f>
        <v>9492620</v>
      </c>
      <c r="E12" s="114" t="s">
        <v>57</v>
      </c>
      <c r="F12" s="115">
        <f t="shared" si="2"/>
        <v>212084</v>
      </c>
      <c r="R12" s="134">
        <f t="shared" ref="R12:X12" si="9">SUMIFS($K$62:$K$499,$H$62:$H$499,R11,$I$62:$I$499,"&lt;&gt;수입",$I$62:$I$499,"&lt;&gt;저축")</f>
        <v>45300</v>
      </c>
      <c r="S12" s="135">
        <f t="shared" si="9"/>
        <v>7800</v>
      </c>
      <c r="T12" s="136">
        <f t="shared" si="9"/>
        <v>74504</v>
      </c>
      <c r="U12" s="136">
        <f t="shared" si="9"/>
        <v>803060</v>
      </c>
      <c r="V12" s="134">
        <f t="shared" si="9"/>
        <v>83000</v>
      </c>
      <c r="W12" s="137">
        <f t="shared" si="9"/>
        <v>92900</v>
      </c>
      <c r="X12" s="137">
        <f t="shared" si="9"/>
        <v>318200</v>
      </c>
      <c r="Y12" s="137">
        <f>SUM(R12:X12)</f>
        <v>1424764</v>
      </c>
      <c r="AB12" s="121" t="str">
        <f>$H$49</f>
        <v>🐻생필품</v>
      </c>
      <c r="AC12" s="122">
        <f>$K$55</f>
        <v>126650</v>
      </c>
      <c r="AD12" s="123">
        <f t="shared" si="4"/>
        <v>6.0004</v>
      </c>
      <c r="AE12" s="123">
        <f t="shared" si="5"/>
        <v>4.0009</v>
      </c>
      <c r="AF12" s="123" t="str">
        <f t="shared" si="6"/>
        <v>🍪기타</v>
      </c>
      <c r="AG12" s="122">
        <f t="shared" si="7"/>
        <v>338280</v>
      </c>
    </row>
    <row r="13">
      <c r="C13" s="46"/>
      <c r="D13" s="138"/>
      <c r="E13" s="114" t="s">
        <v>58</v>
      </c>
      <c r="F13" s="115">
        <f t="shared" si="2"/>
        <v>105410</v>
      </c>
      <c r="I13" s="94"/>
      <c r="J13" s="94"/>
      <c r="R13" s="127">
        <f t="shared" ref="R13:X13" si="10">R11+7</f>
        <v>45760</v>
      </c>
      <c r="S13" s="128">
        <f t="shared" si="10"/>
        <v>45761</v>
      </c>
      <c r="T13" s="117">
        <f t="shared" si="10"/>
        <v>45762</v>
      </c>
      <c r="U13" s="117">
        <f t="shared" si="10"/>
        <v>45763</v>
      </c>
      <c r="V13" s="118">
        <f t="shared" si="10"/>
        <v>45764</v>
      </c>
      <c r="W13" s="129">
        <f t="shared" si="10"/>
        <v>45765</v>
      </c>
      <c r="X13" s="130">
        <f t="shared" si="10"/>
        <v>45766</v>
      </c>
      <c r="Y13" s="131"/>
      <c r="AB13" s="121" t="str">
        <f>$M$25</f>
        <v>🍪식비</v>
      </c>
      <c r="AC13" s="122">
        <f>$P$31</f>
        <v>126090</v>
      </c>
      <c r="AD13" s="123">
        <f t="shared" si="4"/>
        <v>7.0005</v>
      </c>
      <c r="AE13" s="123">
        <f t="shared" si="5"/>
        <v>5.0006</v>
      </c>
      <c r="AF13" s="123" t="str">
        <f t="shared" si="6"/>
        <v>🐻식비</v>
      </c>
      <c r="AG13" s="122">
        <f t="shared" si="7"/>
        <v>159750</v>
      </c>
    </row>
    <row r="14">
      <c r="C14" s="132" t="s">
        <v>137</v>
      </c>
      <c r="D14" s="133">
        <f>SUM($K$31+$K$39+$K$47+$K$55+$P$31+$P$39+$P$47+$P$55+X31+X39+X47+X55)</f>
        <v>4510013</v>
      </c>
      <c r="E14" s="114" t="s">
        <v>59</v>
      </c>
      <c r="F14" s="115">
        <f t="shared" si="2"/>
        <v>306900</v>
      </c>
      <c r="I14" s="139"/>
      <c r="J14" s="94"/>
      <c r="R14" s="134">
        <f t="shared" ref="R14:X14" si="11">SUMIFS($K$62:$K$499,$H$62:$H$499,R13,$I$62:$I$499,"&lt;&gt;수입",$I$62:$I$499,"&lt;&gt;저축")</f>
        <v>2200</v>
      </c>
      <c r="S14" s="135">
        <f t="shared" si="11"/>
        <v>0</v>
      </c>
      <c r="T14" s="136">
        <f t="shared" si="11"/>
        <v>1389382</v>
      </c>
      <c r="U14" s="136">
        <f t="shared" si="11"/>
        <v>0</v>
      </c>
      <c r="V14" s="134">
        <f t="shared" si="11"/>
        <v>0</v>
      </c>
      <c r="W14" s="137">
        <f t="shared" si="11"/>
        <v>0</v>
      </c>
      <c r="X14" s="137">
        <f t="shared" si="11"/>
        <v>0</v>
      </c>
      <c r="Y14" s="137">
        <f>SUM(R14:X14)</f>
        <v>1391582</v>
      </c>
      <c r="AB14" s="121" t="str">
        <f>$M$33</f>
        <v>🐻식비</v>
      </c>
      <c r="AC14" s="122">
        <f>$P$39</f>
        <v>159750</v>
      </c>
      <c r="AD14" s="123">
        <f t="shared" si="4"/>
        <v>5.0006</v>
      </c>
      <c r="AE14" s="123">
        <f t="shared" si="5"/>
        <v>6.0004</v>
      </c>
      <c r="AF14" s="123" t="str">
        <f t="shared" si="6"/>
        <v>🐻생필품</v>
      </c>
      <c r="AG14" s="122">
        <f t="shared" si="7"/>
        <v>126650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45767</v>
      </c>
      <c r="S15" s="128">
        <f t="shared" si="12"/>
        <v>45768</v>
      </c>
      <c r="T15" s="117">
        <f t="shared" si="12"/>
        <v>45769</v>
      </c>
      <c r="U15" s="117">
        <f t="shared" si="12"/>
        <v>45770</v>
      </c>
      <c r="V15" s="118">
        <f t="shared" si="12"/>
        <v>45771</v>
      </c>
      <c r="W15" s="129">
        <f t="shared" si="12"/>
        <v>45772</v>
      </c>
      <c r="X15" s="130">
        <f t="shared" si="12"/>
        <v>45773</v>
      </c>
      <c r="Y15" s="131"/>
      <c r="AB15" s="121" t="str">
        <f>$M$41</f>
        <v>🍪여가비</v>
      </c>
      <c r="AC15" s="122">
        <f>$P$47</f>
        <v>1900</v>
      </c>
      <c r="AD15" s="123">
        <f t="shared" si="4"/>
        <v>11.0007</v>
      </c>
      <c r="AE15" s="123">
        <f t="shared" si="5"/>
        <v>7.0005</v>
      </c>
      <c r="AF15" s="123" t="str">
        <f t="shared" si="6"/>
        <v>🍪식비</v>
      </c>
      <c r="AG15" s="122">
        <f t="shared" si="7"/>
        <v>126090</v>
      </c>
    </row>
    <row r="16">
      <c r="C16" s="132" t="s">
        <v>138</v>
      </c>
      <c r="D16" s="133">
        <f>F43</f>
        <v>100000</v>
      </c>
      <c r="E16" s="114" t="s">
        <v>61</v>
      </c>
      <c r="F16" s="115">
        <f t="shared" si="2"/>
        <v>1192592</v>
      </c>
      <c r="H16" s="140" t="s">
        <v>139</v>
      </c>
      <c r="I16" s="141"/>
      <c r="J16" s="141"/>
      <c r="K16" s="53"/>
      <c r="R16" s="134">
        <f t="shared" ref="R16:X16" si="13">SUMIFS($K$62:$K$499,$H$62:$H$499,R15,$I$62:$I$499,"&lt;&gt;수입",$I$62:$I$499,"&lt;&gt;저축")</f>
        <v>3000</v>
      </c>
      <c r="S16" s="135">
        <f t="shared" si="13"/>
        <v>69100</v>
      </c>
      <c r="T16" s="136">
        <f t="shared" si="13"/>
        <v>0</v>
      </c>
      <c r="U16" s="136">
        <f t="shared" si="13"/>
        <v>0</v>
      </c>
      <c r="V16" s="134">
        <f t="shared" si="13"/>
        <v>623051</v>
      </c>
      <c r="W16" s="137">
        <f t="shared" si="13"/>
        <v>108010</v>
      </c>
      <c r="X16" s="137">
        <f t="shared" si="13"/>
        <v>0</v>
      </c>
      <c r="Y16" s="137">
        <f>SUM(R16:X16)</f>
        <v>803161</v>
      </c>
      <c r="AB16" s="121" t="str">
        <f>$M$49</f>
        <v>🐻여가비</v>
      </c>
      <c r="AC16" s="122">
        <f>$P$55</f>
        <v>52000</v>
      </c>
      <c r="AD16" s="123">
        <f t="shared" si="4"/>
        <v>10.0008</v>
      </c>
      <c r="AE16" s="123">
        <f t="shared" si="5"/>
        <v>8.0003</v>
      </c>
      <c r="AF16" s="123" t="str">
        <f t="shared" si="6"/>
        <v>🍪생필품</v>
      </c>
      <c r="AG16" s="122">
        <f t="shared" si="7"/>
        <v>111374</v>
      </c>
    </row>
    <row r="17">
      <c r="C17" s="46"/>
      <c r="D17" s="138"/>
      <c r="E17" s="114" t="s">
        <v>62</v>
      </c>
      <c r="F17" s="115">
        <f t="shared" si="2"/>
        <v>189000</v>
      </c>
      <c r="H17" s="142"/>
      <c r="I17" s="143"/>
      <c r="J17" s="144"/>
      <c r="K17" s="145"/>
      <c r="R17" s="127">
        <f t="shared" ref="R17:X17" si="14">R15+7</f>
        <v>45774</v>
      </c>
      <c r="S17" s="128">
        <f t="shared" si="14"/>
        <v>45775</v>
      </c>
      <c r="T17" s="117">
        <f t="shared" si="14"/>
        <v>45776</v>
      </c>
      <c r="U17" s="117">
        <f t="shared" si="14"/>
        <v>45777</v>
      </c>
      <c r="V17" s="118">
        <f t="shared" si="14"/>
        <v>45778</v>
      </c>
      <c r="W17" s="129">
        <f t="shared" si="14"/>
        <v>45779</v>
      </c>
      <c r="X17" s="130">
        <f t="shared" si="14"/>
        <v>45780</v>
      </c>
      <c r="Y17" s="131"/>
      <c r="AB17" s="121" t="str">
        <f>$R$25</f>
        <v>🍪기타</v>
      </c>
      <c r="AC17" s="122">
        <f>$X$31</f>
        <v>338280</v>
      </c>
      <c r="AD17" s="123">
        <f t="shared" si="4"/>
        <v>4.0009</v>
      </c>
      <c r="AE17" s="123">
        <f t="shared" si="5"/>
        <v>9.001</v>
      </c>
      <c r="AF17" s="123" t="str">
        <f t="shared" si="6"/>
        <v>🐻기타</v>
      </c>
      <c r="AG17" s="122">
        <f t="shared" si="7"/>
        <v>59180</v>
      </c>
    </row>
    <row r="18">
      <c r="C18" s="146" t="s">
        <v>140</v>
      </c>
      <c r="D18" s="147">
        <f>D12-D14-D16</f>
        <v>4882607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SUMIFS($K$62:$K$499,$H$62:$H$499,R17,$I$62:$I$499,"&lt;&gt;수입",$I$62:$I$499,"&lt;&gt;저축")</f>
        <v>10186</v>
      </c>
      <c r="S18" s="148">
        <f t="shared" si="15"/>
        <v>22000</v>
      </c>
      <c r="T18" s="149">
        <f t="shared" si="15"/>
        <v>24900</v>
      </c>
      <c r="U18" s="149">
        <f t="shared" si="15"/>
        <v>0</v>
      </c>
      <c r="V18" s="126">
        <f t="shared" si="15"/>
        <v>0</v>
      </c>
      <c r="W18" s="150">
        <f t="shared" si="15"/>
        <v>0</v>
      </c>
      <c r="X18" s="150">
        <f t="shared" si="15"/>
        <v>0</v>
      </c>
      <c r="Y18" s="150">
        <f>SUM(R18:X18)</f>
        <v>57086</v>
      </c>
      <c r="AB18" s="121" t="str">
        <f>$R$33</f>
        <v>🐻기타</v>
      </c>
      <c r="AC18" s="122">
        <f>$X$39</f>
        <v>59180</v>
      </c>
      <c r="AD18" s="123">
        <f t="shared" si="4"/>
        <v>9.001</v>
      </c>
      <c r="AE18" s="123">
        <f t="shared" si="5"/>
        <v>10.0008</v>
      </c>
      <c r="AF18" s="123" t="str">
        <f t="shared" si="6"/>
        <v>🐻여가비</v>
      </c>
      <c r="AG18" s="122">
        <f t="shared" si="7"/>
        <v>52000</v>
      </c>
    </row>
    <row r="19">
      <c r="C19" s="151" t="s">
        <v>141</v>
      </c>
      <c r="D19" s="152">
        <f>(D16+D18)/D12</f>
        <v>0.5248927061</v>
      </c>
      <c r="E19" s="114" t="s">
        <v>64</v>
      </c>
      <c r="F19" s="115">
        <f t="shared" si="2"/>
        <v>1966526</v>
      </c>
      <c r="H19" s="142"/>
      <c r="I19" s="143"/>
      <c r="J19" s="144"/>
      <c r="K19" s="145"/>
      <c r="R19" s="153">
        <f t="shared" ref="R19:X19" si="16">R17+7</f>
        <v>45781</v>
      </c>
      <c r="S19" s="154">
        <f t="shared" si="16"/>
        <v>45782</v>
      </c>
      <c r="T19" s="155">
        <f t="shared" si="16"/>
        <v>45783</v>
      </c>
      <c r="U19" s="155">
        <f t="shared" si="16"/>
        <v>45784</v>
      </c>
      <c r="V19" s="156">
        <f t="shared" si="16"/>
        <v>45785</v>
      </c>
      <c r="W19" s="157">
        <f t="shared" si="16"/>
        <v>45786</v>
      </c>
      <c r="X19" s="158">
        <f t="shared" si="16"/>
        <v>45787</v>
      </c>
      <c r="Y19" s="159"/>
      <c r="AB19" s="121" t="str">
        <f>$R$41</f>
        <v>🍪이벤트성</v>
      </c>
      <c r="AC19" s="122">
        <f>$X$47</f>
        <v>0</v>
      </c>
      <c r="AD19" s="123">
        <f t="shared" si="4"/>
        <v>12.0011</v>
      </c>
      <c r="AE19" s="123">
        <f t="shared" si="5"/>
        <v>11.0007</v>
      </c>
      <c r="AF19" s="123" t="str">
        <f t="shared" si="6"/>
        <v>🍪여가비</v>
      </c>
      <c r="AG19" s="122">
        <f t="shared" si="7"/>
        <v>1900</v>
      </c>
    </row>
    <row r="20">
      <c r="C20" s="160" t="s">
        <v>142</v>
      </c>
      <c r="D20" s="161">
        <f>D18/D12</f>
        <v>0.5143582067</v>
      </c>
      <c r="E20" s="162" t="s">
        <v>65</v>
      </c>
      <c r="F20" s="163">
        <f>SUM($F$9:$F$19)</f>
        <v>3972512</v>
      </c>
      <c r="H20" s="164"/>
      <c r="I20" s="165"/>
      <c r="J20" s="166"/>
      <c r="K20" s="55"/>
      <c r="R20" s="126">
        <f t="shared" ref="R20:X20" si="17">SUMIFS($K$62:$K$499,$H$62:$H$499,R19,$I$62:$I$499,"&lt;&gt;수입",$I$62:$I$499,"&lt;&gt;저축")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2233282</v>
      </c>
      <c r="AD20" s="123">
        <f t="shared" si="4"/>
        <v>1.0012</v>
      </c>
      <c r="AE20" s="123">
        <f t="shared" si="5"/>
        <v>12.0011</v>
      </c>
      <c r="AF20" s="123" t="str">
        <f t="shared" si="6"/>
        <v>🍪이벤트성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SUMIFS($K$62:$K$499,$I$62:$I$499,$C$25,$J$62:$J$499,D25)</f>
        <v>3306190</v>
      </c>
      <c r="H25" s="173" t="s">
        <v>14</v>
      </c>
      <c r="I25" s="41" t="s">
        <v>15</v>
      </c>
      <c r="J25" s="172"/>
      <c r="K25" s="115">
        <f t="shared" ref="K25:K30" si="19">SUMIFS($K$62:$K$499,$I$62:$I$499,$H$25,$J$62:$J$499,I25)</f>
        <v>0</v>
      </c>
      <c r="M25" s="173" t="s">
        <v>26</v>
      </c>
      <c r="N25" s="41" t="s">
        <v>27</v>
      </c>
      <c r="O25" s="172"/>
      <c r="P25" s="115">
        <f t="shared" ref="P25:P30" si="20">SUMIFS($K$62:$K$499,$I$62:$I$499,$M$25,$J$62:$J$499,N25)</f>
        <v>86090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SUMIFS($K$62:$K$499,$I$62:$I$499,$R$25,$J$62:$J$499,T25)</f>
        <v>18980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400000</v>
      </c>
      <c r="M26" s="45"/>
      <c r="N26" s="41" t="s">
        <v>28</v>
      </c>
      <c r="O26" s="179"/>
      <c r="P26" s="115">
        <f t="shared" si="20"/>
        <v>12000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306900</v>
      </c>
      <c r="Y26" s="145"/>
    </row>
    <row r="27">
      <c r="C27" s="45"/>
      <c r="D27" s="41" t="s">
        <v>6</v>
      </c>
      <c r="E27" s="179"/>
      <c r="F27" s="115">
        <f t="shared" si="18"/>
        <v>4754880</v>
      </c>
      <c r="H27" s="45"/>
      <c r="I27" s="41" t="s">
        <v>17</v>
      </c>
      <c r="J27" s="179"/>
      <c r="K27" s="115">
        <f t="shared" si="19"/>
        <v>159501</v>
      </c>
      <c r="M27" s="45"/>
      <c r="N27" s="41" t="s">
        <v>29</v>
      </c>
      <c r="O27" s="179"/>
      <c r="P27" s="115">
        <f t="shared" si="20"/>
        <v>28000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46750</v>
      </c>
      <c r="M28" s="45"/>
      <c r="N28" s="41" t="s">
        <v>30</v>
      </c>
      <c r="O28" s="179"/>
      <c r="P28" s="115">
        <f t="shared" si="20"/>
        <v>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12400</v>
      </c>
      <c r="Y28" s="145"/>
    </row>
    <row r="29">
      <c r="C29" s="45"/>
      <c r="D29" s="41" t="s">
        <v>8</v>
      </c>
      <c r="E29" s="179"/>
      <c r="F29" s="115">
        <f t="shared" si="18"/>
        <v>1431550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606251</v>
      </c>
      <c r="M31" s="187" t="str">
        <f>IF(M25=0,"","총"&amp;M25)</f>
        <v>총🍪식비</v>
      </c>
      <c r="N31" s="188"/>
      <c r="O31" s="175"/>
      <c r="P31" s="189">
        <f>SUM(P25:P30)</f>
        <v>126090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338280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606251</v>
      </c>
      <c r="M32" s="184"/>
      <c r="N32" s="191"/>
      <c r="O32" s="185"/>
      <c r="P32" s="193">
        <f>P31-O25</f>
        <v>126090</v>
      </c>
      <c r="R32" s="184"/>
      <c r="S32" s="191"/>
      <c r="T32" s="191"/>
      <c r="U32" s="191"/>
      <c r="V32" s="191"/>
      <c r="W32" s="185"/>
      <c r="X32" s="194">
        <f>X31-V25</f>
        <v>338280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9492620</v>
      </c>
      <c r="H33" s="173" t="s">
        <v>21</v>
      </c>
      <c r="I33" s="41" t="s">
        <v>15</v>
      </c>
      <c r="J33" s="172"/>
      <c r="K33" s="115">
        <f t="shared" ref="K33:K38" si="22">SUMIFS($K$62:$K$499,$I$62:$I$499,$H$33,$J$62:$J$499,I33)</f>
        <v>477850</v>
      </c>
      <c r="M33" s="173" t="s">
        <v>31</v>
      </c>
      <c r="N33" s="41" t="s">
        <v>27</v>
      </c>
      <c r="O33" s="172"/>
      <c r="P33" s="115">
        <f t="shared" ref="P33:P38" si="23">SUMIFS($K$62:$K$499,$I$62:$I$499,$M$33,$J$62:$J$499,N33)</f>
        <v>24900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SUMIFS($K$62:$K$499,$I$62:$I$499,$R$33,$J$62:$J$499,T33)</f>
        <v>0</v>
      </c>
      <c r="Y33" s="145"/>
    </row>
    <row r="34">
      <c r="C34" s="184"/>
      <c r="D34" s="191"/>
      <c r="E34" s="185"/>
      <c r="F34" s="195">
        <f>F33-E25</f>
        <v>9492620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SUMIFS($K$62:$K$499,$I$62:$I$499,$C$35,$J$62:$J$499,D35)</f>
        <v>0</v>
      </c>
      <c r="H35" s="45"/>
      <c r="I35" s="41" t="s">
        <v>18</v>
      </c>
      <c r="J35" s="179"/>
      <c r="K35" s="115">
        <f t="shared" si="22"/>
        <v>49396</v>
      </c>
      <c r="M35" s="45"/>
      <c r="N35" s="41" t="s">
        <v>29</v>
      </c>
      <c r="O35" s="179"/>
      <c r="P35" s="115">
        <f t="shared" si="23"/>
        <v>18550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88010</v>
      </c>
      <c r="M36" s="45"/>
      <c r="N36" s="41" t="s">
        <v>30</v>
      </c>
      <c r="O36" s="179"/>
      <c r="P36" s="115">
        <f t="shared" si="23"/>
        <v>115300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80000</v>
      </c>
      <c r="M37" s="45"/>
      <c r="N37" s="41" t="s">
        <v>8</v>
      </c>
      <c r="O37" s="179"/>
      <c r="P37" s="115">
        <f t="shared" si="23"/>
        <v>1000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59180</v>
      </c>
      <c r="Y37" s="145"/>
    </row>
    <row r="38">
      <c r="C38" s="45"/>
      <c r="D38" s="41" t="s">
        <v>13</v>
      </c>
      <c r="E38" s="179"/>
      <c r="F38" s="115">
        <f t="shared" si="25"/>
        <v>100000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695256</v>
      </c>
      <c r="M39" s="187" t="str">
        <f>IF(M33=0,"","총"&amp;M33)</f>
        <v>총🐻식비</v>
      </c>
      <c r="N39" s="188"/>
      <c r="O39" s="175"/>
      <c r="P39" s="189">
        <f>SUM(P33:P38)</f>
        <v>159750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59180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695256</v>
      </c>
      <c r="M40" s="184"/>
      <c r="N40" s="191"/>
      <c r="O40" s="185"/>
      <c r="P40" s="193">
        <f>P39-O33</f>
        <v>159750</v>
      </c>
      <c r="R40" s="184"/>
      <c r="S40" s="191"/>
      <c r="T40" s="191"/>
      <c r="U40" s="191"/>
      <c r="V40" s="191"/>
      <c r="W40" s="185"/>
      <c r="X40" s="194">
        <f>X39-V33</f>
        <v>59180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SUMIFS($K$62:$K$499,$I$62:$I$499,$H$41,$J$62:$J$499,I41)</f>
        <v>111374</v>
      </c>
      <c r="M41" s="173" t="s">
        <v>32</v>
      </c>
      <c r="N41" s="41" t="s">
        <v>33</v>
      </c>
      <c r="O41" s="172"/>
      <c r="P41" s="115">
        <f t="shared" ref="P41:P46" si="27">SUMIFS($K$62:$K$499,$I$62:$I$499,$M$41,$J$62:$J$499,N41)</f>
        <v>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SUMIFS($K$62:$K$499,$I$62:$I$499,$R$41,$J$62:$J$499,T41)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0</v>
      </c>
      <c r="M42" s="45"/>
      <c r="N42" s="41" t="s">
        <v>34</v>
      </c>
      <c r="O42" s="179"/>
      <c r="P42" s="115">
        <f t="shared" si="27"/>
        <v>1900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100000</v>
      </c>
      <c r="H43" s="45"/>
      <c r="I43" s="41" t="s">
        <v>8</v>
      </c>
      <c r="J43" s="179"/>
      <c r="K43" s="115">
        <f t="shared" si="26"/>
        <v>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100000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111374</v>
      </c>
      <c r="M47" s="187" t="str">
        <f>IF(M41=0,"","총"&amp;M41)</f>
        <v>총🍪여가비</v>
      </c>
      <c r="N47" s="188"/>
      <c r="O47" s="175"/>
      <c r="P47" s="189">
        <f>SUM(P41:P46)</f>
        <v>1900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0</v>
      </c>
      <c r="Y47" s="145"/>
    </row>
    <row r="48">
      <c r="H48" s="184"/>
      <c r="I48" s="191"/>
      <c r="J48" s="185"/>
      <c r="K48" s="193">
        <f>K47-J41</f>
        <v>111374</v>
      </c>
      <c r="M48" s="184"/>
      <c r="N48" s="191"/>
      <c r="O48" s="185"/>
      <c r="P48" s="193">
        <f>P47-O41</f>
        <v>1900</v>
      </c>
      <c r="R48" s="184"/>
      <c r="S48" s="191"/>
      <c r="T48" s="191"/>
      <c r="U48" s="191"/>
      <c r="V48" s="191"/>
      <c r="W48" s="185"/>
      <c r="X48" s="194">
        <f>X47-V41</f>
        <v>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SUMIFS($K$62:$K$499,$I$62:$I$499,$H$49,$J$62:$J$499,I49)</f>
        <v>2200</v>
      </c>
      <c r="M49" s="173" t="s">
        <v>38</v>
      </c>
      <c r="N49" s="41" t="s">
        <v>33</v>
      </c>
      <c r="O49" s="172"/>
      <c r="P49" s="115">
        <f t="shared" ref="P49:P54" si="30">SUMIFS($K$62:$K$499,$I$62:$I$499,$M$49,$J$62:$J$499,N49)</f>
        <v>13000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SUMIFS($K$62:$K$499,$I$62:$I$499,$R$49,$J$62:$J$499,T49)</f>
        <v>109000</v>
      </c>
      <c r="Y49" s="145"/>
    </row>
    <row r="50">
      <c r="H50" s="45"/>
      <c r="I50" s="41" t="s">
        <v>24</v>
      </c>
      <c r="J50" s="179"/>
      <c r="K50" s="115">
        <f t="shared" si="29"/>
        <v>0</v>
      </c>
      <c r="M50" s="45"/>
      <c r="N50" s="41" t="s">
        <v>34</v>
      </c>
      <c r="O50" s="179"/>
      <c r="P50" s="115">
        <f t="shared" si="30"/>
        <v>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432500</v>
      </c>
      <c r="Y50" s="145"/>
    </row>
    <row r="51">
      <c r="H51" s="45"/>
      <c r="I51" s="41" t="s">
        <v>8</v>
      </c>
      <c r="J51" s="179"/>
      <c r="K51" s="115">
        <f t="shared" si="29"/>
        <v>124450</v>
      </c>
      <c r="M51" s="45"/>
      <c r="N51" s="41" t="s">
        <v>35</v>
      </c>
      <c r="O51" s="179"/>
      <c r="P51" s="115">
        <f t="shared" si="30"/>
        <v>9000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1691782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30000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126650</v>
      </c>
      <c r="M55" s="187" t="str">
        <f>IF(M49=0,"","총"&amp;M49)</f>
        <v>총🐻여가비</v>
      </c>
      <c r="N55" s="188"/>
      <c r="O55" s="175"/>
      <c r="P55" s="189">
        <f>SUM(P49:P54)</f>
        <v>52000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2233282</v>
      </c>
      <c r="Y55" s="145"/>
    </row>
    <row r="56">
      <c r="H56" s="196"/>
      <c r="I56" s="197"/>
      <c r="J56" s="198"/>
      <c r="K56" s="200">
        <f>K55-J49</f>
        <v>126650</v>
      </c>
      <c r="M56" s="196"/>
      <c r="N56" s="197"/>
      <c r="O56" s="198"/>
      <c r="P56" s="200">
        <f>P55-O49</f>
        <v>52000</v>
      </c>
      <c r="R56" s="196"/>
      <c r="S56" s="197"/>
      <c r="T56" s="197"/>
      <c r="U56" s="197"/>
      <c r="V56" s="197"/>
      <c r="W56" s="198"/>
      <c r="X56" s="201">
        <f>X55-V49</f>
        <v>2233282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-4510013</v>
      </c>
      <c r="Y61" s="8"/>
    </row>
    <row r="62">
      <c r="H62" s="208">
        <v>45748.0</v>
      </c>
      <c r="I62" s="209" t="s">
        <v>21</v>
      </c>
      <c r="J62" s="209" t="s">
        <v>20</v>
      </c>
      <c r="K62" s="210">
        <v>10000.0</v>
      </c>
      <c r="L62" s="211" t="s">
        <v>62</v>
      </c>
      <c r="M62" s="143"/>
      <c r="N62" s="211" t="s">
        <v>419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IFERROR(__xludf.DUMMYFUNCTION("FILTER('설정시트'!$D$7:$L$20,'설정시트'!$C$7:$C$20=I62)"),"관리비")</f>
        <v>관리비</v>
      </c>
      <c r="AC62" s="214" t="str">
        <f>IFERROR(__xludf.DUMMYFUNCTION("""COMPUTED_VALUE"""),"대출이자")</f>
        <v>대출이자</v>
      </c>
      <c r="AD62" s="214" t="str">
        <f>IFERROR(__xludf.DUMMYFUNCTION("""COMPUTED_VALUE"""),"통신비")</f>
        <v>통신비</v>
      </c>
      <c r="AE62" s="214" t="str">
        <f>IFERROR(__xludf.DUMMYFUNCTION("""COMPUTED_VALUE"""),"보험료")</f>
        <v>보험료</v>
      </c>
      <c r="AF62" s="214" t="str">
        <f>IFERROR(__xludf.DUMMYFUNCTION("""COMPUTED_VALUE"""),"곗돈")</f>
        <v>곗돈</v>
      </c>
      <c r="AG62" s="214"/>
      <c r="AH62" s="214"/>
      <c r="AI62" s="214"/>
      <c r="AJ62" s="215"/>
    </row>
    <row r="63">
      <c r="H63" s="208">
        <v>45749.0</v>
      </c>
      <c r="I63" s="209" t="s">
        <v>25</v>
      </c>
      <c r="J63" s="209" t="s">
        <v>8</v>
      </c>
      <c r="K63" s="210">
        <v>124450.0</v>
      </c>
      <c r="L63" s="211" t="s">
        <v>64</v>
      </c>
      <c r="M63" s="143"/>
      <c r="N63" s="211" t="s">
        <v>508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IFERROR(__xludf.DUMMYFUNCTION("FILTER('설정시트'!$D$7:$L$20,'설정시트'!$C$7:$C$20=I63)"),"주방/욕실")</f>
        <v>주방/욕실</v>
      </c>
      <c r="AC63" s="214" t="str">
        <f>IFERROR(__xludf.DUMMYFUNCTION("""COMPUTED_VALUE"""),"소모품")</f>
        <v>소모품</v>
      </c>
      <c r="AD63" s="214" t="str">
        <f>IFERROR(__xludf.DUMMYFUNCTION("""COMPUTED_VALUE"""),"기타")</f>
        <v>기타</v>
      </c>
      <c r="AE63" s="214"/>
      <c r="AF63" s="214"/>
      <c r="AG63" s="214"/>
      <c r="AH63" s="214"/>
      <c r="AI63" s="214"/>
      <c r="AJ63" s="215"/>
    </row>
    <row r="64">
      <c r="H64" s="239">
        <v>45749.0</v>
      </c>
      <c r="I64" s="233" t="s">
        <v>39</v>
      </c>
      <c r="J64" s="233" t="s">
        <v>43</v>
      </c>
      <c r="K64" s="234">
        <v>12400.0</v>
      </c>
      <c r="L64" s="211" t="s">
        <v>58</v>
      </c>
      <c r="M64" s="143"/>
      <c r="N64" s="211" t="s">
        <v>509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IFERROR(__xludf.DUMMYFUNCTION("FILTER('설정시트'!$D$7:$L$20,'설정시트'!$C$7:$C$20=I64)"),"약국")</f>
        <v>약국</v>
      </c>
      <c r="AC64" s="214" t="str">
        <f>IFERROR(__xludf.DUMMYFUNCTION("""COMPUTED_VALUE"""),"병원비")</f>
        <v>병원비</v>
      </c>
      <c r="AD64" s="214" t="str">
        <f>IFERROR(__xludf.DUMMYFUNCTION("""COMPUTED_VALUE"""),"영양제")</f>
        <v>영양제</v>
      </c>
      <c r="AE64" s="214" t="str">
        <f>IFERROR(__xludf.DUMMYFUNCTION("""COMPUTED_VALUE"""),"교통비")</f>
        <v>교통비</v>
      </c>
      <c r="AF64" s="214" t="str">
        <f>IFERROR(__xludf.DUMMYFUNCTION("""COMPUTED_VALUE"""),"주유비")</f>
        <v>주유비</v>
      </c>
      <c r="AG64" s="214"/>
      <c r="AH64" s="214" t="str">
        <f>IFERROR(__xludf.DUMMYFUNCTION("""COMPUTED_VALUE"""),"기타")</f>
        <v>기타</v>
      </c>
      <c r="AI64" s="214"/>
      <c r="AJ64" s="215"/>
    </row>
    <row r="65">
      <c r="H65" s="208">
        <v>45749.0</v>
      </c>
      <c r="I65" s="233" t="s">
        <v>26</v>
      </c>
      <c r="J65" s="233" t="s">
        <v>29</v>
      </c>
      <c r="K65" s="210">
        <v>8000.0</v>
      </c>
      <c r="L65" s="211" t="s">
        <v>57</v>
      </c>
      <c r="M65" s="143"/>
      <c r="N65" s="211" t="s">
        <v>510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IFERROR(__xludf.DUMMYFUNCTION("FILTER('설정시트'!$D$7:$L$20,'설정시트'!$C$7:$C$20=I65)"),"식재료비")</f>
        <v>식재료비</v>
      </c>
      <c r="AC65" s="214" t="str">
        <f>IFERROR(__xludf.DUMMYFUNCTION("""COMPUTED_VALUE"""),"회사점심")</f>
        <v>회사점심</v>
      </c>
      <c r="AD65" s="214" t="str">
        <f>IFERROR(__xludf.DUMMYFUNCTION("""COMPUTED_VALUE"""),"간식/카페")</f>
        <v>간식/카페</v>
      </c>
      <c r="AE65" s="214" t="str">
        <f>IFERROR(__xludf.DUMMYFUNCTION("""COMPUTED_VALUE"""),"외식/배달")</f>
        <v>외식/배달</v>
      </c>
      <c r="AF65" s="214" t="str">
        <f>IFERROR(__xludf.DUMMYFUNCTION("""COMPUTED_VALUE"""),"기타")</f>
        <v>기타</v>
      </c>
      <c r="AG65" s="214"/>
      <c r="AH65" s="214"/>
      <c r="AI65" s="214"/>
      <c r="AJ65" s="215"/>
    </row>
    <row r="66">
      <c r="H66" s="208">
        <v>45750.0</v>
      </c>
      <c r="I66" s="209" t="s">
        <v>31</v>
      </c>
      <c r="J66" s="209" t="s">
        <v>8</v>
      </c>
      <c r="K66" s="210">
        <v>1000.0</v>
      </c>
      <c r="L66" s="211" t="s">
        <v>64</v>
      </c>
      <c r="M66" s="143"/>
      <c r="N66" s="211" t="s">
        <v>511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IFERROR(__xludf.DUMMYFUNCTION("FILTER('설정시트'!$D$7:$L$20,'설정시트'!$C$7:$C$20=I66)"),"식재료비")</f>
        <v>식재료비</v>
      </c>
      <c r="AC66" s="214" t="str">
        <f>IFERROR(__xludf.DUMMYFUNCTION("""COMPUTED_VALUE"""),"회사점심")</f>
        <v>회사점심</v>
      </c>
      <c r="AD66" s="214" t="str">
        <f>IFERROR(__xludf.DUMMYFUNCTION("""COMPUTED_VALUE"""),"간식/카페")</f>
        <v>간식/카페</v>
      </c>
      <c r="AE66" s="214" t="str">
        <f>IFERROR(__xludf.DUMMYFUNCTION("""COMPUTED_VALUE"""),"외식/배달")</f>
        <v>외식/배달</v>
      </c>
      <c r="AF66" s="214" t="str">
        <f>IFERROR(__xludf.DUMMYFUNCTION("""COMPUTED_VALUE"""),"기타")</f>
        <v>기타</v>
      </c>
      <c r="AG66" s="214"/>
      <c r="AH66" s="214"/>
      <c r="AI66" s="214"/>
      <c r="AJ66" s="215"/>
    </row>
    <row r="67">
      <c r="H67" s="208">
        <v>45750.0</v>
      </c>
      <c r="I67" s="233" t="s">
        <v>26</v>
      </c>
      <c r="J67" s="233" t="s">
        <v>29</v>
      </c>
      <c r="K67" s="210">
        <v>12500.0</v>
      </c>
      <c r="L67" s="211" t="s">
        <v>57</v>
      </c>
      <c r="M67" s="143"/>
      <c r="N67" s="211" t="s">
        <v>512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IFERROR(__xludf.DUMMYFUNCTION("FILTER('설정시트'!$D$7:$L$20,'설정시트'!$C$7:$C$20=I67)"),"식재료비")</f>
        <v>식재료비</v>
      </c>
      <c r="AC67" s="214" t="str">
        <f>IFERROR(__xludf.DUMMYFUNCTION("""COMPUTED_VALUE"""),"회사점심")</f>
        <v>회사점심</v>
      </c>
      <c r="AD67" s="214" t="str">
        <f>IFERROR(__xludf.DUMMYFUNCTION("""COMPUTED_VALUE"""),"간식/카페")</f>
        <v>간식/카페</v>
      </c>
      <c r="AE67" s="214" t="str">
        <f>IFERROR(__xludf.DUMMYFUNCTION("""COMPUTED_VALUE"""),"외식/배달")</f>
        <v>외식/배달</v>
      </c>
      <c r="AF67" s="214" t="str">
        <f>IFERROR(__xludf.DUMMYFUNCTION("""COMPUTED_VALUE"""),"기타")</f>
        <v>기타</v>
      </c>
      <c r="AG67" s="214"/>
      <c r="AH67" s="214"/>
      <c r="AI67" s="214"/>
      <c r="AJ67" s="215"/>
    </row>
    <row r="68">
      <c r="H68" s="208">
        <v>45751.0</v>
      </c>
      <c r="I68" s="209" t="s">
        <v>3</v>
      </c>
      <c r="J68" s="209" t="s">
        <v>6</v>
      </c>
      <c r="K68" s="210">
        <v>4754880.0</v>
      </c>
      <c r="L68" s="211"/>
      <c r="M68" s="143"/>
      <c r="N68" s="211" t="s">
        <v>513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IFERROR(__xludf.DUMMYFUNCTION("FILTER('설정시트'!$D$7:$L$20,'설정시트'!$C$7:$C$20=I68)"),"🍪 월급")</f>
        <v>🍪 월급</v>
      </c>
      <c r="AC68" s="214" t="str">
        <f>IFERROR(__xludf.DUMMYFUNCTION("""COMPUTED_VALUE"""),"🍪 부수입")</f>
        <v>🍪 부수입</v>
      </c>
      <c r="AD68" s="214" t="str">
        <f>IFERROR(__xludf.DUMMYFUNCTION("""COMPUTED_VALUE"""),"🐻 월급")</f>
        <v>🐻 월급</v>
      </c>
      <c r="AE68" s="214" t="str">
        <f>IFERROR(__xludf.DUMMYFUNCTION("""COMPUTED_VALUE"""),"🐻 부수입")</f>
        <v>🐻 부수입</v>
      </c>
      <c r="AF68" s="214" t="str">
        <f>IFERROR(__xludf.DUMMYFUNCTION("""COMPUTED_VALUE"""),"기타")</f>
        <v>기타</v>
      </c>
      <c r="AG68" s="214"/>
      <c r="AH68" s="214"/>
      <c r="AI68" s="214"/>
      <c r="AJ68" s="215"/>
    </row>
    <row r="69">
      <c r="H69" s="208">
        <v>45751.0</v>
      </c>
      <c r="I69" s="209" t="s">
        <v>52</v>
      </c>
      <c r="J69" s="209" t="s">
        <v>48</v>
      </c>
      <c r="K69" s="210">
        <v>10000.0</v>
      </c>
      <c r="L69" s="211" t="s">
        <v>64</v>
      </c>
      <c r="M69" s="143"/>
      <c r="N69" s="211" t="s">
        <v>514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IFERROR(__xludf.DUMMYFUNCTION("FILTER('설정시트'!$D$7:$L$20,'설정시트'!$C$7:$C$20=I69)"),"축의/부의금")</f>
        <v>축의/부의금</v>
      </c>
      <c r="AC69" s="214" t="str">
        <f>IFERROR(__xludf.DUMMYFUNCTION("""COMPUTED_VALUE"""),"생신/생일선물")</f>
        <v>생신/생일선물</v>
      </c>
      <c r="AD69" s="214" t="str">
        <f>IFERROR(__xludf.DUMMYFUNCTION("""COMPUTED_VALUE"""),"명절/어버이날")</f>
        <v>명절/어버이날</v>
      </c>
      <c r="AE69" s="214" t="str">
        <f>IFERROR(__xludf.DUMMYFUNCTION("""COMPUTED_VALUE"""),"여행")</f>
        <v>여행</v>
      </c>
      <c r="AF69" s="214" t="str">
        <f>IFERROR(__xludf.DUMMYFUNCTION("""COMPUTED_VALUE"""),"기타")</f>
        <v>기타</v>
      </c>
      <c r="AG69" s="214" t="str">
        <f>IFERROR(__xludf.DUMMYFUNCTION("""COMPUTED_VALUE"""),"출산")</f>
        <v>출산</v>
      </c>
      <c r="AH69" s="214"/>
      <c r="AI69" s="214"/>
      <c r="AJ69" s="215"/>
    </row>
    <row r="70">
      <c r="H70" s="208">
        <v>45751.0</v>
      </c>
      <c r="I70" s="209" t="s">
        <v>31</v>
      </c>
      <c r="J70" s="209" t="s">
        <v>30</v>
      </c>
      <c r="K70" s="210">
        <v>26500.0</v>
      </c>
      <c r="L70" s="211" t="s">
        <v>64</v>
      </c>
      <c r="M70" s="143"/>
      <c r="N70" s="211" t="s">
        <v>515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IFERROR(__xludf.DUMMYFUNCTION("FILTER('설정시트'!$D$7:$L$20,'설정시트'!$C$7:$C$20=I70)"),"식재료비")</f>
        <v>식재료비</v>
      </c>
      <c r="AC70" s="214" t="str">
        <f>IFERROR(__xludf.DUMMYFUNCTION("""COMPUTED_VALUE"""),"회사점심")</f>
        <v>회사점심</v>
      </c>
      <c r="AD70" s="214" t="str">
        <f>IFERROR(__xludf.DUMMYFUNCTION("""COMPUTED_VALUE"""),"간식/카페")</f>
        <v>간식/카페</v>
      </c>
      <c r="AE70" s="214" t="str">
        <f>IFERROR(__xludf.DUMMYFUNCTION("""COMPUTED_VALUE"""),"외식/배달")</f>
        <v>외식/배달</v>
      </c>
      <c r="AF70" s="214" t="str">
        <f>IFERROR(__xludf.DUMMYFUNCTION("""COMPUTED_VALUE"""),"기타")</f>
        <v>기타</v>
      </c>
      <c r="AG70" s="214"/>
      <c r="AH70" s="214"/>
      <c r="AI70" s="214"/>
      <c r="AJ70" s="215"/>
    </row>
    <row r="71">
      <c r="H71" s="208">
        <v>45751.0</v>
      </c>
      <c r="I71" s="209" t="s">
        <v>45</v>
      </c>
      <c r="J71" s="209" t="s">
        <v>44</v>
      </c>
      <c r="K71" s="210">
        <v>59180.0</v>
      </c>
      <c r="L71" s="211" t="s">
        <v>64</v>
      </c>
      <c r="M71" s="143"/>
      <c r="N71" s="213"/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IFERROR(__xludf.DUMMYFUNCTION("FILTER('설정시트'!$D$7:$L$20,'설정시트'!$C$7:$C$20=I71)"),"약국")</f>
        <v>약국</v>
      </c>
      <c r="AC71" s="214" t="str">
        <f>IFERROR(__xludf.DUMMYFUNCTION("""COMPUTED_VALUE"""),"병원비")</f>
        <v>병원비</v>
      </c>
      <c r="AD71" s="214" t="str">
        <f>IFERROR(__xludf.DUMMYFUNCTION("""COMPUTED_VALUE"""),"영양제")</f>
        <v>영양제</v>
      </c>
      <c r="AE71" s="214" t="str">
        <f>IFERROR(__xludf.DUMMYFUNCTION("""COMPUTED_VALUE"""),"교통비")</f>
        <v>교통비</v>
      </c>
      <c r="AF71" s="214" t="str">
        <f>IFERROR(__xludf.DUMMYFUNCTION("""COMPUTED_VALUE"""),"주유비")</f>
        <v>주유비</v>
      </c>
      <c r="AG71" s="214"/>
      <c r="AH71" s="214" t="str">
        <f>IFERROR(__xludf.DUMMYFUNCTION("""COMPUTED_VALUE"""),"기타")</f>
        <v>기타</v>
      </c>
      <c r="AI71" s="214"/>
      <c r="AJ71" s="215"/>
    </row>
    <row r="72">
      <c r="H72" s="239">
        <v>45751.0</v>
      </c>
      <c r="I72" s="233" t="s">
        <v>26</v>
      </c>
      <c r="J72" s="233" t="s">
        <v>27</v>
      </c>
      <c r="K72" s="234">
        <v>7280.0</v>
      </c>
      <c r="L72" s="211" t="s">
        <v>58</v>
      </c>
      <c r="M72" s="143"/>
      <c r="N72" s="211" t="s">
        <v>516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IFERROR(__xludf.DUMMYFUNCTION("FILTER('설정시트'!$D$7:$L$20,'설정시트'!$C$7:$C$20=I72)"),"식재료비")</f>
        <v>식재료비</v>
      </c>
      <c r="AC72" s="214" t="str">
        <f>IFERROR(__xludf.DUMMYFUNCTION("""COMPUTED_VALUE"""),"회사점심")</f>
        <v>회사점심</v>
      </c>
      <c r="AD72" s="214" t="str">
        <f>IFERROR(__xludf.DUMMYFUNCTION("""COMPUTED_VALUE"""),"간식/카페")</f>
        <v>간식/카페</v>
      </c>
      <c r="AE72" s="214" t="str">
        <f>IFERROR(__xludf.DUMMYFUNCTION("""COMPUTED_VALUE"""),"외식/배달")</f>
        <v>외식/배달</v>
      </c>
      <c r="AF72" s="214" t="str">
        <f>IFERROR(__xludf.DUMMYFUNCTION("""COMPUTED_VALUE"""),"기타")</f>
        <v>기타</v>
      </c>
      <c r="AG72" s="214"/>
      <c r="AH72" s="214"/>
      <c r="AI72" s="214"/>
      <c r="AJ72" s="215"/>
    </row>
    <row r="73">
      <c r="H73" s="239">
        <v>45751.0</v>
      </c>
      <c r="I73" s="233" t="s">
        <v>39</v>
      </c>
      <c r="J73" s="233" t="s">
        <v>41</v>
      </c>
      <c r="K73" s="234">
        <v>36400.0</v>
      </c>
      <c r="L73" s="211" t="s">
        <v>59</v>
      </c>
      <c r="M73" s="143"/>
      <c r="N73" s="211" t="s">
        <v>517</v>
      </c>
      <c r="O73" s="212"/>
      <c r="P73" s="212"/>
      <c r="Q73" s="143"/>
      <c r="R73" s="211" t="s">
        <v>518</v>
      </c>
      <c r="S73" s="212"/>
      <c r="T73" s="145"/>
      <c r="AB73" s="214" t="str">
        <f>IFERROR(__xludf.DUMMYFUNCTION("FILTER('설정시트'!$D$7:$L$20,'설정시트'!$C$7:$C$20=I73)"),"약국")</f>
        <v>약국</v>
      </c>
      <c r="AC73" s="214" t="str">
        <f>IFERROR(__xludf.DUMMYFUNCTION("""COMPUTED_VALUE"""),"병원비")</f>
        <v>병원비</v>
      </c>
      <c r="AD73" s="214" t="str">
        <f>IFERROR(__xludf.DUMMYFUNCTION("""COMPUTED_VALUE"""),"영양제")</f>
        <v>영양제</v>
      </c>
      <c r="AE73" s="214" t="str">
        <f>IFERROR(__xludf.DUMMYFUNCTION("""COMPUTED_VALUE"""),"교통비")</f>
        <v>교통비</v>
      </c>
      <c r="AF73" s="214" t="str">
        <f>IFERROR(__xludf.DUMMYFUNCTION("""COMPUTED_VALUE"""),"주유비")</f>
        <v>주유비</v>
      </c>
      <c r="AG73" s="214"/>
      <c r="AH73" s="214" t="str">
        <f>IFERROR(__xludf.DUMMYFUNCTION("""COMPUTED_VALUE"""),"기타")</f>
        <v>기타</v>
      </c>
      <c r="AI73" s="214"/>
      <c r="AJ73" s="215"/>
    </row>
    <row r="74">
      <c r="H74" s="208">
        <v>45751.0</v>
      </c>
      <c r="I74" s="209" t="s">
        <v>39</v>
      </c>
      <c r="J74" s="209" t="s">
        <v>40</v>
      </c>
      <c r="K74" s="210">
        <v>18980.0</v>
      </c>
      <c r="L74" s="211" t="s">
        <v>57</v>
      </c>
      <c r="M74" s="143"/>
      <c r="N74" s="211" t="s">
        <v>519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IFERROR(__xludf.DUMMYFUNCTION("FILTER('설정시트'!$D$7:$L$20,'설정시트'!$C$7:$C$20=I74)"),"약국")</f>
        <v>약국</v>
      </c>
      <c r="AC74" s="214" t="str">
        <f>IFERROR(__xludf.DUMMYFUNCTION("""COMPUTED_VALUE"""),"병원비")</f>
        <v>병원비</v>
      </c>
      <c r="AD74" s="214" t="str">
        <f>IFERROR(__xludf.DUMMYFUNCTION("""COMPUTED_VALUE"""),"영양제")</f>
        <v>영양제</v>
      </c>
      <c r="AE74" s="214" t="str">
        <f>IFERROR(__xludf.DUMMYFUNCTION("""COMPUTED_VALUE"""),"교통비")</f>
        <v>교통비</v>
      </c>
      <c r="AF74" s="214" t="str">
        <f>IFERROR(__xludf.DUMMYFUNCTION("""COMPUTED_VALUE"""),"주유비")</f>
        <v>주유비</v>
      </c>
      <c r="AG74" s="214"/>
      <c r="AH74" s="214" t="str">
        <f>IFERROR(__xludf.DUMMYFUNCTION("""COMPUTED_VALUE"""),"기타")</f>
        <v>기타</v>
      </c>
      <c r="AI74" s="214"/>
      <c r="AJ74" s="215"/>
    </row>
    <row r="75">
      <c r="H75" s="208">
        <v>45752.0</v>
      </c>
      <c r="I75" s="209" t="s">
        <v>52</v>
      </c>
      <c r="J75" s="209" t="s">
        <v>47</v>
      </c>
      <c r="K75" s="210">
        <v>9000.0</v>
      </c>
      <c r="L75" s="211" t="s">
        <v>64</v>
      </c>
      <c r="M75" s="143"/>
      <c r="N75" s="211" t="s">
        <v>520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IFERROR(__xludf.DUMMYFUNCTION("FILTER('설정시트'!$D$7:$L$20,'설정시트'!$C$7:$C$20=I75)"),"축의/부의금")</f>
        <v>축의/부의금</v>
      </c>
      <c r="AC75" s="214" t="str">
        <f>IFERROR(__xludf.DUMMYFUNCTION("""COMPUTED_VALUE"""),"생신/생일선물")</f>
        <v>생신/생일선물</v>
      </c>
      <c r="AD75" s="214" t="str">
        <f>IFERROR(__xludf.DUMMYFUNCTION("""COMPUTED_VALUE"""),"명절/어버이날")</f>
        <v>명절/어버이날</v>
      </c>
      <c r="AE75" s="214" t="str">
        <f>IFERROR(__xludf.DUMMYFUNCTION("""COMPUTED_VALUE"""),"여행")</f>
        <v>여행</v>
      </c>
      <c r="AF75" s="214" t="str">
        <f>IFERROR(__xludf.DUMMYFUNCTION("""COMPUTED_VALUE"""),"기타")</f>
        <v>기타</v>
      </c>
      <c r="AG75" s="214" t="str">
        <f>IFERROR(__xludf.DUMMYFUNCTION("""COMPUTED_VALUE"""),"출산")</f>
        <v>출산</v>
      </c>
      <c r="AH75" s="214"/>
      <c r="AI75" s="214"/>
      <c r="AJ75" s="215"/>
    </row>
    <row r="76">
      <c r="H76" s="208">
        <v>45752.0</v>
      </c>
      <c r="I76" s="209" t="s">
        <v>52</v>
      </c>
      <c r="J76" s="209" t="s">
        <v>47</v>
      </c>
      <c r="K76" s="210">
        <v>100000.0</v>
      </c>
      <c r="L76" s="211" t="s">
        <v>62</v>
      </c>
      <c r="M76" s="143"/>
      <c r="N76" s="211" t="s">
        <v>521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IFERROR(__xludf.DUMMYFUNCTION("FILTER('설정시트'!$D$7:$L$20,'설정시트'!$C$7:$C$20=I76)"),"축의/부의금")</f>
        <v>축의/부의금</v>
      </c>
      <c r="AC76" s="214" t="str">
        <f>IFERROR(__xludf.DUMMYFUNCTION("""COMPUTED_VALUE"""),"생신/생일선물")</f>
        <v>생신/생일선물</v>
      </c>
      <c r="AD76" s="214" t="str">
        <f>IFERROR(__xludf.DUMMYFUNCTION("""COMPUTED_VALUE"""),"명절/어버이날")</f>
        <v>명절/어버이날</v>
      </c>
      <c r="AE76" s="214" t="str">
        <f>IFERROR(__xludf.DUMMYFUNCTION("""COMPUTED_VALUE"""),"여행")</f>
        <v>여행</v>
      </c>
      <c r="AF76" s="214" t="str">
        <f>IFERROR(__xludf.DUMMYFUNCTION("""COMPUTED_VALUE"""),"기타")</f>
        <v>기타</v>
      </c>
      <c r="AG76" s="214" t="str">
        <f>IFERROR(__xludf.DUMMYFUNCTION("""COMPUTED_VALUE"""),"출산")</f>
        <v>출산</v>
      </c>
      <c r="AH76" s="214"/>
      <c r="AI76" s="214"/>
      <c r="AJ76" s="215"/>
    </row>
    <row r="77">
      <c r="H77" s="208">
        <v>45752.0</v>
      </c>
      <c r="I77" s="209" t="s">
        <v>31</v>
      </c>
      <c r="J77" s="209" t="s">
        <v>29</v>
      </c>
      <c r="K77" s="210">
        <v>7650.0</v>
      </c>
      <c r="L77" s="211" t="s">
        <v>64</v>
      </c>
      <c r="M77" s="143"/>
      <c r="N77" s="211" t="s">
        <v>522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IFERROR(__xludf.DUMMYFUNCTION("FILTER('설정시트'!$D$7:$L$20,'설정시트'!$C$7:$C$20=I77)"),"식재료비")</f>
        <v>식재료비</v>
      </c>
      <c r="AC77" s="214" t="str">
        <f>IFERROR(__xludf.DUMMYFUNCTION("""COMPUTED_VALUE"""),"회사점심")</f>
        <v>회사점심</v>
      </c>
      <c r="AD77" s="214" t="str">
        <f>IFERROR(__xludf.DUMMYFUNCTION("""COMPUTED_VALUE"""),"간식/카페")</f>
        <v>간식/카페</v>
      </c>
      <c r="AE77" s="214" t="str">
        <f>IFERROR(__xludf.DUMMYFUNCTION("""COMPUTED_VALUE"""),"외식/배달")</f>
        <v>외식/배달</v>
      </c>
      <c r="AF77" s="214" t="str">
        <f>IFERROR(__xludf.DUMMYFUNCTION("""COMPUTED_VALUE"""),"기타")</f>
        <v>기타</v>
      </c>
      <c r="AG77" s="214"/>
      <c r="AH77" s="214"/>
      <c r="AI77" s="214"/>
      <c r="AJ77" s="215"/>
    </row>
    <row r="78">
      <c r="H78" s="239">
        <v>45752.0</v>
      </c>
      <c r="I78" s="233" t="s">
        <v>26</v>
      </c>
      <c r="J78" s="233" t="s">
        <v>29</v>
      </c>
      <c r="K78" s="234">
        <v>3000.0</v>
      </c>
      <c r="L78" s="211" t="s">
        <v>58</v>
      </c>
      <c r="M78" s="143"/>
      <c r="N78" s="211" t="s">
        <v>482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IFERROR(__xludf.DUMMYFUNCTION("FILTER('설정시트'!$D$7:$L$20,'설정시트'!$C$7:$C$20=I78)"),"식재료비")</f>
        <v>식재료비</v>
      </c>
      <c r="AC78" s="214" t="str">
        <f>IFERROR(__xludf.DUMMYFUNCTION("""COMPUTED_VALUE"""),"회사점심")</f>
        <v>회사점심</v>
      </c>
      <c r="AD78" s="214" t="str">
        <f>IFERROR(__xludf.DUMMYFUNCTION("""COMPUTED_VALUE"""),"간식/카페")</f>
        <v>간식/카페</v>
      </c>
      <c r="AE78" s="214" t="str">
        <f>IFERROR(__xludf.DUMMYFUNCTION("""COMPUTED_VALUE"""),"외식/배달")</f>
        <v>외식/배달</v>
      </c>
      <c r="AF78" s="214" t="str">
        <f>IFERROR(__xludf.DUMMYFUNCTION("""COMPUTED_VALUE"""),"기타")</f>
        <v>기타</v>
      </c>
      <c r="AG78" s="214"/>
      <c r="AH78" s="214"/>
      <c r="AI78" s="214"/>
      <c r="AJ78" s="215"/>
    </row>
    <row r="79">
      <c r="H79" s="239">
        <v>45752.0</v>
      </c>
      <c r="I79" s="233" t="s">
        <v>22</v>
      </c>
      <c r="J79" s="233" t="s">
        <v>23</v>
      </c>
      <c r="K79" s="234">
        <v>35980.0</v>
      </c>
      <c r="L79" s="211" t="s">
        <v>58</v>
      </c>
      <c r="M79" s="143"/>
      <c r="N79" s="211" t="s">
        <v>523</v>
      </c>
      <c r="O79" s="212"/>
      <c r="P79" s="212"/>
      <c r="Q79" s="143"/>
      <c r="R79" s="211" t="s">
        <v>291</v>
      </c>
      <c r="S79" s="212"/>
      <c r="T79" s="145"/>
      <c r="AB79" s="214" t="str">
        <f>IFERROR(__xludf.DUMMYFUNCTION("FILTER('설정시트'!$D$7:$L$20,'설정시트'!$C$7:$C$20=I79)"),"주방/욕실")</f>
        <v>주방/욕실</v>
      </c>
      <c r="AC79" s="214" t="str">
        <f>IFERROR(__xludf.DUMMYFUNCTION("""COMPUTED_VALUE"""),"소모품")</f>
        <v>소모품</v>
      </c>
      <c r="AD79" s="214" t="str">
        <f>IFERROR(__xludf.DUMMYFUNCTION("""COMPUTED_VALUE"""),"기타")</f>
        <v>기타</v>
      </c>
      <c r="AE79" s="214"/>
      <c r="AF79" s="214"/>
      <c r="AG79" s="214"/>
      <c r="AH79" s="214"/>
      <c r="AI79" s="214"/>
      <c r="AJ79" s="215"/>
    </row>
    <row r="80">
      <c r="H80" s="239">
        <v>45752.0</v>
      </c>
      <c r="I80" s="233" t="s">
        <v>3</v>
      </c>
      <c r="J80" s="233" t="s">
        <v>8</v>
      </c>
      <c r="K80" s="234">
        <v>26400.0</v>
      </c>
      <c r="L80" s="211"/>
      <c r="M80" s="143"/>
      <c r="N80" s="211" t="s">
        <v>524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IFERROR(__xludf.DUMMYFUNCTION("FILTER('설정시트'!$D$7:$L$20,'설정시트'!$C$7:$C$20=I80)"),"🍪 월급")</f>
        <v>🍪 월급</v>
      </c>
      <c r="AC80" s="214" t="str">
        <f>IFERROR(__xludf.DUMMYFUNCTION("""COMPUTED_VALUE"""),"🍪 부수입")</f>
        <v>🍪 부수입</v>
      </c>
      <c r="AD80" s="214" t="str">
        <f>IFERROR(__xludf.DUMMYFUNCTION("""COMPUTED_VALUE"""),"🐻 월급")</f>
        <v>🐻 월급</v>
      </c>
      <c r="AE80" s="214" t="str">
        <f>IFERROR(__xludf.DUMMYFUNCTION("""COMPUTED_VALUE"""),"🐻 부수입")</f>
        <v>🐻 부수입</v>
      </c>
      <c r="AF80" s="214" t="str">
        <f>IFERROR(__xludf.DUMMYFUNCTION("""COMPUTED_VALUE"""),"기타")</f>
        <v>기타</v>
      </c>
      <c r="AG80" s="214"/>
      <c r="AH80" s="214"/>
      <c r="AI80" s="214"/>
      <c r="AJ80" s="215"/>
    </row>
    <row r="81">
      <c r="H81" s="239">
        <v>45752.0</v>
      </c>
      <c r="I81" s="233" t="s">
        <v>3</v>
      </c>
      <c r="J81" s="233" t="s">
        <v>8</v>
      </c>
      <c r="K81" s="234">
        <v>152000.0</v>
      </c>
      <c r="L81" s="211"/>
      <c r="M81" s="143"/>
      <c r="N81" s="211" t="s">
        <v>525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IFERROR(__xludf.DUMMYFUNCTION("FILTER('설정시트'!$D$7:$L$20,'설정시트'!$C$7:$C$20=I81)"),"🍪 월급")</f>
        <v>🍪 월급</v>
      </c>
      <c r="AC81" s="214" t="str">
        <f>IFERROR(__xludf.DUMMYFUNCTION("""COMPUTED_VALUE"""),"🍪 부수입")</f>
        <v>🍪 부수입</v>
      </c>
      <c r="AD81" s="214" t="str">
        <f>IFERROR(__xludf.DUMMYFUNCTION("""COMPUTED_VALUE"""),"🐻 월급")</f>
        <v>🐻 월급</v>
      </c>
      <c r="AE81" s="214" t="str">
        <f>IFERROR(__xludf.DUMMYFUNCTION("""COMPUTED_VALUE"""),"🐻 부수입")</f>
        <v>🐻 부수입</v>
      </c>
      <c r="AF81" s="214" t="str">
        <f>IFERROR(__xludf.DUMMYFUNCTION("""COMPUTED_VALUE"""),"기타")</f>
        <v>기타</v>
      </c>
      <c r="AG81" s="214"/>
      <c r="AH81" s="214"/>
      <c r="AI81" s="214"/>
      <c r="AJ81" s="215"/>
    </row>
    <row r="82">
      <c r="H82" s="239">
        <v>45752.0</v>
      </c>
      <c r="I82" s="233" t="s">
        <v>39</v>
      </c>
      <c r="J82" s="233" t="s">
        <v>41</v>
      </c>
      <c r="K82" s="240">
        <v>152000.0</v>
      </c>
      <c r="L82" s="211" t="s">
        <v>59</v>
      </c>
      <c r="M82" s="143"/>
      <c r="N82" s="211" t="s">
        <v>526</v>
      </c>
      <c r="O82" s="212"/>
      <c r="P82" s="212"/>
      <c r="Q82" s="143"/>
      <c r="R82" s="211" t="s">
        <v>518</v>
      </c>
      <c r="S82" s="212"/>
      <c r="T82" s="145"/>
      <c r="AB82" s="214" t="str">
        <f>IFERROR(__xludf.DUMMYFUNCTION("FILTER('설정시트'!$D$7:$L$20,'설정시트'!$C$7:$C$20=I82)"),"약국")</f>
        <v>약국</v>
      </c>
      <c r="AC82" s="214" t="str">
        <f>IFERROR(__xludf.DUMMYFUNCTION("""COMPUTED_VALUE"""),"병원비")</f>
        <v>병원비</v>
      </c>
      <c r="AD82" s="214" t="str">
        <f>IFERROR(__xludf.DUMMYFUNCTION("""COMPUTED_VALUE"""),"영양제")</f>
        <v>영양제</v>
      </c>
      <c r="AE82" s="214" t="str">
        <f>IFERROR(__xludf.DUMMYFUNCTION("""COMPUTED_VALUE"""),"교통비")</f>
        <v>교통비</v>
      </c>
      <c r="AF82" s="214" t="str">
        <f>IFERROR(__xludf.DUMMYFUNCTION("""COMPUTED_VALUE"""),"주유비")</f>
        <v>주유비</v>
      </c>
      <c r="AG82" s="214"/>
      <c r="AH82" s="214" t="str">
        <f>IFERROR(__xludf.DUMMYFUNCTION("""COMPUTED_VALUE"""),"기타")</f>
        <v>기타</v>
      </c>
      <c r="AI82" s="214"/>
      <c r="AJ82" s="215"/>
    </row>
    <row r="83">
      <c r="H83" s="239">
        <v>45752.0</v>
      </c>
      <c r="I83" s="233" t="s">
        <v>39</v>
      </c>
      <c r="J83" s="233" t="s">
        <v>41</v>
      </c>
      <c r="K83" s="234">
        <v>118500.0</v>
      </c>
      <c r="L83" s="211" t="s">
        <v>59</v>
      </c>
      <c r="M83" s="143"/>
      <c r="N83" s="211" t="s">
        <v>527</v>
      </c>
      <c r="O83" s="212"/>
      <c r="P83" s="212"/>
      <c r="Q83" s="143"/>
      <c r="R83" s="211" t="s">
        <v>518</v>
      </c>
      <c r="S83" s="212"/>
      <c r="T83" s="145"/>
      <c r="AB83" s="214" t="str">
        <f>IFERROR(__xludf.DUMMYFUNCTION("FILTER('설정시트'!$D$7:$L$20,'설정시트'!$C$7:$C$20=I83)"),"약국")</f>
        <v>약국</v>
      </c>
      <c r="AC83" s="214" t="str">
        <f>IFERROR(__xludf.DUMMYFUNCTION("""COMPUTED_VALUE"""),"병원비")</f>
        <v>병원비</v>
      </c>
      <c r="AD83" s="214" t="str">
        <f>IFERROR(__xludf.DUMMYFUNCTION("""COMPUTED_VALUE"""),"영양제")</f>
        <v>영양제</v>
      </c>
      <c r="AE83" s="214" t="str">
        <f>IFERROR(__xludf.DUMMYFUNCTION("""COMPUTED_VALUE"""),"교통비")</f>
        <v>교통비</v>
      </c>
      <c r="AF83" s="214" t="str">
        <f>IFERROR(__xludf.DUMMYFUNCTION("""COMPUTED_VALUE"""),"주유비")</f>
        <v>주유비</v>
      </c>
      <c r="AG83" s="214"/>
      <c r="AH83" s="214" t="str">
        <f>IFERROR(__xludf.DUMMYFUNCTION("""COMPUTED_VALUE"""),"기타")</f>
        <v>기타</v>
      </c>
      <c r="AI83" s="214"/>
      <c r="AJ83" s="215"/>
    </row>
    <row r="84">
      <c r="H84" s="239">
        <v>45752.0</v>
      </c>
      <c r="I84" s="233" t="s">
        <v>3</v>
      </c>
      <c r="J84" s="233" t="s">
        <v>8</v>
      </c>
      <c r="K84" s="234">
        <v>108500.0</v>
      </c>
      <c r="L84" s="211"/>
      <c r="M84" s="143"/>
      <c r="N84" s="211" t="s">
        <v>524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IFERROR(__xludf.DUMMYFUNCTION("FILTER('설정시트'!$D$7:$L$20,'설정시트'!$C$7:$C$20=I84)"),"🍪 월급")</f>
        <v>🍪 월급</v>
      </c>
      <c r="AC84" s="214" t="str">
        <f>IFERROR(__xludf.DUMMYFUNCTION("""COMPUTED_VALUE"""),"🍪 부수입")</f>
        <v>🍪 부수입</v>
      </c>
      <c r="AD84" s="214" t="str">
        <f>IFERROR(__xludf.DUMMYFUNCTION("""COMPUTED_VALUE"""),"🐻 월급")</f>
        <v>🐻 월급</v>
      </c>
      <c r="AE84" s="214" t="str">
        <f>IFERROR(__xludf.DUMMYFUNCTION("""COMPUTED_VALUE"""),"🐻 부수입")</f>
        <v>🐻 부수입</v>
      </c>
      <c r="AF84" s="214" t="str">
        <f>IFERROR(__xludf.DUMMYFUNCTION("""COMPUTED_VALUE"""),"기타")</f>
        <v>기타</v>
      </c>
      <c r="AG84" s="214"/>
      <c r="AH84" s="214"/>
      <c r="AI84" s="214"/>
      <c r="AJ84" s="215"/>
    </row>
    <row r="85">
      <c r="H85" s="208">
        <v>45752.0</v>
      </c>
      <c r="I85" s="233" t="s">
        <v>26</v>
      </c>
      <c r="J85" s="233" t="s">
        <v>27</v>
      </c>
      <c r="K85" s="210">
        <v>78810.0</v>
      </c>
      <c r="L85" s="211" t="s">
        <v>57</v>
      </c>
      <c r="M85" s="143"/>
      <c r="N85" s="211" t="s">
        <v>528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  <c r="AJ85" s="215"/>
    </row>
    <row r="86">
      <c r="H86" s="208">
        <v>45752.0</v>
      </c>
      <c r="I86" s="209" t="s">
        <v>32</v>
      </c>
      <c r="J86" s="209" t="s">
        <v>34</v>
      </c>
      <c r="K86" s="210">
        <v>1900.0</v>
      </c>
      <c r="L86" s="211" t="s">
        <v>57</v>
      </c>
      <c r="M86" s="143"/>
      <c r="N86" s="211" t="s">
        <v>529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IFERROR(__xludf.DUMMYFUNCTION("FILTER('설정시트'!$D$7:$L$20,'설정시트'!$C$7:$C$20=I86)"),"의류/잡화")</f>
        <v>의류/잡화</v>
      </c>
      <c r="AC86" s="214" t="str">
        <f>IFERROR(__xludf.DUMMYFUNCTION("""COMPUTED_VALUE"""),"OTT")</f>
        <v>OTT</v>
      </c>
      <c r="AD86" s="214" t="str">
        <f>IFERROR(__xludf.DUMMYFUNCTION("""COMPUTED_VALUE"""),"문화생활")</f>
        <v>문화생활</v>
      </c>
      <c r="AE86" s="214" t="str">
        <f>IFERROR(__xludf.DUMMYFUNCTION("""COMPUTED_VALUE"""),"자기계발")</f>
        <v>자기계발</v>
      </c>
      <c r="AF86" s="214" t="str">
        <f>IFERROR(__xludf.DUMMYFUNCTION("""COMPUTED_VALUE"""),"미용")</f>
        <v>미용</v>
      </c>
      <c r="AG86" s="214"/>
      <c r="AH86" s="214" t="str">
        <f>IFERROR(__xludf.DUMMYFUNCTION("""COMPUTED_VALUE"""),"기타")</f>
        <v>기타</v>
      </c>
      <c r="AI86" s="214"/>
      <c r="AJ86" s="215"/>
    </row>
    <row r="87">
      <c r="H87" s="208">
        <v>45752.0</v>
      </c>
      <c r="I87" s="209" t="s">
        <v>22</v>
      </c>
      <c r="J87" s="209" t="s">
        <v>23</v>
      </c>
      <c r="K87" s="210">
        <v>12890.0</v>
      </c>
      <c r="L87" s="211" t="s">
        <v>57</v>
      </c>
      <c r="M87" s="143"/>
      <c r="N87" s="211" t="s">
        <v>530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IFERROR(__xludf.DUMMYFUNCTION("FILTER('설정시트'!$D$7:$L$20,'설정시트'!$C$7:$C$20=I87)"),"주방/욕실")</f>
        <v>주방/욕실</v>
      </c>
      <c r="AC87" s="214" t="str">
        <f>IFERROR(__xludf.DUMMYFUNCTION("""COMPUTED_VALUE"""),"소모품")</f>
        <v>소모품</v>
      </c>
      <c r="AD87" s="214" t="str">
        <f>IFERROR(__xludf.DUMMYFUNCTION("""COMPUTED_VALUE"""),"기타")</f>
        <v>기타</v>
      </c>
      <c r="AE87" s="214"/>
      <c r="AF87" s="214"/>
      <c r="AG87" s="214"/>
      <c r="AH87" s="214"/>
      <c r="AI87" s="214"/>
      <c r="AJ87" s="215"/>
    </row>
    <row r="88">
      <c r="H88" s="208">
        <v>45753.0</v>
      </c>
      <c r="I88" s="209" t="s">
        <v>52</v>
      </c>
      <c r="J88" s="209" t="s">
        <v>48</v>
      </c>
      <c r="K88" s="210">
        <f>4500+400</f>
        <v>4900</v>
      </c>
      <c r="L88" s="211" t="s">
        <v>64</v>
      </c>
      <c r="M88" s="143"/>
      <c r="N88" s="211" t="s">
        <v>531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IFERROR(__xludf.DUMMYFUNCTION("FILTER('설정시트'!$D$7:$L$20,'설정시트'!$C$7:$C$20=I88)"),"축의/부의금")</f>
        <v>축의/부의금</v>
      </c>
      <c r="AC88" s="214" t="str">
        <f>IFERROR(__xludf.DUMMYFUNCTION("""COMPUTED_VALUE"""),"생신/생일선물")</f>
        <v>생신/생일선물</v>
      </c>
      <c r="AD88" s="214" t="str">
        <f>IFERROR(__xludf.DUMMYFUNCTION("""COMPUTED_VALUE"""),"명절/어버이날")</f>
        <v>명절/어버이날</v>
      </c>
      <c r="AE88" s="214" t="str">
        <f>IFERROR(__xludf.DUMMYFUNCTION("""COMPUTED_VALUE"""),"여행")</f>
        <v>여행</v>
      </c>
      <c r="AF88" s="214" t="str">
        <f>IFERROR(__xludf.DUMMYFUNCTION("""COMPUTED_VALUE"""),"기타")</f>
        <v>기타</v>
      </c>
      <c r="AG88" s="214" t="str">
        <f>IFERROR(__xludf.DUMMYFUNCTION("""COMPUTED_VALUE"""),"출산")</f>
        <v>출산</v>
      </c>
      <c r="AH88" s="214"/>
      <c r="AI88" s="214"/>
      <c r="AJ88" s="215"/>
    </row>
    <row r="89">
      <c r="H89" s="208">
        <v>45753.0</v>
      </c>
      <c r="I89" s="209" t="s">
        <v>52</v>
      </c>
      <c r="J89" s="209" t="s">
        <v>48</v>
      </c>
      <c r="K89" s="210">
        <f>26100+14300</f>
        <v>40400</v>
      </c>
      <c r="L89" s="211" t="s">
        <v>64</v>
      </c>
      <c r="M89" s="143"/>
      <c r="N89" s="211" t="s">
        <v>532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IFERROR(__xludf.DUMMYFUNCTION("FILTER('설정시트'!$D$7:$L$20,'설정시트'!$C$7:$C$20=I89)"),"축의/부의금")</f>
        <v>축의/부의금</v>
      </c>
      <c r="AC89" s="214" t="str">
        <f>IFERROR(__xludf.DUMMYFUNCTION("""COMPUTED_VALUE"""),"생신/생일선물")</f>
        <v>생신/생일선물</v>
      </c>
      <c r="AD89" s="214" t="str">
        <f>IFERROR(__xludf.DUMMYFUNCTION("""COMPUTED_VALUE"""),"명절/어버이날")</f>
        <v>명절/어버이날</v>
      </c>
      <c r="AE89" s="214" t="str">
        <f>IFERROR(__xludf.DUMMYFUNCTION("""COMPUTED_VALUE"""),"여행")</f>
        <v>여행</v>
      </c>
      <c r="AF89" s="214" t="str">
        <f>IFERROR(__xludf.DUMMYFUNCTION("""COMPUTED_VALUE"""),"기타")</f>
        <v>기타</v>
      </c>
      <c r="AG89" s="214" t="str">
        <f>IFERROR(__xludf.DUMMYFUNCTION("""COMPUTED_VALUE"""),"출산")</f>
        <v>출산</v>
      </c>
      <c r="AH89" s="214"/>
      <c r="AI89" s="214"/>
      <c r="AJ89" s="215"/>
    </row>
    <row r="90">
      <c r="H90" s="208">
        <v>45754.0</v>
      </c>
      <c r="I90" s="233" t="s">
        <v>26</v>
      </c>
      <c r="J90" s="233" t="s">
        <v>29</v>
      </c>
      <c r="K90" s="210">
        <v>4500.0</v>
      </c>
      <c r="L90" s="211" t="s">
        <v>57</v>
      </c>
      <c r="M90" s="143"/>
      <c r="N90" s="211" t="s">
        <v>533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IFERROR(__xludf.DUMMYFUNCTION("FILTER('설정시트'!$D$7:$L$20,'설정시트'!$C$7:$C$20=I90)"),"식재료비")</f>
        <v>식재료비</v>
      </c>
      <c r="AC90" s="214" t="str">
        <f>IFERROR(__xludf.DUMMYFUNCTION("""COMPUTED_VALUE"""),"회사점심")</f>
        <v>회사점심</v>
      </c>
      <c r="AD90" s="214" t="str">
        <f>IFERROR(__xludf.DUMMYFUNCTION("""COMPUTED_VALUE"""),"간식/카페")</f>
        <v>간식/카페</v>
      </c>
      <c r="AE90" s="214" t="str">
        <f>IFERROR(__xludf.DUMMYFUNCTION("""COMPUTED_VALUE"""),"외식/배달")</f>
        <v>외식/배달</v>
      </c>
      <c r="AF90" s="214" t="str">
        <f>IFERROR(__xludf.DUMMYFUNCTION("""COMPUTED_VALUE"""),"기타")</f>
        <v>기타</v>
      </c>
      <c r="AG90" s="214"/>
      <c r="AH90" s="214"/>
      <c r="AI90" s="214"/>
      <c r="AJ90" s="215"/>
    </row>
    <row r="91">
      <c r="H91" s="208">
        <v>45754.0</v>
      </c>
      <c r="I91" s="209" t="s">
        <v>21</v>
      </c>
      <c r="J91" s="209" t="s">
        <v>18</v>
      </c>
      <c r="K91" s="210">
        <v>3300.0</v>
      </c>
      <c r="L91" s="211" t="s">
        <v>61</v>
      </c>
      <c r="M91" s="143"/>
      <c r="N91" s="211" t="s">
        <v>310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IFERROR(__xludf.DUMMYFUNCTION("FILTER('설정시트'!$D$7:$L$20,'설정시트'!$C$7:$C$20=I91)"),"관리비")</f>
        <v>관리비</v>
      </c>
      <c r="AC91" s="214" t="str">
        <f>IFERROR(__xludf.DUMMYFUNCTION("""COMPUTED_VALUE"""),"대출이자")</f>
        <v>대출이자</v>
      </c>
      <c r="AD91" s="214" t="str">
        <f>IFERROR(__xludf.DUMMYFUNCTION("""COMPUTED_VALUE"""),"통신비")</f>
        <v>통신비</v>
      </c>
      <c r="AE91" s="214" t="str">
        <f>IFERROR(__xludf.DUMMYFUNCTION("""COMPUTED_VALUE"""),"보험료")</f>
        <v>보험료</v>
      </c>
      <c r="AF91" s="214" t="str">
        <f>IFERROR(__xludf.DUMMYFUNCTION("""COMPUTED_VALUE"""),"곗돈")</f>
        <v>곗돈</v>
      </c>
      <c r="AG91" s="214"/>
      <c r="AH91" s="214"/>
      <c r="AI91" s="214"/>
      <c r="AJ91" s="215"/>
    </row>
    <row r="92">
      <c r="H92" s="208">
        <v>45751.0</v>
      </c>
      <c r="I92" s="209" t="s">
        <v>38</v>
      </c>
      <c r="J92" s="209" t="s">
        <v>35</v>
      </c>
      <c r="K92" s="210">
        <v>9000.0</v>
      </c>
      <c r="L92" s="211" t="s">
        <v>62</v>
      </c>
      <c r="M92" s="143"/>
      <c r="N92" s="211" t="s">
        <v>534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IFERROR(__xludf.DUMMYFUNCTION("FILTER('설정시트'!$D$7:$L$20,'설정시트'!$C$7:$C$20=I92)"),"의류/잡화")</f>
        <v>의류/잡화</v>
      </c>
      <c r="AC92" s="214" t="str">
        <f>IFERROR(__xludf.DUMMYFUNCTION("""COMPUTED_VALUE"""),"OTT")</f>
        <v>OTT</v>
      </c>
      <c r="AD92" s="214" t="str">
        <f>IFERROR(__xludf.DUMMYFUNCTION("""COMPUTED_VALUE"""),"문화생활")</f>
        <v>문화생활</v>
      </c>
      <c r="AE92" s="214" t="str">
        <f>IFERROR(__xludf.DUMMYFUNCTION("""COMPUTED_VALUE"""),"자기계발")</f>
        <v>자기계발</v>
      </c>
      <c r="AF92" s="214" t="str">
        <f>IFERROR(__xludf.DUMMYFUNCTION("""COMPUTED_VALUE"""),"미용")</f>
        <v>미용</v>
      </c>
      <c r="AG92" s="214"/>
      <c r="AH92" s="214" t="str">
        <f>IFERROR(__xludf.DUMMYFUNCTION("""COMPUTED_VALUE"""),"기타")</f>
        <v>기타</v>
      </c>
      <c r="AI92" s="214"/>
      <c r="AJ92" s="215"/>
    </row>
    <row r="93">
      <c r="H93" s="208">
        <v>45755.0</v>
      </c>
      <c r="I93" s="233" t="s">
        <v>26</v>
      </c>
      <c r="J93" s="241" t="s">
        <v>28</v>
      </c>
      <c r="K93" s="210">
        <v>12000.0</v>
      </c>
      <c r="L93" s="211" t="s">
        <v>57</v>
      </c>
      <c r="M93" s="143"/>
      <c r="N93" s="211" t="s">
        <v>535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IFERROR(__xludf.DUMMYFUNCTION("FILTER('설정시트'!$D$7:$L$20,'설정시트'!$C$7:$C$20=I93)"),"식재료비")</f>
        <v>식재료비</v>
      </c>
      <c r="AC93" s="214" t="str">
        <f>IFERROR(__xludf.DUMMYFUNCTION("""COMPUTED_VALUE"""),"회사점심")</f>
        <v>회사점심</v>
      </c>
      <c r="AD93" s="214" t="str">
        <f>IFERROR(__xludf.DUMMYFUNCTION("""COMPUTED_VALUE"""),"간식/카페")</f>
        <v>간식/카페</v>
      </c>
      <c r="AE93" s="214" t="str">
        <f>IFERROR(__xludf.DUMMYFUNCTION("""COMPUTED_VALUE"""),"외식/배달")</f>
        <v>외식/배달</v>
      </c>
      <c r="AF93" s="214" t="str">
        <f>IFERROR(__xludf.DUMMYFUNCTION("""COMPUTED_VALUE"""),"기타")</f>
        <v>기타</v>
      </c>
      <c r="AG93" s="214"/>
      <c r="AH93" s="214"/>
      <c r="AI93" s="214"/>
      <c r="AJ93" s="215"/>
    </row>
    <row r="94">
      <c r="H94" s="208">
        <v>45755.0</v>
      </c>
      <c r="I94" s="209" t="s">
        <v>22</v>
      </c>
      <c r="J94" s="209" t="s">
        <v>23</v>
      </c>
      <c r="K94" s="210">
        <v>34400.0</v>
      </c>
      <c r="L94" s="211" t="s">
        <v>57</v>
      </c>
      <c r="M94" s="143"/>
      <c r="N94" s="211" t="s">
        <v>536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IFERROR(__xludf.DUMMYFUNCTION("FILTER('설정시트'!$D$7:$L$20,'설정시트'!$C$7:$C$20=I94)"),"주방/욕실")</f>
        <v>주방/욕실</v>
      </c>
      <c r="AC94" s="214" t="str">
        <f>IFERROR(__xludf.DUMMYFUNCTION("""COMPUTED_VALUE"""),"소모품")</f>
        <v>소모품</v>
      </c>
      <c r="AD94" s="214" t="str">
        <f>IFERROR(__xludf.DUMMYFUNCTION("""COMPUTED_VALUE"""),"기타")</f>
        <v>기타</v>
      </c>
      <c r="AE94" s="214"/>
      <c r="AF94" s="214"/>
      <c r="AG94" s="214"/>
      <c r="AH94" s="214"/>
      <c r="AI94" s="214"/>
      <c r="AJ94" s="215"/>
    </row>
    <row r="95">
      <c r="H95" s="208">
        <v>45755.0</v>
      </c>
      <c r="I95" s="209" t="s">
        <v>22</v>
      </c>
      <c r="J95" s="209" t="s">
        <v>23</v>
      </c>
      <c r="K95" s="210">
        <v>28104.0</v>
      </c>
      <c r="L95" s="211" t="s">
        <v>57</v>
      </c>
      <c r="M95" s="143"/>
      <c r="N95" s="211" t="s">
        <v>537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IFERROR(__xludf.DUMMYFUNCTION("FILTER('설정시트'!$D$7:$L$20,'설정시트'!$C$7:$C$20=I95)"),"주방/욕실")</f>
        <v>주방/욕실</v>
      </c>
      <c r="AC95" s="214" t="str">
        <f>IFERROR(__xludf.DUMMYFUNCTION("""COMPUTED_VALUE"""),"소모품")</f>
        <v>소모품</v>
      </c>
      <c r="AD95" s="214" t="str">
        <f>IFERROR(__xludf.DUMMYFUNCTION("""COMPUTED_VALUE"""),"기타")</f>
        <v>기타</v>
      </c>
      <c r="AE95" s="214"/>
      <c r="AF95" s="214"/>
      <c r="AG95" s="214"/>
      <c r="AH95" s="214"/>
      <c r="AI95" s="214"/>
      <c r="AJ95" s="215"/>
    </row>
    <row r="96">
      <c r="H96" s="208">
        <v>45756.0</v>
      </c>
      <c r="I96" s="209" t="s">
        <v>14</v>
      </c>
      <c r="J96" s="209" t="s">
        <v>18</v>
      </c>
      <c r="K96" s="210">
        <v>46750.0</v>
      </c>
      <c r="L96" s="211" t="s">
        <v>58</v>
      </c>
      <c r="M96" s="143"/>
      <c r="N96" s="211" t="s">
        <v>538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IFERROR(__xludf.DUMMYFUNCTION("FILTER('설정시트'!$D$7:$L$20,'설정시트'!$C$7:$C$20=I96)"),"관리비")</f>
        <v>관리비</v>
      </c>
      <c r="AC96" s="214" t="str">
        <f>IFERROR(__xludf.DUMMYFUNCTION("""COMPUTED_VALUE"""),"월세")</f>
        <v>월세</v>
      </c>
      <c r="AD96" s="214" t="str">
        <f>IFERROR(__xludf.DUMMYFUNCTION("""COMPUTED_VALUE"""),"대출이자")</f>
        <v>대출이자</v>
      </c>
      <c r="AE96" s="214" t="str">
        <f>IFERROR(__xludf.DUMMYFUNCTION("""COMPUTED_VALUE"""),"통신비")</f>
        <v>통신비</v>
      </c>
      <c r="AF96" s="214" t="str">
        <f>IFERROR(__xludf.DUMMYFUNCTION("""COMPUTED_VALUE"""),"보험료")</f>
        <v>보험료</v>
      </c>
      <c r="AG96" s="214"/>
      <c r="AH96" s="214" t="str">
        <f>IFERROR(__xludf.DUMMYFUNCTION("""COMPUTED_VALUE"""),"곗돈")</f>
        <v>곗돈</v>
      </c>
      <c r="AI96" s="214"/>
      <c r="AJ96" s="215"/>
    </row>
    <row r="97">
      <c r="H97" s="208">
        <v>45756.0</v>
      </c>
      <c r="I97" s="209" t="s">
        <v>52</v>
      </c>
      <c r="J97" s="209" t="s">
        <v>50</v>
      </c>
      <c r="K97" s="210">
        <v>702400.0</v>
      </c>
      <c r="L97" s="211" t="s">
        <v>64</v>
      </c>
      <c r="M97" s="143"/>
      <c r="N97" s="211" t="s">
        <v>539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IFERROR(__xludf.DUMMYFUNCTION("FILTER('설정시트'!$D$7:$L$20,'설정시트'!$C$7:$C$20=I97)"),"축의/부의금")</f>
        <v>축의/부의금</v>
      </c>
      <c r="AC97" s="214" t="str">
        <f>IFERROR(__xludf.DUMMYFUNCTION("""COMPUTED_VALUE"""),"생신/생일선물")</f>
        <v>생신/생일선물</v>
      </c>
      <c r="AD97" s="214" t="str">
        <f>IFERROR(__xludf.DUMMYFUNCTION("""COMPUTED_VALUE"""),"명절/어버이날")</f>
        <v>명절/어버이날</v>
      </c>
      <c r="AE97" s="214" t="str">
        <f>IFERROR(__xludf.DUMMYFUNCTION("""COMPUTED_VALUE"""),"여행")</f>
        <v>여행</v>
      </c>
      <c r="AF97" s="214" t="str">
        <f>IFERROR(__xludf.DUMMYFUNCTION("""COMPUTED_VALUE"""),"기타")</f>
        <v>기타</v>
      </c>
      <c r="AG97" s="214" t="str">
        <f>IFERROR(__xludf.DUMMYFUNCTION("""COMPUTED_VALUE"""),"출산")</f>
        <v>출산</v>
      </c>
      <c r="AH97" s="214"/>
      <c r="AI97" s="214"/>
      <c r="AJ97" s="215"/>
    </row>
    <row r="98">
      <c r="H98" s="208">
        <v>45756.0</v>
      </c>
      <c r="I98" s="209" t="s">
        <v>38</v>
      </c>
      <c r="J98" s="209" t="s">
        <v>33</v>
      </c>
      <c r="K98" s="210">
        <v>13000.0</v>
      </c>
      <c r="L98" s="211" t="s">
        <v>64</v>
      </c>
      <c r="M98" s="143"/>
      <c r="N98" s="211" t="s">
        <v>540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IFERROR(__xludf.DUMMYFUNCTION("FILTER('설정시트'!$D$7:$L$20,'설정시트'!$C$7:$C$20=I98)"),"의류/잡화")</f>
        <v>의류/잡화</v>
      </c>
      <c r="AC98" s="214" t="str">
        <f>IFERROR(__xludf.DUMMYFUNCTION("""COMPUTED_VALUE"""),"OTT")</f>
        <v>OTT</v>
      </c>
      <c r="AD98" s="214" t="str">
        <f>IFERROR(__xludf.DUMMYFUNCTION("""COMPUTED_VALUE"""),"문화생활")</f>
        <v>문화생활</v>
      </c>
      <c r="AE98" s="214" t="str">
        <f>IFERROR(__xludf.DUMMYFUNCTION("""COMPUTED_VALUE"""),"자기계발")</f>
        <v>자기계발</v>
      </c>
      <c r="AF98" s="214" t="str">
        <f>IFERROR(__xludf.DUMMYFUNCTION("""COMPUTED_VALUE"""),"미용")</f>
        <v>미용</v>
      </c>
      <c r="AG98" s="214"/>
      <c r="AH98" s="214" t="str">
        <f>IFERROR(__xludf.DUMMYFUNCTION("""COMPUTED_VALUE"""),"기타")</f>
        <v>기타</v>
      </c>
      <c r="AI98" s="214"/>
      <c r="AJ98" s="215"/>
    </row>
    <row r="99">
      <c r="H99" s="208">
        <v>45756.0</v>
      </c>
      <c r="I99" s="209" t="s">
        <v>21</v>
      </c>
      <c r="J99" s="209" t="s">
        <v>18</v>
      </c>
      <c r="K99" s="210">
        <v>40910.0</v>
      </c>
      <c r="L99" s="211" t="s">
        <v>64</v>
      </c>
      <c r="M99" s="143"/>
      <c r="N99" s="211" t="s">
        <v>541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IFERROR(__xludf.DUMMYFUNCTION("FILTER('설정시트'!$D$7:$L$20,'설정시트'!$C$7:$C$20=I99)"),"관리비")</f>
        <v>관리비</v>
      </c>
      <c r="AC99" s="214" t="str">
        <f>IFERROR(__xludf.DUMMYFUNCTION("""COMPUTED_VALUE"""),"대출이자")</f>
        <v>대출이자</v>
      </c>
      <c r="AD99" s="214" t="str">
        <f>IFERROR(__xludf.DUMMYFUNCTION("""COMPUTED_VALUE"""),"통신비")</f>
        <v>통신비</v>
      </c>
      <c r="AE99" s="214" t="str">
        <f>IFERROR(__xludf.DUMMYFUNCTION("""COMPUTED_VALUE"""),"보험료")</f>
        <v>보험료</v>
      </c>
      <c r="AF99" s="214" t="str">
        <f>IFERROR(__xludf.DUMMYFUNCTION("""COMPUTED_VALUE"""),"곗돈")</f>
        <v>곗돈</v>
      </c>
      <c r="AG99" s="214"/>
      <c r="AH99" s="214"/>
      <c r="AI99" s="214"/>
      <c r="AJ99" s="215"/>
    </row>
    <row r="100">
      <c r="H100" s="208">
        <v>45757.0</v>
      </c>
      <c r="I100" s="209" t="s">
        <v>21</v>
      </c>
      <c r="J100" s="209" t="s">
        <v>20</v>
      </c>
      <c r="K100" s="210">
        <v>50000.0</v>
      </c>
      <c r="L100" s="211" t="s">
        <v>62</v>
      </c>
      <c r="M100" s="143"/>
      <c r="N100" s="211" t="s">
        <v>186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IFERROR(__xludf.DUMMYFUNCTION("FILTER('설정시트'!$D$7:$L$20,'설정시트'!$C$7:$C$20=I100)"),"관리비")</f>
        <v>관리비</v>
      </c>
      <c r="AC100" s="214" t="str">
        <f>IFERROR(__xludf.DUMMYFUNCTION("""COMPUTED_VALUE"""),"대출이자")</f>
        <v>대출이자</v>
      </c>
      <c r="AD100" s="214" t="str">
        <f>IFERROR(__xludf.DUMMYFUNCTION("""COMPUTED_VALUE"""),"통신비")</f>
        <v>통신비</v>
      </c>
      <c r="AE100" s="214" t="str">
        <f>IFERROR(__xludf.DUMMYFUNCTION("""COMPUTED_VALUE"""),"보험료")</f>
        <v>보험료</v>
      </c>
      <c r="AF100" s="214" t="str">
        <f>IFERROR(__xludf.DUMMYFUNCTION("""COMPUTED_VALUE"""),"곗돈")</f>
        <v>곗돈</v>
      </c>
      <c r="AG100" s="214"/>
      <c r="AH100" s="214"/>
      <c r="AI100" s="214"/>
      <c r="AJ100" s="215"/>
    </row>
    <row r="101">
      <c r="H101" s="208">
        <v>45757.0</v>
      </c>
      <c r="I101" s="209" t="s">
        <v>52</v>
      </c>
      <c r="J101" s="209" t="s">
        <v>48</v>
      </c>
      <c r="K101" s="210">
        <v>33000.0</v>
      </c>
      <c r="L101" s="211" t="s">
        <v>64</v>
      </c>
      <c r="M101" s="143"/>
      <c r="N101" s="211" t="s">
        <v>542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IFERROR(__xludf.DUMMYFUNCTION("FILTER('설정시트'!$D$7:$L$20,'설정시트'!$C$7:$C$20=I101)"),"축의/부의금")</f>
        <v>축의/부의금</v>
      </c>
      <c r="AC101" s="214" t="str">
        <f>IFERROR(__xludf.DUMMYFUNCTION("""COMPUTED_VALUE"""),"생신/생일선물")</f>
        <v>생신/생일선물</v>
      </c>
      <c r="AD101" s="214" t="str">
        <f>IFERROR(__xludf.DUMMYFUNCTION("""COMPUTED_VALUE"""),"명절/어버이날")</f>
        <v>명절/어버이날</v>
      </c>
      <c r="AE101" s="214" t="str">
        <f>IFERROR(__xludf.DUMMYFUNCTION("""COMPUTED_VALUE"""),"여행")</f>
        <v>여행</v>
      </c>
      <c r="AF101" s="214" t="str">
        <f>IFERROR(__xludf.DUMMYFUNCTION("""COMPUTED_VALUE"""),"기타")</f>
        <v>기타</v>
      </c>
      <c r="AG101" s="214" t="str">
        <f>IFERROR(__xludf.DUMMYFUNCTION("""COMPUTED_VALUE"""),"출산")</f>
        <v>출산</v>
      </c>
      <c r="AH101" s="214"/>
      <c r="AI101" s="214"/>
      <c r="AJ101" s="215"/>
    </row>
    <row r="102">
      <c r="H102" s="208">
        <v>45758.0</v>
      </c>
      <c r="I102" s="209" t="s">
        <v>52</v>
      </c>
      <c r="J102" s="209" t="s">
        <v>48</v>
      </c>
      <c r="K102" s="216">
        <v>26000.0</v>
      </c>
      <c r="L102" s="211" t="s">
        <v>64</v>
      </c>
      <c r="M102" s="143"/>
      <c r="N102" s="211" t="s">
        <v>543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IFERROR(__xludf.DUMMYFUNCTION("FILTER('설정시트'!$D$7:$L$20,'설정시트'!$C$7:$C$20=I102)"),"축의/부의금")</f>
        <v>축의/부의금</v>
      </c>
      <c r="AC102" s="214" t="str">
        <f>IFERROR(__xludf.DUMMYFUNCTION("""COMPUTED_VALUE"""),"생신/생일선물")</f>
        <v>생신/생일선물</v>
      </c>
      <c r="AD102" s="214" t="str">
        <f>IFERROR(__xludf.DUMMYFUNCTION("""COMPUTED_VALUE"""),"명절/어버이날")</f>
        <v>명절/어버이날</v>
      </c>
      <c r="AE102" s="214" t="str">
        <f>IFERROR(__xludf.DUMMYFUNCTION("""COMPUTED_VALUE"""),"여행")</f>
        <v>여행</v>
      </c>
      <c r="AF102" s="214" t="str">
        <f>IFERROR(__xludf.DUMMYFUNCTION("""COMPUTED_VALUE"""),"기타")</f>
        <v>기타</v>
      </c>
      <c r="AG102" s="214" t="str">
        <f>IFERROR(__xludf.DUMMYFUNCTION("""COMPUTED_VALUE"""),"출산")</f>
        <v>출산</v>
      </c>
      <c r="AH102" s="214"/>
      <c r="AI102" s="214"/>
      <c r="AJ102" s="215"/>
    </row>
    <row r="103">
      <c r="H103" s="208">
        <v>45758.0</v>
      </c>
      <c r="I103" s="209" t="s">
        <v>31</v>
      </c>
      <c r="J103" s="209" t="s">
        <v>30</v>
      </c>
      <c r="K103" s="210">
        <v>64000.0</v>
      </c>
      <c r="L103" s="211" t="s">
        <v>64</v>
      </c>
      <c r="M103" s="143"/>
      <c r="N103" s="211" t="s">
        <v>544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IFERROR(__xludf.DUMMYFUNCTION("FILTER('설정시트'!$D$7:$L$20,'설정시트'!$C$7:$C$20=I103)"),"식재료비")</f>
        <v>식재료비</v>
      </c>
      <c r="AC103" s="214" t="str">
        <f>IFERROR(__xludf.DUMMYFUNCTION("""COMPUTED_VALUE"""),"회사점심")</f>
        <v>회사점심</v>
      </c>
      <c r="AD103" s="214" t="str">
        <f>IFERROR(__xludf.DUMMYFUNCTION("""COMPUTED_VALUE"""),"간식/카페")</f>
        <v>간식/카페</v>
      </c>
      <c r="AE103" s="214" t="str">
        <f>IFERROR(__xludf.DUMMYFUNCTION("""COMPUTED_VALUE"""),"외식/배달")</f>
        <v>외식/배달</v>
      </c>
      <c r="AF103" s="214" t="str">
        <f>IFERROR(__xludf.DUMMYFUNCTION("""COMPUTED_VALUE"""),"기타")</f>
        <v>기타</v>
      </c>
      <c r="AG103" s="214"/>
      <c r="AH103" s="214"/>
      <c r="AI103" s="214"/>
      <c r="AJ103" s="215"/>
    </row>
    <row r="104">
      <c r="H104" s="208">
        <v>45758.0</v>
      </c>
      <c r="I104" s="209" t="s">
        <v>31</v>
      </c>
      <c r="J104" s="209" t="s">
        <v>29</v>
      </c>
      <c r="K104" s="210">
        <v>2900.0</v>
      </c>
      <c r="L104" s="211" t="s">
        <v>64</v>
      </c>
      <c r="M104" s="143"/>
      <c r="N104" s="211" t="s">
        <v>545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IFERROR(__xludf.DUMMYFUNCTION("FILTER('설정시트'!$D$7:$L$20,'설정시트'!$C$7:$C$20=I104)"),"식재료비")</f>
        <v>식재료비</v>
      </c>
      <c r="AC104" s="214" t="str">
        <f>IFERROR(__xludf.DUMMYFUNCTION("""COMPUTED_VALUE"""),"회사점심")</f>
        <v>회사점심</v>
      </c>
      <c r="AD104" s="214" t="str">
        <f>IFERROR(__xludf.DUMMYFUNCTION("""COMPUTED_VALUE"""),"간식/카페")</f>
        <v>간식/카페</v>
      </c>
      <c r="AE104" s="214" t="str">
        <f>IFERROR(__xludf.DUMMYFUNCTION("""COMPUTED_VALUE"""),"외식/배달")</f>
        <v>외식/배달</v>
      </c>
      <c r="AF104" s="214" t="str">
        <f>IFERROR(__xludf.DUMMYFUNCTION("""COMPUTED_VALUE"""),"기타")</f>
        <v>기타</v>
      </c>
      <c r="AG104" s="214"/>
      <c r="AH104" s="214"/>
      <c r="AI104" s="214"/>
      <c r="AJ104" s="215"/>
    </row>
    <row r="105">
      <c r="H105" s="208">
        <v>45759.0</v>
      </c>
      <c r="I105" s="209" t="s">
        <v>52</v>
      </c>
      <c r="J105" s="209" t="s">
        <v>48</v>
      </c>
      <c r="K105" s="210">
        <f>1000+1500</f>
        <v>2500</v>
      </c>
      <c r="L105" s="211" t="s">
        <v>64</v>
      </c>
      <c r="M105" s="143"/>
      <c r="N105" s="211" t="s">
        <v>546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IFERROR(__xludf.DUMMYFUNCTION("FILTER('설정시트'!$D$7:$L$20,'설정시트'!$C$7:$C$20=I105)"),"축의/부의금")</f>
        <v>축의/부의금</v>
      </c>
      <c r="AC105" s="214" t="str">
        <f>IFERROR(__xludf.DUMMYFUNCTION("""COMPUTED_VALUE"""),"생신/생일선물")</f>
        <v>생신/생일선물</v>
      </c>
      <c r="AD105" s="214" t="str">
        <f>IFERROR(__xludf.DUMMYFUNCTION("""COMPUTED_VALUE"""),"명절/어버이날")</f>
        <v>명절/어버이날</v>
      </c>
      <c r="AE105" s="214" t="str">
        <f>IFERROR(__xludf.DUMMYFUNCTION("""COMPUTED_VALUE"""),"여행")</f>
        <v>여행</v>
      </c>
      <c r="AF105" s="214" t="str">
        <f>IFERROR(__xludf.DUMMYFUNCTION("""COMPUTED_VALUE"""),"기타")</f>
        <v>기타</v>
      </c>
      <c r="AG105" s="214" t="str">
        <f>IFERROR(__xludf.DUMMYFUNCTION("""COMPUTED_VALUE"""),"출산")</f>
        <v>출산</v>
      </c>
      <c r="AH105" s="214"/>
      <c r="AI105" s="214"/>
      <c r="AJ105" s="215"/>
    </row>
    <row r="106">
      <c r="H106" s="208">
        <v>45759.0</v>
      </c>
      <c r="I106" s="209" t="s">
        <v>52</v>
      </c>
      <c r="J106" s="209" t="s">
        <v>48</v>
      </c>
      <c r="K106" s="216">
        <v>29500.0</v>
      </c>
      <c r="L106" s="211" t="s">
        <v>64</v>
      </c>
      <c r="M106" s="143"/>
      <c r="N106" s="211" t="s">
        <v>547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IFERROR(__xludf.DUMMYFUNCTION("FILTER('설정시트'!$D$7:$L$20,'설정시트'!$C$7:$C$20=I106)"),"축의/부의금")</f>
        <v>축의/부의금</v>
      </c>
      <c r="AC106" s="214" t="str">
        <f>IFERROR(__xludf.DUMMYFUNCTION("""COMPUTED_VALUE"""),"생신/생일선물")</f>
        <v>생신/생일선물</v>
      </c>
      <c r="AD106" s="214" t="str">
        <f>IFERROR(__xludf.DUMMYFUNCTION("""COMPUTED_VALUE"""),"명절/어버이날")</f>
        <v>명절/어버이날</v>
      </c>
      <c r="AE106" s="214" t="str">
        <f>IFERROR(__xludf.DUMMYFUNCTION("""COMPUTED_VALUE"""),"여행")</f>
        <v>여행</v>
      </c>
      <c r="AF106" s="214" t="str">
        <f>IFERROR(__xludf.DUMMYFUNCTION("""COMPUTED_VALUE"""),"기타")</f>
        <v>기타</v>
      </c>
      <c r="AG106" s="214" t="str">
        <f>IFERROR(__xludf.DUMMYFUNCTION("""COMPUTED_VALUE"""),"출산")</f>
        <v>출산</v>
      </c>
      <c r="AH106" s="214"/>
      <c r="AI106" s="214"/>
      <c r="AJ106" s="215"/>
    </row>
    <row r="107">
      <c r="H107" s="208">
        <v>45759.0</v>
      </c>
      <c r="I107" s="209" t="s">
        <v>52</v>
      </c>
      <c r="J107" s="209" t="s">
        <v>48</v>
      </c>
      <c r="K107" s="216">
        <v>286200.0</v>
      </c>
      <c r="L107" s="211" t="s">
        <v>64</v>
      </c>
      <c r="M107" s="143"/>
      <c r="N107" s="211" t="s">
        <v>548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IFERROR(__xludf.DUMMYFUNCTION("FILTER('설정시트'!$D$7:$L$20,'설정시트'!$C$7:$C$20=I107)"),"축의/부의금")</f>
        <v>축의/부의금</v>
      </c>
      <c r="AC107" s="214" t="str">
        <f>IFERROR(__xludf.DUMMYFUNCTION("""COMPUTED_VALUE"""),"생신/생일선물")</f>
        <v>생신/생일선물</v>
      </c>
      <c r="AD107" s="214" t="str">
        <f>IFERROR(__xludf.DUMMYFUNCTION("""COMPUTED_VALUE"""),"명절/어버이날")</f>
        <v>명절/어버이날</v>
      </c>
      <c r="AE107" s="214" t="str">
        <f>IFERROR(__xludf.DUMMYFUNCTION("""COMPUTED_VALUE"""),"여행")</f>
        <v>여행</v>
      </c>
      <c r="AF107" s="214" t="str">
        <f>IFERROR(__xludf.DUMMYFUNCTION("""COMPUTED_VALUE"""),"기타")</f>
        <v>기타</v>
      </c>
      <c r="AG107" s="214" t="str">
        <f>IFERROR(__xludf.DUMMYFUNCTION("""COMPUTED_VALUE"""),"출산")</f>
        <v>출산</v>
      </c>
      <c r="AH107" s="214"/>
      <c r="AI107" s="214"/>
      <c r="AJ107" s="215"/>
    </row>
    <row r="108">
      <c r="H108" s="208">
        <v>45760.0</v>
      </c>
      <c r="I108" s="209" t="s">
        <v>25</v>
      </c>
      <c r="J108" s="209" t="s">
        <v>23</v>
      </c>
      <c r="K108" s="216">
        <f>2000+200</f>
        <v>2200</v>
      </c>
      <c r="L108" s="211" t="s">
        <v>61</v>
      </c>
      <c r="M108" s="143"/>
      <c r="N108" s="211" t="s">
        <v>549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IFERROR(__xludf.DUMMYFUNCTION("FILTER('설정시트'!$D$7:$L$20,'설정시트'!$C$7:$C$20=I108)"),"주방/욕실")</f>
        <v>주방/욕실</v>
      </c>
      <c r="AC108" s="214" t="str">
        <f>IFERROR(__xludf.DUMMYFUNCTION("""COMPUTED_VALUE"""),"소모품")</f>
        <v>소모품</v>
      </c>
      <c r="AD108" s="214" t="str">
        <f>IFERROR(__xludf.DUMMYFUNCTION("""COMPUTED_VALUE"""),"기타")</f>
        <v>기타</v>
      </c>
      <c r="AE108" s="214"/>
      <c r="AF108" s="214"/>
      <c r="AG108" s="214"/>
      <c r="AH108" s="214"/>
      <c r="AI108" s="214"/>
      <c r="AJ108" s="215"/>
    </row>
    <row r="109">
      <c r="H109" s="208">
        <v>45762.0</v>
      </c>
      <c r="I109" s="209" t="s">
        <v>52</v>
      </c>
      <c r="J109" s="209" t="s">
        <v>50</v>
      </c>
      <c r="K109" s="216">
        <v>989382.0</v>
      </c>
      <c r="L109" s="211" t="s">
        <v>61</v>
      </c>
      <c r="M109" s="143"/>
      <c r="N109" s="211" t="s">
        <v>550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IFERROR(__xludf.DUMMYFUNCTION("FILTER('설정시트'!$D$7:$L$20,'설정시트'!$C$7:$C$20=I109)"),"축의/부의금")</f>
        <v>축의/부의금</v>
      </c>
      <c r="AC109" s="214" t="str">
        <f>IFERROR(__xludf.DUMMYFUNCTION("""COMPUTED_VALUE"""),"생신/생일선물")</f>
        <v>생신/생일선물</v>
      </c>
      <c r="AD109" s="214" t="str">
        <f>IFERROR(__xludf.DUMMYFUNCTION("""COMPUTED_VALUE"""),"명절/어버이날")</f>
        <v>명절/어버이날</v>
      </c>
      <c r="AE109" s="214" t="str">
        <f>IFERROR(__xludf.DUMMYFUNCTION("""COMPUTED_VALUE"""),"여행")</f>
        <v>여행</v>
      </c>
      <c r="AF109" s="214" t="str">
        <f>IFERROR(__xludf.DUMMYFUNCTION("""COMPUTED_VALUE"""),"기타")</f>
        <v>기타</v>
      </c>
      <c r="AG109" s="214" t="str">
        <f>IFERROR(__xludf.DUMMYFUNCTION("""COMPUTED_VALUE"""),"출산")</f>
        <v>출산</v>
      </c>
      <c r="AH109" s="214"/>
      <c r="AI109" s="214"/>
      <c r="AJ109" s="215"/>
    </row>
    <row r="110">
      <c r="H110" s="208">
        <v>45768.0</v>
      </c>
      <c r="I110" s="209" t="s">
        <v>21</v>
      </c>
      <c r="J110" s="209" t="s">
        <v>15</v>
      </c>
      <c r="K110" s="216">
        <v>69100.0</v>
      </c>
      <c r="L110" s="211" t="s">
        <v>64</v>
      </c>
      <c r="M110" s="143"/>
      <c r="N110" s="211" t="s">
        <v>551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IFERROR(__xludf.DUMMYFUNCTION("FILTER('설정시트'!$D$7:$L$20,'설정시트'!$C$7:$C$20=I110)"),"관리비")</f>
        <v>관리비</v>
      </c>
      <c r="AC110" s="214" t="str">
        <f>IFERROR(__xludf.DUMMYFUNCTION("""COMPUTED_VALUE"""),"대출이자")</f>
        <v>대출이자</v>
      </c>
      <c r="AD110" s="214" t="str">
        <f>IFERROR(__xludf.DUMMYFUNCTION("""COMPUTED_VALUE"""),"통신비")</f>
        <v>통신비</v>
      </c>
      <c r="AE110" s="214" t="str">
        <f>IFERROR(__xludf.DUMMYFUNCTION("""COMPUTED_VALUE"""),"보험료")</f>
        <v>보험료</v>
      </c>
      <c r="AF110" s="214" t="str">
        <f>IFERROR(__xludf.DUMMYFUNCTION("""COMPUTED_VALUE"""),"곗돈")</f>
        <v>곗돈</v>
      </c>
      <c r="AG110" s="214"/>
      <c r="AH110" s="214"/>
      <c r="AI110" s="214"/>
      <c r="AJ110" s="215"/>
    </row>
    <row r="111">
      <c r="H111" s="208">
        <v>45771.0</v>
      </c>
      <c r="I111" s="209" t="s">
        <v>21</v>
      </c>
      <c r="J111" s="209" t="s">
        <v>15</v>
      </c>
      <c r="K111" s="216">
        <v>408750.0</v>
      </c>
      <c r="L111" s="211" t="s">
        <v>64</v>
      </c>
      <c r="M111" s="143"/>
      <c r="N111" s="211" t="s">
        <v>552</v>
      </c>
      <c r="O111" s="212"/>
      <c r="P111" s="212"/>
      <c r="Q111" s="143"/>
      <c r="R111" s="211"/>
      <c r="S111" s="212"/>
      <c r="T111" s="145"/>
      <c r="AB111" s="214" t="str">
        <f>IFERROR(__xludf.DUMMYFUNCTION("FILTER('설정시트'!$D$7:$L$20,'설정시트'!$C$7:$C$20=I111)"),"관리비")</f>
        <v>관리비</v>
      </c>
      <c r="AC111" s="214" t="str">
        <f>IFERROR(__xludf.DUMMYFUNCTION("""COMPUTED_VALUE"""),"대출이자")</f>
        <v>대출이자</v>
      </c>
      <c r="AD111" s="214" t="str">
        <f>IFERROR(__xludf.DUMMYFUNCTION("""COMPUTED_VALUE"""),"통신비")</f>
        <v>통신비</v>
      </c>
      <c r="AE111" s="214" t="str">
        <f>IFERROR(__xludf.DUMMYFUNCTION("""COMPUTED_VALUE"""),"보험료")</f>
        <v>보험료</v>
      </c>
      <c r="AF111" s="214" t="str">
        <f>IFERROR(__xludf.DUMMYFUNCTION("""COMPUTED_VALUE"""),"곗돈")</f>
        <v>곗돈</v>
      </c>
      <c r="AG111" s="214"/>
      <c r="AH111" s="214"/>
      <c r="AI111" s="214"/>
      <c r="AJ111" s="215"/>
    </row>
    <row r="112">
      <c r="H112" s="208">
        <v>45767.0</v>
      </c>
      <c r="I112" s="209" t="s">
        <v>31</v>
      </c>
      <c r="J112" s="209" t="s">
        <v>29</v>
      </c>
      <c r="K112" s="216">
        <v>3000.0</v>
      </c>
      <c r="L112" s="211" t="s">
        <v>61</v>
      </c>
      <c r="M112" s="143"/>
      <c r="N112" s="211" t="s">
        <v>320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08">
        <v>45771.0</v>
      </c>
      <c r="I113" s="209" t="s">
        <v>38</v>
      </c>
      <c r="J113" s="209" t="s">
        <v>37</v>
      </c>
      <c r="K113" s="216">
        <v>30000.0</v>
      </c>
      <c r="L113" s="211" t="s">
        <v>61</v>
      </c>
      <c r="M113" s="143"/>
      <c r="N113" s="211" t="s">
        <v>553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IFERROR(__xludf.DUMMYFUNCTION("FILTER('설정시트'!$D$7:$L$20,'설정시트'!$C$7:$C$20=I113)"),"의류/잡화")</f>
        <v>의류/잡화</v>
      </c>
      <c r="AC113" s="214" t="str">
        <f>IFERROR(__xludf.DUMMYFUNCTION("""COMPUTED_VALUE"""),"OTT")</f>
        <v>OTT</v>
      </c>
      <c r="AD113" s="214" t="str">
        <f>IFERROR(__xludf.DUMMYFUNCTION("""COMPUTED_VALUE"""),"문화생활")</f>
        <v>문화생활</v>
      </c>
      <c r="AE113" s="214" t="str">
        <f>IFERROR(__xludf.DUMMYFUNCTION("""COMPUTED_VALUE"""),"자기계발")</f>
        <v>자기계발</v>
      </c>
      <c r="AF113" s="214" t="str">
        <f>IFERROR(__xludf.DUMMYFUNCTION("""COMPUTED_VALUE"""),"미용")</f>
        <v>미용</v>
      </c>
      <c r="AG113" s="214"/>
      <c r="AH113" s="214" t="str">
        <f>IFERROR(__xludf.DUMMYFUNCTION("""COMPUTED_VALUE"""),"기타")</f>
        <v>기타</v>
      </c>
      <c r="AI113" s="214"/>
      <c r="AJ113" s="215"/>
    </row>
    <row r="114">
      <c r="H114" s="208">
        <v>45771.0</v>
      </c>
      <c r="I114" s="209" t="s">
        <v>31</v>
      </c>
      <c r="J114" s="209" t="s">
        <v>30</v>
      </c>
      <c r="K114" s="216">
        <v>24800.0</v>
      </c>
      <c r="L114" s="211" t="s">
        <v>61</v>
      </c>
      <c r="M114" s="143"/>
      <c r="N114" s="211" t="s">
        <v>554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IFERROR(__xludf.DUMMYFUNCTION("FILTER('설정시트'!$D$7:$L$20,'설정시트'!$C$7:$C$20=I114)"),"식재료비")</f>
        <v>식재료비</v>
      </c>
      <c r="AC114" s="214" t="str">
        <f>IFERROR(__xludf.DUMMYFUNCTION("""COMPUTED_VALUE"""),"회사점심")</f>
        <v>회사점심</v>
      </c>
      <c r="AD114" s="214" t="str">
        <f>IFERROR(__xludf.DUMMYFUNCTION("""COMPUTED_VALUE"""),"간식/카페")</f>
        <v>간식/카페</v>
      </c>
      <c r="AE114" s="214" t="str">
        <f>IFERROR(__xludf.DUMMYFUNCTION("""COMPUTED_VALUE"""),"외식/배달")</f>
        <v>외식/배달</v>
      </c>
      <c r="AF114" s="214" t="str">
        <f>IFERROR(__xludf.DUMMYFUNCTION("""COMPUTED_VALUE"""),"기타")</f>
        <v>기타</v>
      </c>
      <c r="AG114" s="214"/>
      <c r="AH114" s="214"/>
      <c r="AI114" s="214"/>
      <c r="AJ114" s="215"/>
    </row>
    <row r="115">
      <c r="H115" s="208">
        <v>45772.0</v>
      </c>
      <c r="I115" s="209" t="s">
        <v>21</v>
      </c>
      <c r="J115" s="209" t="s">
        <v>20</v>
      </c>
      <c r="K115" s="216">
        <v>20000.0</v>
      </c>
      <c r="L115" s="211" t="s">
        <v>62</v>
      </c>
      <c r="M115" s="143"/>
      <c r="N115" s="211" t="s">
        <v>276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IFERROR(__xludf.DUMMYFUNCTION("FILTER('설정시트'!$D$7:$L$20,'설정시트'!$C$7:$C$20=I115)"),"관리비")</f>
        <v>관리비</v>
      </c>
      <c r="AC115" s="214" t="str">
        <f>IFERROR(__xludf.DUMMYFUNCTION("""COMPUTED_VALUE"""),"대출이자")</f>
        <v>대출이자</v>
      </c>
      <c r="AD115" s="214" t="str">
        <f>IFERROR(__xludf.DUMMYFUNCTION("""COMPUTED_VALUE"""),"통신비")</f>
        <v>통신비</v>
      </c>
      <c r="AE115" s="214" t="str">
        <f>IFERROR(__xludf.DUMMYFUNCTION("""COMPUTED_VALUE"""),"보험료")</f>
        <v>보험료</v>
      </c>
      <c r="AF115" s="214" t="str">
        <f>IFERROR(__xludf.DUMMYFUNCTION("""COMPUTED_VALUE"""),"곗돈")</f>
        <v>곗돈</v>
      </c>
      <c r="AG115" s="214"/>
      <c r="AH115" s="214"/>
      <c r="AI115" s="214"/>
      <c r="AJ115" s="215"/>
    </row>
    <row r="116">
      <c r="H116" s="208">
        <v>45772.0</v>
      </c>
      <c r="I116" s="209" t="s">
        <v>9</v>
      </c>
      <c r="J116" s="209" t="s">
        <v>13</v>
      </c>
      <c r="K116" s="216">
        <v>100000.0</v>
      </c>
      <c r="L116" s="211" t="s">
        <v>62</v>
      </c>
      <c r="M116" s="143"/>
      <c r="N116" s="211" t="s">
        <v>555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IFERROR(__xludf.DUMMYFUNCTION("FILTER('설정시트'!$D$7:$L$20,'설정시트'!$C$7:$C$20=I116)"),"주택청약")</f>
        <v>주택청약</v>
      </c>
      <c r="AC116" s="214" t="str">
        <f>IFERROR(__xludf.DUMMYFUNCTION("""COMPUTED_VALUE"""),"우리은행")</f>
        <v>우리은행</v>
      </c>
      <c r="AD116" s="214" t="str">
        <f>IFERROR(__xludf.DUMMYFUNCTION("""COMPUTED_VALUE"""),"케이뱅크")</f>
        <v>케이뱅크</v>
      </c>
      <c r="AE116" s="214" t="str">
        <f>IFERROR(__xludf.DUMMYFUNCTION("""COMPUTED_VALUE"""),"연금저축")</f>
        <v>연금저축</v>
      </c>
      <c r="AF116" s="214"/>
      <c r="AG116" s="214"/>
      <c r="AH116" s="214"/>
      <c r="AI116" s="214"/>
      <c r="AJ116" s="215"/>
    </row>
    <row r="117">
      <c r="H117" s="208">
        <v>45772.0</v>
      </c>
      <c r="I117" s="217" t="s">
        <v>21</v>
      </c>
      <c r="J117" s="217" t="s">
        <v>19</v>
      </c>
      <c r="K117" s="218">
        <v>88010.0</v>
      </c>
      <c r="L117" s="211" t="s">
        <v>61</v>
      </c>
      <c r="M117" s="143"/>
      <c r="N117" s="211" t="s">
        <v>282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IFERROR(__xludf.DUMMYFUNCTION("FILTER('설정시트'!$D$7:$L$20,'설정시트'!$C$7:$C$20=I117)"),"관리비")</f>
        <v>관리비</v>
      </c>
      <c r="AC117" s="214" t="str">
        <f>IFERROR(__xludf.DUMMYFUNCTION("""COMPUTED_VALUE"""),"대출이자")</f>
        <v>대출이자</v>
      </c>
      <c r="AD117" s="214" t="str">
        <f>IFERROR(__xludf.DUMMYFUNCTION("""COMPUTED_VALUE"""),"통신비")</f>
        <v>통신비</v>
      </c>
      <c r="AE117" s="214" t="str">
        <f>IFERROR(__xludf.DUMMYFUNCTION("""COMPUTED_VALUE"""),"보험료")</f>
        <v>보험료</v>
      </c>
      <c r="AF117" s="214" t="str">
        <f>IFERROR(__xludf.DUMMYFUNCTION("""COMPUTED_VALUE"""),"곗돈")</f>
        <v>곗돈</v>
      </c>
      <c r="AG117" s="214"/>
      <c r="AH117" s="214"/>
      <c r="AI117" s="214"/>
      <c r="AJ117" s="215"/>
    </row>
    <row r="118">
      <c r="H118" s="208">
        <v>45774.0</v>
      </c>
      <c r="I118" s="217" t="s">
        <v>31</v>
      </c>
      <c r="J118" s="217" t="s">
        <v>29</v>
      </c>
      <c r="K118" s="218">
        <v>5000.0</v>
      </c>
      <c r="L118" s="211" t="s">
        <v>61</v>
      </c>
      <c r="M118" s="143"/>
      <c r="N118" s="211" t="s">
        <v>556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IFERROR(__xludf.DUMMYFUNCTION("FILTER('설정시트'!$D$7:$L$20,'설정시트'!$C$7:$C$20=I118)"),"식재료비")</f>
        <v>식재료비</v>
      </c>
      <c r="AC118" s="214" t="str">
        <f>IFERROR(__xludf.DUMMYFUNCTION("""COMPUTED_VALUE"""),"회사점심")</f>
        <v>회사점심</v>
      </c>
      <c r="AD118" s="214" t="str">
        <f>IFERROR(__xludf.DUMMYFUNCTION("""COMPUTED_VALUE"""),"간식/카페")</f>
        <v>간식/카페</v>
      </c>
      <c r="AE118" s="214" t="str">
        <f>IFERROR(__xludf.DUMMYFUNCTION("""COMPUTED_VALUE"""),"외식/배달")</f>
        <v>외식/배달</v>
      </c>
      <c r="AF118" s="214" t="str">
        <f>IFERROR(__xludf.DUMMYFUNCTION("""COMPUTED_VALUE"""),"기타")</f>
        <v>기타</v>
      </c>
      <c r="AG118" s="214"/>
      <c r="AH118" s="214"/>
      <c r="AI118" s="214"/>
      <c r="AJ118" s="215"/>
    </row>
    <row r="119">
      <c r="H119" s="208">
        <v>45775.0</v>
      </c>
      <c r="I119" s="217" t="s">
        <v>45</v>
      </c>
      <c r="J119" s="217" t="s">
        <v>8</v>
      </c>
      <c r="K119" s="218">
        <v>22000.0</v>
      </c>
      <c r="L119" s="211" t="s">
        <v>61</v>
      </c>
      <c r="M119" s="143"/>
      <c r="N119" s="211" t="s">
        <v>557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IFERROR(__xludf.DUMMYFUNCTION("FILTER('설정시트'!$D$7:$L$20,'설정시트'!$C$7:$C$20=I119)"),"약국")</f>
        <v>약국</v>
      </c>
      <c r="AC119" s="214" t="str">
        <f>IFERROR(__xludf.DUMMYFUNCTION("""COMPUTED_VALUE"""),"병원비")</f>
        <v>병원비</v>
      </c>
      <c r="AD119" s="214" t="str">
        <f>IFERROR(__xludf.DUMMYFUNCTION("""COMPUTED_VALUE"""),"영양제")</f>
        <v>영양제</v>
      </c>
      <c r="AE119" s="214" t="str">
        <f>IFERROR(__xludf.DUMMYFUNCTION("""COMPUTED_VALUE"""),"교통비")</f>
        <v>교통비</v>
      </c>
      <c r="AF119" s="214" t="str">
        <f>IFERROR(__xludf.DUMMYFUNCTION("""COMPUTED_VALUE"""),"주유비")</f>
        <v>주유비</v>
      </c>
      <c r="AG119" s="214"/>
      <c r="AH119" s="214" t="str">
        <f>IFERROR(__xludf.DUMMYFUNCTION("""COMPUTED_VALUE"""),"기타")</f>
        <v>기타</v>
      </c>
      <c r="AI119" s="214"/>
      <c r="AJ119" s="215"/>
    </row>
    <row r="120">
      <c r="H120" s="208">
        <v>45776.0</v>
      </c>
      <c r="I120" s="217" t="s">
        <v>31</v>
      </c>
      <c r="J120" s="217" t="s">
        <v>27</v>
      </c>
      <c r="K120" s="218">
        <v>24900.0</v>
      </c>
      <c r="L120" s="211" t="s">
        <v>61</v>
      </c>
      <c r="M120" s="143"/>
      <c r="N120" s="211" t="s">
        <v>558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IFERROR(__xludf.DUMMYFUNCTION("FILTER('설정시트'!$D$7:$L$20,'설정시트'!$C$7:$C$20=I120)"),"식재료비")</f>
        <v>식재료비</v>
      </c>
      <c r="AC120" s="214" t="str">
        <f>IFERROR(__xludf.DUMMYFUNCTION("""COMPUTED_VALUE"""),"회사점심")</f>
        <v>회사점심</v>
      </c>
      <c r="AD120" s="214" t="str">
        <f>IFERROR(__xludf.DUMMYFUNCTION("""COMPUTED_VALUE"""),"간식/카페")</f>
        <v>간식/카페</v>
      </c>
      <c r="AE120" s="214" t="str">
        <f>IFERROR(__xludf.DUMMYFUNCTION("""COMPUTED_VALUE"""),"외식/배달")</f>
        <v>외식/배달</v>
      </c>
      <c r="AF120" s="214" t="str">
        <f>IFERROR(__xludf.DUMMYFUNCTION("""COMPUTED_VALUE"""),"기타")</f>
        <v>기타</v>
      </c>
      <c r="AG120" s="214"/>
      <c r="AH120" s="214"/>
      <c r="AI120" s="214"/>
      <c r="AJ120" s="215"/>
    </row>
    <row r="121">
      <c r="H121" s="208">
        <v>45776.0</v>
      </c>
      <c r="I121" s="217" t="s">
        <v>3</v>
      </c>
      <c r="J121" s="217" t="s">
        <v>8</v>
      </c>
      <c r="K121" s="218">
        <v>224500.0</v>
      </c>
      <c r="L121" s="211"/>
      <c r="M121" s="143"/>
      <c r="N121" s="211" t="s">
        <v>559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IFERROR(__xludf.DUMMYFUNCTION("FILTER('설정시트'!$D$7:$L$20,'설정시트'!$C$7:$C$20=I121)"),"🍪 월급")</f>
        <v>🍪 월급</v>
      </c>
      <c r="AC121" s="214" t="str">
        <f>IFERROR(__xludf.DUMMYFUNCTION("""COMPUTED_VALUE"""),"🍪 부수입")</f>
        <v>🍪 부수입</v>
      </c>
      <c r="AD121" s="214" t="str">
        <f>IFERROR(__xludf.DUMMYFUNCTION("""COMPUTED_VALUE"""),"🐻 월급")</f>
        <v>🐻 월급</v>
      </c>
      <c r="AE121" s="214" t="str">
        <f>IFERROR(__xludf.DUMMYFUNCTION("""COMPUTED_VALUE"""),"🐻 부수입")</f>
        <v>🐻 부수입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45774.0</v>
      </c>
      <c r="I122" s="217" t="s">
        <v>21</v>
      </c>
      <c r="J122" s="217" t="s">
        <v>18</v>
      </c>
      <c r="K122" s="218">
        <v>5186.0</v>
      </c>
      <c r="L122" s="211" t="s">
        <v>64</v>
      </c>
      <c r="M122" s="143"/>
      <c r="N122" s="211" t="s">
        <v>280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IFERROR(__xludf.DUMMYFUNCTION("FILTER('설정시트'!$D$7:$L$20,'설정시트'!$C$7:$C$20=I122)"),"관리비")</f>
        <v>관리비</v>
      </c>
      <c r="AC122" s="214" t="str">
        <f>IFERROR(__xludf.DUMMYFUNCTION("""COMPUTED_VALUE"""),"대출이자")</f>
        <v>대출이자</v>
      </c>
      <c r="AD122" s="214" t="str">
        <f>IFERROR(__xludf.DUMMYFUNCTION("""COMPUTED_VALUE"""),"통신비")</f>
        <v>통신비</v>
      </c>
      <c r="AE122" s="214" t="str">
        <f>IFERROR(__xludf.DUMMYFUNCTION("""COMPUTED_VALUE"""),"보험료")</f>
        <v>보험료</v>
      </c>
      <c r="AF122" s="214" t="str">
        <f>IFERROR(__xludf.DUMMYFUNCTION("""COMPUTED_VALUE"""),"곗돈")</f>
        <v>곗돈</v>
      </c>
      <c r="AG122" s="214"/>
      <c r="AH122" s="214"/>
      <c r="AI122" s="214"/>
      <c r="AJ122" s="215"/>
    </row>
    <row r="123">
      <c r="H123" s="208">
        <v>45754.0</v>
      </c>
      <c r="I123" s="217" t="s">
        <v>3</v>
      </c>
      <c r="J123" s="217" t="s">
        <v>8</v>
      </c>
      <c r="K123" s="218">
        <v>26400.0</v>
      </c>
      <c r="L123" s="211"/>
      <c r="M123" s="143"/>
      <c r="N123" s="211" t="s">
        <v>560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IFERROR(__xludf.DUMMYFUNCTION("FILTER('설정시트'!$D$7:$L$20,'설정시트'!$C$7:$C$20=I123)"),"🍪 월급")</f>
        <v>🍪 월급</v>
      </c>
      <c r="AC123" s="214" t="str">
        <f>IFERROR(__xludf.DUMMYFUNCTION("""COMPUTED_VALUE"""),"🍪 부수입")</f>
        <v>🍪 부수입</v>
      </c>
      <c r="AD123" s="214" t="str">
        <f>IFERROR(__xludf.DUMMYFUNCTION("""COMPUTED_VALUE"""),"🐻 월급")</f>
        <v>🐻 월급</v>
      </c>
      <c r="AE123" s="214" t="str">
        <f>IFERROR(__xludf.DUMMYFUNCTION("""COMPUTED_VALUE"""),"🐻 부수입")</f>
        <v>🐻 부수입</v>
      </c>
      <c r="AF123" s="214" t="str">
        <f>IFERROR(__xludf.DUMMYFUNCTION("""COMPUTED_VALUE"""),"기타")</f>
        <v>기타</v>
      </c>
      <c r="AG123" s="214"/>
      <c r="AH123" s="214"/>
      <c r="AI123" s="214"/>
      <c r="AJ123" s="215"/>
    </row>
    <row r="124">
      <c r="H124" s="208">
        <v>45754.0</v>
      </c>
      <c r="I124" s="217" t="s">
        <v>3</v>
      </c>
      <c r="J124" s="217" t="s">
        <v>8</v>
      </c>
      <c r="K124" s="218">
        <v>152000.0</v>
      </c>
      <c r="L124" s="211"/>
      <c r="M124" s="143"/>
      <c r="N124" s="211" t="s">
        <v>560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IFERROR(__xludf.DUMMYFUNCTION("FILTER('설정시트'!$D$7:$L$20,'설정시트'!$C$7:$C$20=I124)"),"🍪 월급")</f>
        <v>🍪 월급</v>
      </c>
      <c r="AC124" s="214" t="str">
        <f>IFERROR(__xludf.DUMMYFUNCTION("""COMPUTED_VALUE"""),"🍪 부수입")</f>
        <v>🍪 부수입</v>
      </c>
      <c r="AD124" s="214" t="str">
        <f>IFERROR(__xludf.DUMMYFUNCTION("""COMPUTED_VALUE"""),"🐻 월급")</f>
        <v>🐻 월급</v>
      </c>
      <c r="AE124" s="214" t="str">
        <f>IFERROR(__xludf.DUMMYFUNCTION("""COMPUTED_VALUE"""),"🐻 부수입")</f>
        <v>🐻 부수입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45754.0</v>
      </c>
      <c r="I125" s="217" t="s">
        <v>3</v>
      </c>
      <c r="J125" s="217" t="s">
        <v>8</v>
      </c>
      <c r="K125" s="218">
        <v>108500.0</v>
      </c>
      <c r="L125" s="211"/>
      <c r="M125" s="143"/>
      <c r="N125" s="211" t="s">
        <v>560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IFERROR(__xludf.DUMMYFUNCTION("FILTER('설정시트'!$D$7:$L$20,'설정시트'!$C$7:$C$20=I125)"),"🍪 월급")</f>
        <v>🍪 월급</v>
      </c>
      <c r="AC125" s="214" t="str">
        <f>IFERROR(__xludf.DUMMYFUNCTION("""COMPUTED_VALUE"""),"🍪 부수입")</f>
        <v>🍪 부수입</v>
      </c>
      <c r="AD125" s="214" t="str">
        <f>IFERROR(__xludf.DUMMYFUNCTION("""COMPUTED_VALUE"""),"🐻 월급")</f>
        <v>🐻 월급</v>
      </c>
      <c r="AE125" s="214" t="str">
        <f>IFERROR(__xludf.DUMMYFUNCTION("""COMPUTED_VALUE"""),"🐻 부수입")</f>
        <v>🐻 부수입</v>
      </c>
      <c r="AF125" s="214" t="str">
        <f>IFERROR(__xludf.DUMMYFUNCTION("""COMPUTED_VALUE"""),"기타")</f>
        <v>기타</v>
      </c>
      <c r="AG125" s="214"/>
      <c r="AH125" s="214"/>
      <c r="AI125" s="214"/>
      <c r="AJ125" s="215"/>
    </row>
    <row r="126">
      <c r="H126" s="208">
        <v>45759.0</v>
      </c>
      <c r="I126" s="217" t="s">
        <v>3</v>
      </c>
      <c r="J126" s="217" t="s">
        <v>8</v>
      </c>
      <c r="K126" s="218">
        <v>200000.0</v>
      </c>
      <c r="L126" s="211"/>
      <c r="M126" s="143"/>
      <c r="N126" s="211" t="s">
        <v>561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IFERROR(__xludf.DUMMYFUNCTION("FILTER('설정시트'!$D$7:$L$20,'설정시트'!$C$7:$C$20=I126)"),"🍪 월급")</f>
        <v>🍪 월급</v>
      </c>
      <c r="AC126" s="214" t="str">
        <f>IFERROR(__xludf.DUMMYFUNCTION("""COMPUTED_VALUE"""),"🍪 부수입")</f>
        <v>🍪 부수입</v>
      </c>
      <c r="AD126" s="214" t="str">
        <f>IFERROR(__xludf.DUMMYFUNCTION("""COMPUTED_VALUE"""),"🐻 월급")</f>
        <v>🐻 월급</v>
      </c>
      <c r="AE126" s="214" t="str">
        <f>IFERROR(__xludf.DUMMYFUNCTION("""COMPUTED_VALUE"""),"🐻 부수입")</f>
        <v>🐻 부수입</v>
      </c>
      <c r="AF126" s="214" t="str">
        <f>IFERROR(__xludf.DUMMYFUNCTION("""COMPUTED_VALUE"""),"기타")</f>
        <v>기타</v>
      </c>
      <c r="AG126" s="214"/>
      <c r="AH126" s="214"/>
      <c r="AI126" s="214"/>
      <c r="AJ126" s="215"/>
    </row>
    <row r="127">
      <c r="H127" s="208">
        <v>45762.0</v>
      </c>
      <c r="I127" s="217" t="s">
        <v>14</v>
      </c>
      <c r="J127" s="217" t="s">
        <v>16</v>
      </c>
      <c r="K127" s="218">
        <v>400000.0</v>
      </c>
      <c r="L127" s="211"/>
      <c r="M127" s="143"/>
      <c r="N127" s="211" t="s">
        <v>16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IFERROR(__xludf.DUMMYFUNCTION("FILTER('설정시트'!$D$7:$L$20,'설정시트'!$C$7:$C$20=I127)"),"관리비")</f>
        <v>관리비</v>
      </c>
      <c r="AC127" s="214" t="str">
        <f>IFERROR(__xludf.DUMMYFUNCTION("""COMPUTED_VALUE"""),"월세")</f>
        <v>월세</v>
      </c>
      <c r="AD127" s="214" t="str">
        <f>IFERROR(__xludf.DUMMYFUNCTION("""COMPUTED_VALUE"""),"대출이자")</f>
        <v>대출이자</v>
      </c>
      <c r="AE127" s="214" t="str">
        <f>IFERROR(__xludf.DUMMYFUNCTION("""COMPUTED_VALUE"""),"통신비")</f>
        <v>통신비</v>
      </c>
      <c r="AF127" s="214" t="str">
        <f>IFERROR(__xludf.DUMMYFUNCTION("""COMPUTED_VALUE"""),"보험료")</f>
        <v>보험료</v>
      </c>
      <c r="AG127" s="214"/>
      <c r="AH127" s="214" t="str">
        <f>IFERROR(__xludf.DUMMYFUNCTION("""COMPUTED_VALUE"""),"곗돈")</f>
        <v>곗돈</v>
      </c>
      <c r="AI127" s="214"/>
      <c r="AJ127" s="215"/>
    </row>
    <row r="128">
      <c r="H128" s="208">
        <v>45768.0</v>
      </c>
      <c r="I128" s="217" t="s">
        <v>3</v>
      </c>
      <c r="J128" s="217" t="s">
        <v>8</v>
      </c>
      <c r="K128" s="218">
        <v>108500.0</v>
      </c>
      <c r="L128" s="211"/>
      <c r="M128" s="143"/>
      <c r="N128" s="211" t="s">
        <v>560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IFERROR(__xludf.DUMMYFUNCTION("FILTER('설정시트'!$D$7:$L$20,'설정시트'!$C$7:$C$20=I128)"),"🍪 월급")</f>
        <v>🍪 월급</v>
      </c>
      <c r="AC128" s="214" t="str">
        <f>IFERROR(__xludf.DUMMYFUNCTION("""COMPUTED_VALUE"""),"🍪 부수입")</f>
        <v>🍪 부수입</v>
      </c>
      <c r="AD128" s="214" t="str">
        <f>IFERROR(__xludf.DUMMYFUNCTION("""COMPUTED_VALUE"""),"🐻 월급")</f>
        <v>🐻 월급</v>
      </c>
      <c r="AE128" s="214" t="str">
        <f>IFERROR(__xludf.DUMMYFUNCTION("""COMPUTED_VALUE"""),"🐻 부수입")</f>
        <v>🐻 부수입</v>
      </c>
      <c r="AF128" s="214" t="str">
        <f>IFERROR(__xludf.DUMMYFUNCTION("""COMPUTED_VALUE"""),"기타")</f>
        <v>기타</v>
      </c>
      <c r="AG128" s="214"/>
      <c r="AH128" s="214"/>
      <c r="AI128" s="214"/>
      <c r="AJ128" s="215"/>
    </row>
    <row r="129">
      <c r="H129" s="208">
        <v>45769.0</v>
      </c>
      <c r="I129" s="217" t="s">
        <v>3</v>
      </c>
      <c r="J129" s="217" t="s">
        <v>8</v>
      </c>
      <c r="K129" s="218">
        <v>5150.0</v>
      </c>
      <c r="L129" s="211"/>
      <c r="M129" s="143"/>
      <c r="N129" s="211" t="s">
        <v>560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IFERROR(__xludf.DUMMYFUNCTION("FILTER('설정시트'!$D$7:$L$20,'설정시트'!$C$7:$C$20=I129)"),"🍪 월급")</f>
        <v>🍪 월급</v>
      </c>
      <c r="AC129" s="214" t="str">
        <f>IFERROR(__xludf.DUMMYFUNCTION("""COMPUTED_VALUE"""),"🍪 부수입")</f>
        <v>🍪 부수입</v>
      </c>
      <c r="AD129" s="214" t="str">
        <f>IFERROR(__xludf.DUMMYFUNCTION("""COMPUTED_VALUE"""),"🐻 월급")</f>
        <v>🐻 월급</v>
      </c>
      <c r="AE129" s="214" t="str">
        <f>IFERROR(__xludf.DUMMYFUNCTION("""COMPUTED_VALUE"""),"🐻 부수입")</f>
        <v>🐻 부수입</v>
      </c>
      <c r="AF129" s="214" t="str">
        <f>IFERROR(__xludf.DUMMYFUNCTION("""COMPUTED_VALUE"""),"기타")</f>
        <v>기타</v>
      </c>
      <c r="AG129" s="214"/>
      <c r="AH129" s="214"/>
      <c r="AI129" s="214"/>
      <c r="AJ129" s="215"/>
    </row>
    <row r="130">
      <c r="H130" s="208">
        <v>45770.0</v>
      </c>
      <c r="I130" s="217" t="s">
        <v>3</v>
      </c>
      <c r="J130" s="217" t="s">
        <v>4</v>
      </c>
      <c r="K130" s="218">
        <v>3306190.0</v>
      </c>
      <c r="L130" s="211"/>
      <c r="M130" s="143"/>
      <c r="N130" s="211" t="s">
        <v>253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IFERROR(__xludf.DUMMYFUNCTION("FILTER('설정시트'!$D$7:$L$20,'설정시트'!$C$7:$C$20=I130)"),"🍪 월급")</f>
        <v>🍪 월급</v>
      </c>
      <c r="AC130" s="214" t="str">
        <f>IFERROR(__xludf.DUMMYFUNCTION("""COMPUTED_VALUE"""),"🍪 부수입")</f>
        <v>🍪 부수입</v>
      </c>
      <c r="AD130" s="214" t="str">
        <f>IFERROR(__xludf.DUMMYFUNCTION("""COMPUTED_VALUE"""),"🐻 월급")</f>
        <v>🐻 월급</v>
      </c>
      <c r="AE130" s="214" t="str">
        <f>IFERROR(__xludf.DUMMYFUNCTION("""COMPUTED_VALUE"""),"🐻 부수입")</f>
        <v>🐻 부수입</v>
      </c>
      <c r="AF130" s="214" t="str">
        <f>IFERROR(__xludf.DUMMYFUNCTION("""COMPUTED_VALUE"""),"기타")</f>
        <v>기타</v>
      </c>
      <c r="AG130" s="214"/>
      <c r="AH130" s="214"/>
      <c r="AI130" s="214"/>
      <c r="AJ130" s="215"/>
    </row>
    <row r="131">
      <c r="H131" s="208">
        <v>45771.0</v>
      </c>
      <c r="I131" s="217" t="s">
        <v>14</v>
      </c>
      <c r="J131" s="217" t="s">
        <v>17</v>
      </c>
      <c r="K131" s="218">
        <v>159501.0</v>
      </c>
      <c r="L131" s="211"/>
      <c r="M131" s="143"/>
      <c r="N131" s="211" t="s">
        <v>562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IFERROR(__xludf.DUMMYFUNCTION("FILTER('설정시트'!$D$7:$L$20,'설정시트'!$C$7:$C$20=I131)"),"관리비")</f>
        <v>관리비</v>
      </c>
      <c r="AC131" s="214" t="str">
        <f>IFERROR(__xludf.DUMMYFUNCTION("""COMPUTED_VALUE"""),"월세")</f>
        <v>월세</v>
      </c>
      <c r="AD131" s="214" t="str">
        <f>IFERROR(__xludf.DUMMYFUNCTION("""COMPUTED_VALUE"""),"대출이자")</f>
        <v>대출이자</v>
      </c>
      <c r="AE131" s="214" t="str">
        <f>IFERROR(__xludf.DUMMYFUNCTION("""COMPUTED_VALUE"""),"통신비")</f>
        <v>통신비</v>
      </c>
      <c r="AF131" s="214" t="str">
        <f>IFERROR(__xludf.DUMMYFUNCTION("""COMPUTED_VALUE"""),"보험료")</f>
        <v>보험료</v>
      </c>
      <c r="AG131" s="214"/>
      <c r="AH131" s="214" t="str">
        <f>IFERROR(__xludf.DUMMYFUNCTION("""COMPUTED_VALUE"""),"곗돈")</f>
        <v>곗돈</v>
      </c>
      <c r="AI131" s="214"/>
      <c r="AJ131" s="215"/>
    </row>
    <row r="132">
      <c r="H132" s="208">
        <v>45771.0</v>
      </c>
      <c r="I132" s="217" t="s">
        <v>3</v>
      </c>
      <c r="J132" s="217" t="s">
        <v>8</v>
      </c>
      <c r="K132" s="218">
        <v>179600.0</v>
      </c>
      <c r="L132" s="211"/>
      <c r="M132" s="143"/>
      <c r="N132" s="75" t="s">
        <v>563</v>
      </c>
      <c r="R132" s="213"/>
      <c r="S132" s="212"/>
      <c r="T132" s="145"/>
      <c r="AB132" s="214" t="str">
        <f>IFERROR(__xludf.DUMMYFUNCTION("FILTER('설정시트'!$D$7:$L$20,'설정시트'!$C$7:$C$20=I132)"),"🍪 월급")</f>
        <v>🍪 월급</v>
      </c>
      <c r="AC132" s="214" t="str">
        <f>IFERROR(__xludf.DUMMYFUNCTION("""COMPUTED_VALUE"""),"🍪 부수입")</f>
        <v>🍪 부수입</v>
      </c>
      <c r="AD132" s="214" t="str">
        <f>IFERROR(__xludf.DUMMYFUNCTION("""COMPUTED_VALUE"""),"🐻 월급")</f>
        <v>🐻 월급</v>
      </c>
      <c r="AE132" s="214" t="str">
        <f>IFERROR(__xludf.DUMMYFUNCTION("""COMPUTED_VALUE"""),"🐻 부수입")</f>
        <v>🐻 부수입</v>
      </c>
      <c r="AF132" s="214" t="str">
        <f>IFERROR(__xludf.DUMMYFUNCTION("""COMPUTED_VALUE"""),"기타")</f>
        <v>기타</v>
      </c>
      <c r="AG132" s="214"/>
      <c r="AH132" s="214"/>
      <c r="AI132" s="214"/>
      <c r="AJ132" s="215"/>
    </row>
    <row r="133">
      <c r="H133" s="208">
        <v>45777.0</v>
      </c>
      <c r="I133" s="217" t="s">
        <v>3</v>
      </c>
      <c r="J133" s="217" t="s">
        <v>8</v>
      </c>
      <c r="K133" s="218">
        <v>140000.0</v>
      </c>
      <c r="L133" s="211"/>
      <c r="M133" s="143"/>
      <c r="N133" s="211" t="s">
        <v>564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IFERROR(__xludf.DUMMYFUNCTION("FILTER('설정시트'!$D$7:$L$20,'설정시트'!$C$7:$C$20=I133)"),"🍪 월급")</f>
        <v>🍪 월급</v>
      </c>
      <c r="AC133" s="214" t="str">
        <f>IFERROR(__xludf.DUMMYFUNCTION("""COMPUTED_VALUE"""),"🍪 부수입")</f>
        <v>🍪 부수입</v>
      </c>
      <c r="AD133" s="214" t="str">
        <f>IFERROR(__xludf.DUMMYFUNCTION("""COMPUTED_VALUE"""),"🐻 월급")</f>
        <v>🐻 월급</v>
      </c>
      <c r="AE133" s="214" t="str">
        <f>IFERROR(__xludf.DUMMYFUNCTION("""COMPUTED_VALUE"""),"🐻 부수입")</f>
        <v>🐻 부수입</v>
      </c>
      <c r="AF133" s="214" t="str">
        <f>IFERROR(__xludf.DUMMYFUNCTION("""COMPUTED_VALUE"""),"기타")</f>
        <v>기타</v>
      </c>
      <c r="AG133" s="214"/>
      <c r="AH133" s="214"/>
      <c r="AI133" s="214"/>
      <c r="AJ133" s="215"/>
    </row>
    <row r="134">
      <c r="H134" s="208"/>
      <c r="I134" s="217"/>
      <c r="J134" s="217"/>
      <c r="K134" s="218"/>
      <c r="L134" s="211"/>
      <c r="M134" s="143"/>
      <c r="N134" s="213"/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IFERROR(__xludf.DUMMYFUNCTION("FILTER('설정시트'!$D$7:$L$20,'설정시트'!$C$7:$C$20=I134)"),"#N/A")</f>
        <v>#N/A</v>
      </c>
      <c r="AC134" s="214"/>
      <c r="AD134" s="214"/>
      <c r="AE134" s="214"/>
      <c r="AF134" s="214"/>
      <c r="AG134" s="214"/>
      <c r="AH134" s="214"/>
      <c r="AI134" s="214"/>
    </row>
    <row r="135">
      <c r="H135" s="208"/>
      <c r="I135" s="217"/>
      <c r="J135" s="217"/>
      <c r="K135" s="218"/>
      <c r="L135" s="211"/>
      <c r="M135" s="143"/>
      <c r="N135" s="213"/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IFERROR(__xludf.DUMMYFUNCTION("FILTER('설정시트'!$D$7:$L$20,'설정시트'!$C$7:$C$20=I135)"),"#N/A")</f>
        <v>#N/A</v>
      </c>
      <c r="AC135" s="214"/>
      <c r="AD135" s="214"/>
      <c r="AE135" s="214"/>
      <c r="AF135" s="214"/>
      <c r="AG135" s="214"/>
      <c r="AH135" s="214"/>
      <c r="AI135" s="214"/>
    </row>
    <row r="136">
      <c r="H136" s="208"/>
      <c r="I136" s="217"/>
      <c r="J136" s="217"/>
      <c r="K136" s="218"/>
      <c r="L136" s="211"/>
      <c r="M136" s="143"/>
      <c r="N136" s="213"/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IFERROR(__xludf.DUMMYFUNCTION("FILTER('설정시트'!$D$7:$L$20,'설정시트'!$C$7:$C$20=I136)"),"#N/A")</f>
        <v>#N/A</v>
      </c>
      <c r="AC136" s="214"/>
      <c r="AD136" s="214"/>
      <c r="AE136" s="214"/>
      <c r="AF136" s="214"/>
      <c r="AG136" s="214"/>
      <c r="AH136" s="214"/>
      <c r="AI136" s="214"/>
    </row>
    <row r="137">
      <c r="H137" s="208"/>
      <c r="I137" s="217"/>
      <c r="J137" s="217"/>
      <c r="K137" s="218"/>
      <c r="L137" s="211"/>
      <c r="M137" s="143"/>
      <c r="N137" s="213"/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IFERROR(__xludf.DUMMYFUNCTION("FILTER('설정시트'!$D$7:$L$20,'설정시트'!$C$7:$C$20=I137)"),"#N/A")</f>
        <v>#N/A</v>
      </c>
      <c r="AC137" s="214"/>
      <c r="AD137" s="214"/>
      <c r="AE137" s="214"/>
      <c r="AF137" s="214"/>
      <c r="AG137" s="214"/>
      <c r="AH137" s="214"/>
      <c r="AI137" s="214"/>
    </row>
    <row r="138">
      <c r="H138" s="208"/>
      <c r="I138" s="217"/>
      <c r="J138" s="217"/>
      <c r="K138" s="218"/>
      <c r="L138" s="211"/>
      <c r="M138" s="143"/>
      <c r="N138" s="213"/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IFERROR(__xludf.DUMMYFUNCTION("FILTER('설정시트'!$D$7:$L$20,'설정시트'!$C$7:$C$20=I138)"),"#N/A")</f>
        <v>#N/A</v>
      </c>
      <c r="AC138" s="214"/>
      <c r="AD138" s="214"/>
      <c r="AE138" s="214"/>
      <c r="AF138" s="214"/>
      <c r="AG138" s="214"/>
      <c r="AH138" s="214"/>
      <c r="AI138" s="214"/>
    </row>
    <row r="139">
      <c r="H139" s="208"/>
      <c r="I139" s="217"/>
      <c r="J139" s="217"/>
      <c r="K139" s="218"/>
      <c r="L139" s="211"/>
      <c r="M139" s="143"/>
      <c r="N139" s="213"/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IFERROR(__xludf.DUMMYFUNCTION("FILTER('설정시트'!$D$7:$L$20,'설정시트'!$C$7:$C$20=I139)"),"#N/A")</f>
        <v>#N/A</v>
      </c>
      <c r="AC139" s="214"/>
      <c r="AD139" s="214"/>
      <c r="AE139" s="214"/>
      <c r="AF139" s="214"/>
      <c r="AG139" s="214"/>
      <c r="AH139" s="214"/>
      <c r="AI139" s="214"/>
    </row>
    <row r="140">
      <c r="H140" s="208"/>
      <c r="I140" s="217"/>
      <c r="J140" s="217"/>
      <c r="K140" s="218"/>
      <c r="L140" s="211"/>
      <c r="M140" s="143"/>
      <c r="N140" s="213"/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IFERROR(__xludf.DUMMYFUNCTION("FILTER('설정시트'!$D$7:$L$20,'설정시트'!$C$7:$C$20=I140)"),"#N/A")</f>
        <v>#N/A</v>
      </c>
      <c r="AC140" s="214"/>
      <c r="AD140" s="214"/>
      <c r="AE140" s="214"/>
      <c r="AF140" s="214"/>
      <c r="AG140" s="214"/>
      <c r="AH140" s="214"/>
      <c r="AI140" s="214"/>
    </row>
    <row r="141">
      <c r="H141" s="208"/>
      <c r="I141" s="217"/>
      <c r="J141" s="217"/>
      <c r="K141" s="218"/>
      <c r="L141" s="211"/>
      <c r="M141" s="143"/>
      <c r="N141" s="213"/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IFERROR(__xludf.DUMMYFUNCTION("FILTER('설정시트'!$D$7:$L$20,'설정시트'!$C$7:$C$20=I141)"),"#N/A")</f>
        <v>#N/A</v>
      </c>
      <c r="AC141" s="214"/>
      <c r="AD141" s="214"/>
      <c r="AE141" s="214"/>
      <c r="AF141" s="214"/>
      <c r="AG141" s="214"/>
      <c r="AH141" s="214"/>
      <c r="AI141" s="214"/>
    </row>
    <row r="142">
      <c r="H142" s="208"/>
      <c r="I142" s="217"/>
      <c r="J142" s="217"/>
      <c r="K142" s="218"/>
      <c r="L142" s="211"/>
      <c r="M142" s="143"/>
      <c r="N142" s="213"/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IFERROR(__xludf.DUMMYFUNCTION("FILTER('설정시트'!$D$7:$L$20,'설정시트'!$C$7:$C$20=I142)"),"#N/A")</f>
        <v>#N/A</v>
      </c>
      <c r="AC142" s="214"/>
      <c r="AD142" s="214"/>
      <c r="AE142" s="214"/>
      <c r="AF142" s="214"/>
      <c r="AG142" s="214"/>
      <c r="AH142" s="214"/>
      <c r="AI142" s="214"/>
    </row>
    <row r="143">
      <c r="H143" s="208"/>
      <c r="I143" s="217"/>
      <c r="J143" s="217"/>
      <c r="K143" s="218"/>
      <c r="L143" s="211"/>
      <c r="M143" s="143"/>
      <c r="N143" s="213"/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IFERROR(__xludf.DUMMYFUNCTION("FILTER('설정시트'!$D$7:$L$20,'설정시트'!$C$7:$C$20=I143)"),"#N/A")</f>
        <v>#N/A</v>
      </c>
      <c r="AC143" s="214"/>
      <c r="AD143" s="214"/>
      <c r="AE143" s="214"/>
      <c r="AF143" s="214"/>
      <c r="AG143" s="214"/>
      <c r="AH143" s="214"/>
      <c r="AI143" s="214"/>
    </row>
    <row r="144">
      <c r="H144" s="208"/>
      <c r="I144" s="217"/>
      <c r="J144" s="217"/>
      <c r="K144" s="218"/>
      <c r="L144" s="211"/>
      <c r="M144" s="143"/>
      <c r="N144" s="213"/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IFERROR(__xludf.DUMMYFUNCTION("FILTER('설정시트'!$D$7:$L$20,'설정시트'!$C$7:$C$20=I144)"),"#N/A")</f>
        <v>#N/A</v>
      </c>
      <c r="AC144" s="214"/>
      <c r="AD144" s="214"/>
      <c r="AE144" s="214"/>
      <c r="AF144" s="214"/>
      <c r="AG144" s="214"/>
      <c r="AH144" s="214"/>
      <c r="AI144" s="214"/>
    </row>
    <row r="145">
      <c r="H145" s="208"/>
      <c r="I145" s="217"/>
      <c r="J145" s="217"/>
      <c r="K145" s="218"/>
      <c r="L145" s="211"/>
      <c r="M145" s="143"/>
      <c r="N145" s="213"/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IFERROR(__xludf.DUMMYFUNCTION("FILTER('설정시트'!$D$7:$L$20,'설정시트'!$C$7:$C$20=I145)"),"#N/A")</f>
        <v>#N/A</v>
      </c>
      <c r="AC145" s="214"/>
      <c r="AD145" s="214"/>
      <c r="AE145" s="214"/>
      <c r="AF145" s="214"/>
      <c r="AG145" s="214"/>
      <c r="AH145" s="214"/>
      <c r="AI145" s="214"/>
    </row>
    <row r="146">
      <c r="H146" s="208"/>
      <c r="I146" s="217"/>
      <c r="J146" s="217"/>
      <c r="K146" s="218"/>
      <c r="L146" s="211"/>
      <c r="M146" s="143"/>
      <c r="N146" s="213"/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IFERROR(__xludf.DUMMYFUNCTION("FILTER('설정시트'!$D$7:$L$20,'설정시트'!$C$7:$C$20=I146)"),"#N/A")</f>
        <v>#N/A</v>
      </c>
      <c r="AC146" s="214"/>
      <c r="AD146" s="214"/>
      <c r="AE146" s="214"/>
      <c r="AF146" s="214"/>
      <c r="AG146" s="214"/>
      <c r="AH146" s="214"/>
      <c r="AI146" s="214"/>
    </row>
    <row r="147">
      <c r="H147" s="208"/>
      <c r="I147" s="217"/>
      <c r="J147" s="217"/>
      <c r="K147" s="218"/>
      <c r="L147" s="211"/>
      <c r="M147" s="143"/>
      <c r="N147" s="213"/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IFERROR(__xludf.DUMMYFUNCTION("FILTER('설정시트'!$D$7:$L$20,'설정시트'!$C$7:$C$20=I147)"),"#N/A")</f>
        <v>#N/A</v>
      </c>
      <c r="AC147" s="214"/>
      <c r="AD147" s="214"/>
      <c r="AE147" s="214"/>
      <c r="AF147" s="214"/>
      <c r="AG147" s="214"/>
      <c r="AH147" s="214"/>
      <c r="AI147" s="214"/>
    </row>
    <row r="148">
      <c r="H148" s="208"/>
      <c r="I148" s="217"/>
      <c r="J148" s="217"/>
      <c r="K148" s="218"/>
      <c r="L148" s="211"/>
      <c r="M148" s="143"/>
      <c r="N148" s="213"/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IFERROR(__xludf.DUMMYFUNCTION("FILTER('설정시트'!$D$7:$L$20,'설정시트'!$C$7:$C$20=I148)"),"#N/A")</f>
        <v>#N/A</v>
      </c>
      <c r="AC148" s="214"/>
      <c r="AD148" s="214"/>
      <c r="AE148" s="214"/>
      <c r="AF148" s="214"/>
      <c r="AG148" s="214"/>
      <c r="AH148" s="214"/>
      <c r="AI148" s="214"/>
    </row>
    <row r="149">
      <c r="H149" s="221"/>
      <c r="I149" s="217"/>
      <c r="J149" s="217"/>
      <c r="K149" s="218"/>
      <c r="L149" s="211"/>
      <c r="M149" s="143"/>
      <c r="N149" s="213"/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IFERROR(__xludf.DUMMYFUNCTION("FILTER('설정시트'!$D$7:$L$20,'설정시트'!$C$7:$C$20=I149)"),"#N/A")</f>
        <v>#N/A</v>
      </c>
      <c r="AC149" s="214"/>
      <c r="AD149" s="214"/>
      <c r="AE149" s="214"/>
      <c r="AF149" s="214"/>
      <c r="AG149" s="214"/>
      <c r="AH149" s="214"/>
      <c r="AI149" s="214"/>
    </row>
    <row r="150">
      <c r="H150" s="221"/>
      <c r="I150" s="222"/>
      <c r="J150" s="217"/>
      <c r="K150" s="220"/>
      <c r="L150" s="213"/>
      <c r="M150" s="143"/>
      <c r="N150" s="213"/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IFERROR(__xludf.DUMMYFUNCTION("FILTER('설정시트'!$D$7:$L$20,'설정시트'!$C$7:$C$20=I150)"),"#N/A")</f>
        <v>#N/A</v>
      </c>
      <c r="AC150" s="214"/>
      <c r="AD150" s="214"/>
      <c r="AE150" s="214"/>
      <c r="AF150" s="214"/>
      <c r="AG150" s="214"/>
      <c r="AH150" s="214"/>
      <c r="AI150" s="214"/>
    </row>
    <row r="151">
      <c r="H151" s="221"/>
      <c r="I151" s="222"/>
      <c r="J151" s="217"/>
      <c r="K151" s="220"/>
      <c r="L151" s="213"/>
      <c r="M151" s="143"/>
      <c r="N151" s="213"/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IFERROR(__xludf.DUMMYFUNCTION("FILTER('설정시트'!$D$7:$L$20,'설정시트'!$C$7:$C$20=I151)"),"#N/A")</f>
        <v>#N/A</v>
      </c>
      <c r="AC151" s="214"/>
      <c r="AD151" s="214"/>
      <c r="AE151" s="214"/>
      <c r="AF151" s="214"/>
      <c r="AG151" s="214"/>
      <c r="AH151" s="214"/>
      <c r="AI151" s="214"/>
    </row>
    <row r="152">
      <c r="H152" s="221"/>
      <c r="I152" s="222"/>
      <c r="J152" s="217"/>
      <c r="K152" s="220"/>
      <c r="L152" s="213"/>
      <c r="M152" s="143"/>
      <c r="N152" s="213"/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IFERROR(__xludf.DUMMYFUNCTION("FILTER('설정시트'!$D$7:$L$20,'설정시트'!$C$7:$C$20=I152)"),"#N/A")</f>
        <v>#N/A</v>
      </c>
      <c r="AC152" s="214"/>
      <c r="AD152" s="214"/>
      <c r="AE152" s="214"/>
      <c r="AF152" s="214"/>
      <c r="AG152" s="214"/>
      <c r="AH152" s="214"/>
      <c r="AI152" s="214"/>
    </row>
    <row r="153">
      <c r="H153" s="221"/>
      <c r="I153" s="222"/>
      <c r="J153" s="217"/>
      <c r="K153" s="220"/>
      <c r="L153" s="213"/>
      <c r="M153" s="143"/>
      <c r="N153" s="213"/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IFERROR(__xludf.DUMMYFUNCTION("FILTER('설정시트'!$D$7:$L$20,'설정시트'!$C$7:$C$20=I153)"),"#N/A")</f>
        <v>#N/A</v>
      </c>
      <c r="AC153" s="214"/>
      <c r="AD153" s="214"/>
      <c r="AE153" s="214"/>
      <c r="AF153" s="214"/>
      <c r="AG153" s="214"/>
      <c r="AH153" s="214"/>
      <c r="AI153" s="214"/>
    </row>
    <row r="154">
      <c r="H154" s="221"/>
      <c r="I154" s="222"/>
      <c r="J154" s="217"/>
      <c r="K154" s="220"/>
      <c r="L154" s="213"/>
      <c r="M154" s="143"/>
      <c r="N154" s="213"/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IFERROR(__xludf.DUMMYFUNCTION("FILTER('설정시트'!$D$7:$L$20,'설정시트'!$C$7:$C$20=I154)"),"#N/A")</f>
        <v>#N/A</v>
      </c>
      <c r="AC154" s="214"/>
      <c r="AD154" s="214"/>
      <c r="AE154" s="214"/>
      <c r="AF154" s="214"/>
      <c r="AG154" s="214"/>
      <c r="AH154" s="214"/>
      <c r="AI154" s="214"/>
    </row>
    <row r="155">
      <c r="H155" s="221"/>
      <c r="I155" s="222"/>
      <c r="J155" s="217"/>
      <c r="K155" s="220"/>
      <c r="L155" s="213"/>
      <c r="M155" s="143"/>
      <c r="N155" s="213"/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IFERROR(__xludf.DUMMYFUNCTION("FILTER('설정시트'!$D$7:$L$20,'설정시트'!$C$7:$C$20=I155)"),"#N/A")</f>
        <v>#N/A</v>
      </c>
      <c r="AC155" s="214"/>
      <c r="AD155" s="214"/>
      <c r="AE155" s="214"/>
      <c r="AF155" s="214"/>
      <c r="AG155" s="214"/>
      <c r="AH155" s="214"/>
      <c r="AI155" s="214"/>
    </row>
    <row r="156">
      <c r="H156" s="221"/>
      <c r="I156" s="222"/>
      <c r="J156" s="217"/>
      <c r="K156" s="220"/>
      <c r="L156" s="213"/>
      <c r="M156" s="143"/>
      <c r="N156" s="213"/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IFERROR(__xludf.DUMMYFUNCTION("FILTER('설정시트'!$D$7:$L$20,'설정시트'!$C$7:$C$20=I156)"),"#N/A")</f>
        <v>#N/A</v>
      </c>
      <c r="AC156" s="214"/>
      <c r="AD156" s="214"/>
      <c r="AE156" s="214"/>
      <c r="AF156" s="214"/>
      <c r="AG156" s="214"/>
      <c r="AH156" s="214"/>
      <c r="AI156" s="214"/>
    </row>
    <row r="157">
      <c r="H157" s="221"/>
      <c r="I157" s="222"/>
      <c r="J157" s="217"/>
      <c r="K157" s="220"/>
      <c r="L157" s="213"/>
      <c r="M157" s="143"/>
      <c r="N157" s="213"/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IFERROR(__xludf.DUMMYFUNCTION("FILTER('설정시트'!$D$7:$L$20,'설정시트'!$C$7:$C$20=I157)"),"#N/A")</f>
        <v>#N/A</v>
      </c>
      <c r="AC157" s="214"/>
      <c r="AD157" s="214"/>
      <c r="AE157" s="214"/>
      <c r="AF157" s="214"/>
      <c r="AG157" s="214"/>
      <c r="AH157" s="214"/>
      <c r="AI157" s="214"/>
    </row>
    <row r="158">
      <c r="H158" s="221"/>
      <c r="I158" s="222"/>
      <c r="J158" s="217"/>
      <c r="K158" s="220"/>
      <c r="L158" s="213"/>
      <c r="M158" s="143"/>
      <c r="N158" s="213"/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IFERROR(__xludf.DUMMYFUNCTION("FILTER('설정시트'!$D$7:$L$20,'설정시트'!$C$7:$C$20=I158)"),"#N/A")</f>
        <v>#N/A</v>
      </c>
      <c r="AC158" s="214"/>
      <c r="AD158" s="214"/>
      <c r="AE158" s="214"/>
      <c r="AF158" s="214"/>
      <c r="AG158" s="214"/>
      <c r="AH158" s="214"/>
      <c r="AI158" s="214"/>
    </row>
    <row r="159">
      <c r="H159" s="221"/>
      <c r="I159" s="222"/>
      <c r="J159" s="217"/>
      <c r="K159" s="220"/>
      <c r="L159" s="213"/>
      <c r="M159" s="143"/>
      <c r="N159" s="213"/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IFERROR(__xludf.DUMMYFUNCTION("FILTER('설정시트'!$D$7:$L$20,'설정시트'!$C$7:$C$20=I159)"),"#N/A")</f>
        <v>#N/A</v>
      </c>
      <c r="AC159" s="214"/>
      <c r="AD159" s="214"/>
      <c r="AE159" s="214"/>
      <c r="AF159" s="214"/>
      <c r="AG159" s="214"/>
      <c r="AH159" s="214"/>
      <c r="AI159" s="214"/>
    </row>
    <row r="160">
      <c r="H160" s="221"/>
      <c r="I160" s="222"/>
      <c r="J160" s="217"/>
      <c r="K160" s="220"/>
      <c r="L160" s="213"/>
      <c r="M160" s="143"/>
      <c r="N160" s="213"/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IFERROR(__xludf.DUMMYFUNCTION("FILTER('설정시트'!$D$7:$L$20,'설정시트'!$C$7:$C$20=I160)"),"#N/A")</f>
        <v>#N/A</v>
      </c>
      <c r="AC160" s="214"/>
      <c r="AD160" s="214"/>
      <c r="AE160" s="214"/>
      <c r="AF160" s="214"/>
      <c r="AG160" s="214"/>
      <c r="AH160" s="214"/>
      <c r="AI160" s="214"/>
    </row>
    <row r="161">
      <c r="H161" s="221"/>
      <c r="I161" s="222"/>
      <c r="J161" s="217"/>
      <c r="K161" s="220"/>
      <c r="L161" s="213"/>
      <c r="M161" s="143"/>
      <c r="N161" s="213"/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IFERROR(__xludf.DUMMYFUNCTION("FILTER('설정시트'!$D$7:$L$20,'설정시트'!$C$7:$C$20=I161)"),"#N/A")</f>
        <v>#N/A</v>
      </c>
      <c r="AC161" s="214"/>
      <c r="AD161" s="214"/>
      <c r="AE161" s="214"/>
      <c r="AF161" s="214"/>
      <c r="AG161" s="214"/>
      <c r="AH161" s="214"/>
      <c r="AI161" s="214"/>
    </row>
    <row r="162">
      <c r="H162" s="221"/>
      <c r="I162" s="222"/>
      <c r="J162" s="217"/>
      <c r="K162" s="220"/>
      <c r="L162" s="213"/>
      <c r="M162" s="143"/>
      <c r="N162" s="213"/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IFERROR(__xludf.DUMMYFUNCTION("FILTER('설정시트'!$D$7:$L$20,'설정시트'!$C$7:$C$20=I162)"),"#N/A")</f>
        <v>#N/A</v>
      </c>
      <c r="AC162" s="214"/>
      <c r="AD162" s="214"/>
      <c r="AE162" s="214"/>
      <c r="AF162" s="214"/>
      <c r="AG162" s="214"/>
      <c r="AH162" s="214"/>
      <c r="AI162" s="214"/>
    </row>
    <row r="163">
      <c r="H163" s="221"/>
      <c r="I163" s="222"/>
      <c r="J163" s="217"/>
      <c r="K163" s="220"/>
      <c r="L163" s="213"/>
      <c r="M163" s="143"/>
      <c r="N163" s="213"/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IFERROR(__xludf.DUMMYFUNCTION("FILTER('설정시트'!$D$7:$L$20,'설정시트'!$C$7:$C$20=I163)"),"#N/A")</f>
        <v>#N/A</v>
      </c>
      <c r="AC163" s="214"/>
      <c r="AD163" s="214"/>
      <c r="AE163" s="214"/>
      <c r="AF163" s="214"/>
      <c r="AG163" s="214"/>
      <c r="AH163" s="214"/>
      <c r="AI163" s="214"/>
    </row>
    <row r="164">
      <c r="H164" s="221"/>
      <c r="I164" s="222"/>
      <c r="J164" s="217"/>
      <c r="K164" s="220"/>
      <c r="L164" s="213"/>
      <c r="M164" s="143"/>
      <c r="N164" s="213"/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IFERROR(__xludf.DUMMYFUNCTION("FILTER('설정시트'!$D$7:$L$20,'설정시트'!$C$7:$C$20=I164)"),"#N/A")</f>
        <v>#N/A</v>
      </c>
      <c r="AC164" s="214"/>
      <c r="AD164" s="214"/>
      <c r="AE164" s="214"/>
      <c r="AF164" s="214"/>
      <c r="AG164" s="214"/>
      <c r="AH164" s="214"/>
      <c r="AI164" s="214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3"/>
      <c r="I499" s="224"/>
      <c r="J499" s="225"/>
      <c r="K499" s="226"/>
      <c r="L499" s="227"/>
      <c r="M499" s="165"/>
      <c r="N499" s="227"/>
      <c r="O499" s="228"/>
      <c r="P499" s="228"/>
      <c r="Q499" s="165"/>
      <c r="R499" s="227"/>
      <c r="S499" s="228"/>
      <c r="T499" s="5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</sheetData>
  <customSheetViews>
    <customSheetView guid="{1306F103-82DB-4721-A081-DFC677B29403}" filter="1" showAutoFilter="1">
      <autoFilter ref="$H$61:$J$149"/>
    </customSheetView>
    <customSheetView guid="{48029EEC-043B-4596-BD82-4885B5601D90}" filter="1" showAutoFilter="1">
      <autoFilter ref="$I$61:$L$499"/>
    </customSheetView>
  </customSheetViews>
  <mergeCells count="1440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499">
    <cfRule type="expression" dxfId="7" priority="19" stopIfTrue="1">
      <formula>AND(H62="", I62&lt;&gt;"")</formula>
    </cfRule>
  </conditionalFormatting>
  <dataValidations>
    <dataValidation type="list" allowBlank="1" showErrorMessage="1" sqref="J342">
      <formula1>'4월'!$AB$342:$AI$342</formula1>
    </dataValidation>
    <dataValidation type="list" allowBlank="1" showErrorMessage="1" sqref="J327">
      <formula1>'4월'!$AB$327:$AI$327</formula1>
    </dataValidation>
    <dataValidation type="list" allowBlank="1" showErrorMessage="1" sqref="J451">
      <formula1>'4월'!$AB$451:$AI$451</formula1>
    </dataValidation>
    <dataValidation type="list" allowBlank="1" showErrorMessage="1" sqref="J436">
      <formula1>'4월'!$AB$436:$AI$436</formula1>
    </dataValidation>
    <dataValidation type="list" allowBlank="1" showErrorMessage="1" sqref="J92">
      <formula1>'4월'!$AB$92:$AI$92</formula1>
    </dataValidation>
    <dataValidation type="list" allowBlank="1" showErrorMessage="1" sqref="J144">
      <formula1>'4월'!$AB$144:$AI$144</formula1>
    </dataValidation>
    <dataValidation type="list" allowBlank="1" showErrorMessage="1" sqref="J109">
      <formula1>'4월'!$AB$109:$AI$109</formula1>
    </dataValidation>
    <dataValidation type="list" allowBlank="1" showErrorMessage="1" sqref="J253">
      <formula1>'4월'!$AB$253:$AI$253</formula1>
    </dataValidation>
    <dataValidation type="list" allowBlank="1" showErrorMessage="1" sqref="J63">
      <formula1>'4월'!$AB$63:$AI$63</formula1>
    </dataValidation>
    <dataValidation type="list" allowBlank="1" showErrorMessage="1" sqref="J218">
      <formula1>'4월'!$AB$218:$AI$218</formula1>
    </dataValidation>
    <dataValidation type="list" allowBlank="1" showErrorMessage="1" sqref="J213">
      <formula1>'4월'!$AB$213:$AI$213</formula1>
    </dataValidation>
    <dataValidation type="list" allowBlank="1" showErrorMessage="1" sqref="J471">
      <formula1>'4월'!$AB$471:$AI$471</formula1>
    </dataValidation>
    <dataValidation type="list" allowBlank="1" showErrorMessage="1" sqref="J307">
      <formula1>'4월'!$AB$307:$AI$307</formula1>
    </dataValidation>
    <dataValidation type="list" allowBlank="1" showErrorMessage="1" sqref="J104">
      <formula1>'4월'!$AB$104:$AI$104</formula1>
    </dataValidation>
    <dataValidation type="list" allowBlank="1" showErrorMessage="1" sqref="J378">
      <formula1>'4월'!$AB$378:$AI$378</formula1>
    </dataValidation>
    <dataValidation type="list" allowBlank="1" showErrorMessage="1" sqref="J416">
      <formula1>'4월'!$AB$416:$AI$416</formula1>
    </dataValidation>
    <dataValidation type="list" allowBlank="1" showErrorMessage="1" sqref="J269">
      <formula1>'4월'!$AB$269:$AI$269</formula1>
    </dataValidation>
    <dataValidation type="list" allowBlank="1" showErrorMessage="1" sqref="J362">
      <formula1>'4월'!$AB$362:$AI$362</formula1>
    </dataValidation>
    <dataValidation type="list" allowBlank="1" showErrorMessage="1" sqref="J411">
      <formula1>'4월'!$AB$411:$AI$411</formula1>
    </dataValidation>
    <dataValidation type="list" allowBlank="1" showErrorMessage="1" sqref="J273">
      <formula1>'4월'!$AB$273:$AI$273</formula1>
    </dataValidation>
    <dataValidation type="list" allowBlank="1" showErrorMessage="1" sqref="J302">
      <formula1>'4월'!$AB$302:$AI$302</formula1>
    </dataValidation>
    <dataValidation type="list" allowBlank="1" showErrorMessage="1" sqref="J476">
      <formula1>'4월'!$AB$476:$AI$476</formula1>
    </dataValidation>
    <dataValidation type="list" allowBlank="1" showErrorMessage="1" sqref="J164">
      <formula1>'4월'!$AB$164:$AI$164</formula1>
    </dataValidation>
    <dataValidation type="list" allowBlank="1" showErrorMessage="1" sqref="J311">
      <formula1>'4월'!$AB$311:$AI$311</formula1>
    </dataValidation>
    <dataValidation type="list" allowBlank="1" showErrorMessage="1" sqref="J467">
      <formula1>'4월'!$AB$467:$AI$467</formula1>
    </dataValidation>
    <dataValidation type="list" allowBlank="1" showErrorMessage="1" sqref="J278">
      <formula1>'4월'!$AB$278:$AI$278</formula1>
    </dataValidation>
    <dataValidation type="list" allowBlank="1" showErrorMessage="1" sqref="J65">
      <formula1>'4월'!$AB$65:$AI$65</formula1>
    </dataValidation>
    <dataValidation type="list" allowBlank="1" showErrorMessage="1" sqref="J170">
      <formula1>'4월'!$AB$170:$AI$170</formula1>
    </dataValidation>
    <dataValidation type="list" allowBlank="1" showErrorMessage="1" sqref="J420">
      <formula1>'4월'!$AB$420:$AI$420</formula1>
    </dataValidation>
    <dataValidation type="list" allowBlank="1" showErrorMessage="1" sqref="J387">
      <formula1>'4월'!$AB$387:$AI$387</formula1>
    </dataValidation>
    <dataValidation type="list" allowBlank="1" showErrorMessage="1" sqref="J207">
      <formula1>'4월'!$AB$207:$AI$207</formula1>
    </dataValidation>
    <dataValidation type="list" allowBlank="1" showErrorMessage="1" sqref="J113">
      <formula1>'4월'!$AB$113:$AI$113</formula1>
    </dataValidation>
    <dataValidation type="list" allowBlank="1" showErrorMessage="1" sqref="J222">
      <formula1>'4월'!$AB$222:$AI$222</formula1>
    </dataValidation>
    <dataValidation type="list" allowBlank="1" showErrorMessage="1" sqref="J496">
      <formula1>'4월'!$AB$496:$AI$496</formula1>
    </dataValidation>
    <dataValidation type="list" allowBlank="1" showErrorMessage="1" sqref="J189">
      <formula1>'4월'!$AB$189:$AI$189</formula1>
    </dataValidation>
    <dataValidation type="list" allowBlank="1" showErrorMessage="1" sqref="J405">
      <formula1>'4월'!$AB$405:$AI$405</formula1>
    </dataValidation>
    <dataValidation type="list" allowBlank="1" showErrorMessage="1" sqref="J331">
      <formula1>'4월'!$AB$331:$AI$331</formula1>
    </dataValidation>
    <dataValidation type="list" allowBlank="1" showErrorMessage="1" sqref="J487">
      <formula1>'4월'!$AB$487:$AI$487</formula1>
    </dataValidation>
    <dataValidation type="list" allowBlank="1" showErrorMessage="1" sqref="J190">
      <formula1>'4월'!$AB$190:$AI$190</formula1>
    </dataValidation>
    <dataValidation type="list" allowBlank="1" showErrorMessage="1" sqref="J440">
      <formula1>'4월'!$AB$440:$AI$440</formula1>
    </dataValidation>
    <dataValidation type="list" allowBlank="1" showErrorMessage="1" sqref="J322">
      <formula1>'4월'!$AB$322:$AI$322</formula1>
    </dataValidation>
    <dataValidation type="list" allowBlank="1" showErrorMessage="1" sqref="J298">
      <formula1>'4월'!$AB$298:$AI$298</formula1>
    </dataValidation>
    <dataValidation type="list" allowBlank="1" showErrorMessage="1" sqref="J431">
      <formula1>'4월'!$AB$431:$AI$431</formula1>
    </dataValidation>
    <dataValidation type="list" allowBlank="1" showErrorMessage="1" sqref="J289">
      <formula1>'4월'!$AB$289:$AI$289</formula1>
    </dataValidation>
    <dataValidation type="list" allowBlank="1" showErrorMessage="1" sqref="J351">
      <formula1>'4월'!$AB$351:$AI$351</formula1>
    </dataValidation>
    <dataValidation type="list" allowBlank="1" showErrorMessage="1" sqref="J224">
      <formula1>'4월'!$AB$224:$AI$224</formula1>
    </dataValidation>
    <dataValidation type="list" allowBlank="1" showErrorMessage="1" sqref="J242">
      <formula1>'4월'!$AB$242:$AI$242</formula1>
    </dataValidation>
    <dataValidation type="list" allowBlank="1" showErrorMessage="1" sqref="J124:J125">
      <formula1>'4월'!$AB$124:$AI$124</formula1>
    </dataValidation>
    <dataValidation type="list" allowBlank="1" showErrorMessage="1" sqref="J398">
      <formula1>'4월'!$AB$398:$AI$398</formula1>
    </dataValidation>
    <dataValidation type="list" allowBlank="1" showErrorMessage="1" sqref="J233">
      <formula1>'4월'!$AB$233:$AI$233</formula1>
    </dataValidation>
    <dataValidation type="list" allowBlank="1" showErrorMessage="1" sqref="J115">
      <formula1>'4월'!$AB$115:$AI$115</formula1>
    </dataValidation>
    <dataValidation type="list" allowBlank="1" showErrorMessage="1" sqref="J389">
      <formula1>'4월'!$AB$389:$AI$389</formula1>
    </dataValidation>
    <dataValidation type="list" allowBlank="1" showErrorMessage="1" sqref="J89">
      <formula1>'4월'!$AB$89:$AI$89</formula1>
    </dataValidation>
    <dataValidation type="list" allowBlank="1" showErrorMessage="1" sqref="J153">
      <formula1>'4월'!$AB$153:$AI$153</formula1>
    </dataValidation>
    <dataValidation type="list" allowBlank="1" showErrorMessage="1" sqref="J209">
      <formula1>'4월'!$AB$209:$AI$209</formula1>
    </dataValidation>
    <dataValidation type="list" allowBlank="1" showErrorMessage="1" sqref="J247">
      <formula1>'4월'!$AB$247:$AI$247</formula1>
    </dataValidation>
    <dataValidation type="list" allowBlank="1" showErrorMessage="1" sqref="J465">
      <formula1>'4월'!$AB$465:$AI$465</formula1>
    </dataValidation>
    <dataValidation type="list" allowBlank="1" showErrorMessage="1" sqref="J498">
      <formula1>'4월'!$AB$498:$AI$498</formula1>
    </dataValidation>
    <dataValidation type="list" allowBlank="1" showErrorMessage="1" sqref="J460">
      <formula1>'4월'!$AB$460:$AI$460</formula1>
    </dataValidation>
    <dataValidation type="list" allowBlank="1" showErrorMessage="1" sqref="J138">
      <formula1>'4월'!$AB$138:$AI$138</formula1>
    </dataValidation>
    <dataValidation type="list" allowBlank="1" showErrorMessage="1" sqref="J318">
      <formula1>'4월'!$AB$318:$AI$318</formula1>
    </dataValidation>
    <dataValidation type="list" allowBlank="1" showErrorMessage="1" sqref="J480">
      <formula1>'4월'!$AB$480:$AI$480</formula1>
    </dataValidation>
    <dataValidation type="list" allowBlank="1" showErrorMessage="1" sqref="J300">
      <formula1>'4월'!$AB$300:$AI$300</formula1>
    </dataValidation>
    <dataValidation type="list" allowBlank="1" showErrorMessage="1" sqref="J333">
      <formula1>'4월'!$AB$333:$AI$333</formula1>
    </dataValidation>
    <dataValidation type="list" allowBlank="1" showErrorMessage="1" sqref="J407">
      <formula1>'4월'!$AB$407:$AI$407</formula1>
    </dataValidation>
    <dataValidation type="list" allowBlank="1" showErrorMessage="1" sqref="J371">
      <formula1>'4월'!$AB$371:$AI$371</formula1>
    </dataValidation>
    <dataValidation type="list" allowBlank="1" showErrorMessage="1" sqref="J87 J94:J95">
      <formula1>'4월'!$AB$87:$AI$87</formula1>
    </dataValidation>
    <dataValidation type="list" allowBlank="1" showErrorMessage="1" sqref="J445">
      <formula1>'4월'!$AB$445:$AI$445</formula1>
    </dataValidation>
    <dataValidation type="list" allowBlank="1" showErrorMessage="1" sqref="J267">
      <formula1>'4월'!$AB$267:$AI$267</formula1>
    </dataValidation>
    <dataValidation type="list" allowBlank="1" showErrorMessage="1" sqref="J442">
      <formula1>'4월'!$AB$442:$AI$442</formula1>
    </dataValidation>
    <dataValidation type="list" allowBlank="1" showErrorMessage="1" sqref="J262">
      <formula1>'4월'!$AB$262:$AI$262</formula1>
    </dataValidation>
    <dataValidation type="list" allowBlank="1" showErrorMessage="1" sqref="J336">
      <formula1>'4월'!$AB$336:$AI$336</formula1>
    </dataValidation>
    <dataValidation type="list" allowBlank="1" showErrorMessage="1" sqref="J79">
      <formula1>'4월'!$AB$79:$AI$79</formula1>
    </dataValidation>
    <dataValidation type="list" allowBlank="1" showErrorMessage="1" sqref="J282">
      <formula1>'4월'!$AB$282:$AI$282</formula1>
    </dataValidation>
    <dataValidation type="list" allowBlank="1" showErrorMessage="1" sqref="J118">
      <formula1>'4월'!$AB$118:$AI$118</formula1>
    </dataValidation>
    <dataValidation type="list" allowBlank="1" showErrorMessage="1" sqref="J485">
      <formula1>'4월'!$AB$485:$AI$485</formula1>
    </dataValidation>
    <dataValidation type="list" allowBlank="1" showErrorMessage="1" sqref="J67">
      <formula1>'4월'!$AB$67:$AI$67</formula1>
    </dataValidation>
    <dataValidation type="list" allowBlank="1" showErrorMessage="1" sqref="J102">
      <formula1>'4월'!$AB$102:$AI$102</formula1>
    </dataValidation>
    <dataValidation type="list" allowBlank="1" showErrorMessage="1" sqref="J135">
      <formula1>'4월'!$AB$135:$AI$135</formula1>
    </dataValidation>
    <dataValidation type="list" allowBlank="1" showErrorMessage="1" sqref="J376">
      <formula1>'4월'!$AB$376:$AI$376</formula1>
    </dataValidation>
    <dataValidation type="list" allowBlank="1" showErrorMessage="1" sqref="J227">
      <formula1>'4월'!$AB$227:$AI$227</formula1>
    </dataValidation>
    <dataValidation type="list" allowBlank="1" showErrorMessage="1" sqref="J90">
      <formula1>'4월'!$AB$90:$AI$90</formula1>
    </dataValidation>
    <dataValidation type="list" allowBlank="1" showErrorMessage="1" sqref="J391">
      <formula1>'4월'!$AB$391:$AI$391</formula1>
    </dataValidation>
    <dataValidation type="list" allowBlank="1" showErrorMessage="1" sqref="J211">
      <formula1>'4월'!$AB$211:$AI$211</formula1>
    </dataValidation>
    <dataValidation type="list" allowBlank="1" showErrorMessage="1" sqref="J173">
      <formula1>'4월'!$AB$173:$AI$173</formula1>
    </dataValidation>
    <dataValidation type="list" allowBlank="1" showErrorMessage="1" sqref="J244">
      <formula1>'4월'!$AB$244:$AI$244</formula1>
    </dataValidation>
    <dataValidation type="list" allowBlank="1" showErrorMessage="1" sqref="J462">
      <formula1>'4월'!$AB$462:$AI$462</formula1>
    </dataValidation>
    <dataValidation type="list" allowBlank="1" showErrorMessage="1" sqref="J316">
      <formula1>'4월'!$AB$316:$AI$316</formula1>
    </dataValidation>
    <dataValidation type="list" allowBlank="1" showErrorMessage="1" sqref="J287">
      <formula1>'4월'!$AB$287:$AI$287</formula1>
    </dataValidation>
    <dataValidation type="list" allowBlank="1" showErrorMessage="1" sqref="J178">
      <formula1>'4월'!$AB$178:$AI$178</formula1>
    </dataValidation>
    <dataValidation type="list" allowBlank="1" showErrorMessage="1" sqref="J320">
      <formula1>'4월'!$AB$320:$AI$320</formula1>
    </dataValidation>
    <dataValidation type="list" allowBlank="1" showErrorMessage="1" sqref="J425">
      <formula1>'4월'!$AB$425:$AI$425</formula1>
    </dataValidation>
    <dataValidation type="list" allowBlank="1" showErrorMessage="1" sqref="J73">
      <formula1>'4월'!$AB$73:$AI$73</formula1>
    </dataValidation>
    <dataValidation type="list" allowBlank="1" showErrorMessage="1" sqref="J353">
      <formula1>'4월'!$AB$353:$AI$353</formula1>
    </dataValidation>
    <dataValidation type="list" allowBlank="1" showErrorMessage="1" sqref="J396">
      <formula1>'4월'!$AB$396:$AI$396</formula1>
    </dataValidation>
    <dataValidation type="list" allowBlank="1" showErrorMessage="1" sqref="J264">
      <formula1>'4월'!$AB$264:$AI$264</formula1>
    </dataValidation>
    <dataValidation type="list" allowBlank="1" showErrorMessage="1" sqref="J358">
      <formula1>'4월'!$AB$358:$AI$358</formula1>
    </dataValidation>
    <dataValidation type="list" allowBlank="1" showErrorMessage="1" sqref="J155">
      <formula1>'4월'!$AB$155:$AI$155</formula1>
    </dataValidation>
    <dataValidation type="list" allowBlank="1" showErrorMessage="1" sqref="J373">
      <formula1>'4월'!$AB$373:$AI$373</formula1>
    </dataValidation>
    <dataValidation type="list" allowBlank="1" showErrorMessage="1" sqref="J249">
      <formula1>'4월'!$AB$249:$AI$249</formula1>
    </dataValidation>
    <dataValidation type="list" allowBlank="1" showErrorMessage="1" sqref="J80">
      <formula1>'4월'!$AB$80:$AI$80</formula1>
    </dataValidation>
    <dataValidation type="list" allowBlank="1" showErrorMessage="1" sqref="J75">
      <formula1>'4월'!$AB$75:$AI$75</formula1>
    </dataValidation>
    <dataValidation type="list" allowBlank="1" showErrorMessage="1" sqref="J193">
      <formula1>'4월'!$AB$193:$AI$193</formula1>
    </dataValidation>
    <dataValidation type="list" allowBlank="1" showErrorMessage="1" sqref="J175">
      <formula1>'4월'!$AB$175:$AI$175</formula1>
    </dataValidation>
    <dataValidation type="list" allowBlank="1" showErrorMessage="1" sqref="J447">
      <formula1>'4월'!$AB$447:$AI$447</formula1>
    </dataValidation>
    <dataValidation type="list" allowBlank="1" showErrorMessage="1" sqref="J482">
      <formula1>'4월'!$AB$482:$AI$482</formula1>
    </dataValidation>
    <dataValidation type="list" allowBlank="1" showErrorMessage="1" sqref="J393">
      <formula1>'4월'!$AB$393:$AI$393</formula1>
    </dataValidation>
    <dataValidation type="list" allowBlank="1" showErrorMessage="1" sqref="J229">
      <formula1>'4월'!$AB$229:$AI$229</formula1>
    </dataValidation>
    <dataValidation type="list" allowBlank="1" showErrorMessage="1" sqref="J338">
      <formula1>'4월'!$AB$338:$AI$338</formula1>
    </dataValidation>
    <dataValidation type="list" allowBlank="1" showErrorMessage="1" sqref="J158">
      <formula1>'4월'!$AB$158:$AI$158</formula1>
    </dataValidation>
    <dataValidation type="list" allowBlank="1" showErrorMessage="1" sqref="J284">
      <formula1>'4월'!$AB$284:$AI$284</formula1>
    </dataValidation>
    <dataValidation type="list" allowBlank="1" showErrorMessage="1" sqref="J195">
      <formula1>'4월'!$AB$195:$AI$195</formula1>
    </dataValidation>
    <dataValidation type="list" allowBlank="1" showErrorMessage="1" sqref="J427">
      <formula1>'4월'!$AB$427:$AI$427</formula1>
    </dataValidation>
    <dataValidation type="list" allowBlank="1" showErrorMessage="1" sqref="J82">
      <formula1>'4월'!$AB$82:$AI$82</formula1>
    </dataValidation>
    <dataValidation type="list" allowBlank="1" showErrorMessage="1" sqref="J77">
      <formula1>'4월'!$AB$77:$AI$77</formula1>
    </dataValidation>
    <dataValidation type="list" allowBlank="1" showErrorMessage="1" sqref="J356">
      <formula1>'4월'!$AB$356:$AI$356</formula1>
    </dataValidation>
    <dataValidation type="list" allowBlank="1" showErrorMessage="1" sqref="J375">
      <formula1>'4월'!$AB$375:$AI$375</formula1>
    </dataValidation>
    <dataValidation type="list" allowBlank="1" showErrorMessage="1" sqref="J403">
      <formula1>'4월'!$AB$403:$AI$403</formula1>
    </dataValidation>
    <dataValidation type="list" allowBlank="1" showErrorMessage="1" sqref="J172">
      <formula1>'4월'!$AB$172:$AI$172</formula1>
    </dataValidation>
    <dataValidation type="list" allowBlank="1" showErrorMessage="1" sqref="J101">
      <formula1>'4월'!$AB$101:$AI$101</formula1>
    </dataValidation>
    <dataValidation type="list" allowBlank="1" showErrorMessage="1" sqref="J276">
      <formula1>'4월'!$AB$276:$AI$276</formula1>
    </dataValidation>
    <dataValidation type="list" allowBlank="1" showErrorMessage="1" sqref="J390">
      <formula1>'4월'!$AB$390:$AI$390</formula1>
    </dataValidation>
    <dataValidation type="list" allowBlank="1" showErrorMessage="1" sqref="J182">
      <formula1>'4월'!$AB$182:$AI$182</formula1>
    </dataValidation>
    <dataValidation type="list" allowBlank="1" showErrorMessage="1" sqref="J271">
      <formula1>'4월'!$AB$271:$AI$271</formula1>
    </dataValidation>
    <dataValidation type="list" allowBlank="1" showErrorMessage="1" sqref="J71">
      <formula1>'4월'!$AB$71:$AI$71</formula1>
    </dataValidation>
    <dataValidation type="list" allowBlank="1" showErrorMessage="1" sqref="J469">
      <formula1>'4월'!$AB$469:$AI$469</formula1>
    </dataValidation>
    <dataValidation type="list" allowBlank="1" showErrorMessage="1" sqref="J459">
      <formula1>'4월'!$AB$459:$AI$459</formula1>
    </dataValidation>
    <dataValidation type="list" allowBlank="1" showErrorMessage="1" sqref="J494">
      <formula1>'4월'!$AB$494:$AI$494</formula1>
    </dataValidation>
    <dataValidation type="list" allowBlank="1" showErrorMessage="1" sqref="J147">
      <formula1>'4월'!$AB$147:$AI$147</formula1>
    </dataValidation>
    <dataValidation type="list" allowBlank="1" showErrorMessage="1" sqref="J220">
      <formula1>'4월'!$AB$220:$AI$220</formula1>
    </dataValidation>
    <dataValidation type="list" allowBlank="1" showErrorMessage="1" sqref="J286">
      <formula1>'4월'!$AB$286:$AI$286</formula1>
    </dataValidation>
    <dataValidation type="list" allowBlank="1" showErrorMessage="1" sqref="J84">
      <formula1>'4월'!$AB$84:$AI$84</formula1>
    </dataValidation>
    <dataValidation type="list" allowBlank="1" showErrorMessage="1" sqref="J187">
      <formula1>'4월'!$AB$187:$AI$187</formula1>
    </dataValidation>
    <dataValidation type="list" allowBlank="1" showErrorMessage="1" sqref="J137">
      <formula1>'4월'!$AB$137:$AI$137</formula1>
    </dataValidation>
    <dataValidation type="list" allowBlank="1" showErrorMessage="1" sqref="J230">
      <formula1>'4월'!$AB$230:$AI$230</formula1>
    </dataValidation>
    <dataValidation type="list" allowBlank="1" showErrorMessage="1" sqref="J85 J93">
      <formula1>'4월'!$AB$85:$AI$85</formula1>
    </dataValidation>
    <dataValidation type="list" allowBlank="1" showErrorMessage="1" sqref="J236">
      <formula1>'4월'!$AB$236:$AI$236</formula1>
    </dataValidation>
    <dataValidation type="list" allowBlank="1" showErrorMessage="1" sqref="J444">
      <formula1>'4월'!$AB$444:$AI$444</formula1>
    </dataValidation>
    <dataValidation type="list" allowBlank="1" showErrorMessage="1" sqref="J443">
      <formula1>'4월'!$AB$443:$AI$443</formula1>
    </dataValidation>
    <dataValidation type="list" allowBlank="1" showErrorMessage="1" sqref="J197">
      <formula1>'4월'!$AB$197:$AI$197</formula1>
    </dataValidation>
    <dataValidation type="list" allowBlank="1" showErrorMessage="1" sqref="J226">
      <formula1>'4월'!$AB$226:$AI$226</formula1>
    </dataValidation>
    <dataValidation type="list" allowBlank="1" showErrorMessage="1" sqref="J131">
      <formula1>'4월'!$AB$131:$AI$131</formula1>
    </dataValidation>
    <dataValidation type="list" allowBlank="1" showErrorMessage="1" sqref="J136">
      <formula1>'4월'!$AB$136:$AI$136</formula1>
    </dataValidation>
    <dataValidation type="list" allowBlank="1" showErrorMessage="1" sqref="J325">
      <formula1>'4월'!$AB$325:$AI$325</formula1>
    </dataValidation>
    <dataValidation type="list" allowBlank="1" showErrorMessage="1" sqref="J86">
      <formula1>'4월'!$AB$86:$AI$86</formula1>
    </dataValidation>
    <dataValidation type="list" allowBlank="1" showErrorMessage="1" sqref="J141">
      <formula1>'4월'!$AB$141:$AI$141</formula1>
    </dataValidation>
    <dataValidation type="list" allowBlank="1" showErrorMessage="1" sqref="J198">
      <formula1>'4월'!$AB$198:$AI$198</formula1>
    </dataValidation>
    <dataValidation type="list" allowBlank="1" showErrorMessage="1" sqref="J235">
      <formula1>'4월'!$AB$235:$AI$235</formula1>
    </dataValidation>
    <dataValidation type="list" allowBlank="1" showErrorMessage="1" sqref="J231">
      <formula1>'4월'!$AB$231:$AI$231</formula1>
    </dataValidation>
    <dataValidation type="list" allowBlank="1" showErrorMessage="1" sqref="J315">
      <formula1>'4월'!$AB$315:$AI$315</formula1>
    </dataValidation>
    <dataValidation type="list" allowBlank="1" showErrorMessage="1" sqref="J260">
      <formula1>'4월'!$AB$260:$AI$260</formula1>
    </dataValidation>
    <dataValidation type="list" allowBlank="1" showErrorMessage="1" sqref="J350">
      <formula1>'4월'!$AB$350:$AI$350</formula1>
    </dataValidation>
    <dataValidation type="list" allowBlank="1" showErrorMessage="1" sqref="J142">
      <formula1>'4월'!$AB$142:$AI$142</formula1>
    </dataValidation>
    <dataValidation type="list" allowBlank="1" showErrorMessage="1" sqref="J132:J133">
      <formula1>'4월'!$AB$132:$AI$132</formula1>
    </dataValidation>
    <dataValidation type="list" allowBlank="1" showErrorMessage="1" sqref="J72">
      <formula1>'4월'!$AB$72:$AI$72</formula1>
    </dataValidation>
    <dataValidation type="list" allowBlank="1" showErrorMessage="1" sqref="J414">
      <formula1>'4월'!$AB$414:$AI$414</formula1>
    </dataValidation>
    <dataValidation type="list" allowBlank="1" showErrorMessage="1" sqref="J225">
      <formula1>'4월'!$AB$225:$AI$225</formula1>
    </dataValidation>
    <dataValidation type="list" allowBlank="1" showErrorMessage="1" sqref="J499">
      <formula1>'4월'!$AB$499:$AI$499</formula1>
    </dataValidation>
    <dataValidation type="list" allowBlank="1" showErrorMessage="1" sqref="J107">
      <formula1>'4월'!$AB$107:$AI$107</formula1>
    </dataValidation>
    <dataValidation type="list" allowBlank="1" showErrorMessage="1" sqref="J171">
      <formula1>'4월'!$AB$171:$AI$171</formula1>
    </dataValidation>
    <dataValidation type="list" allowBlank="1" showErrorMessage="1" sqref="J360">
      <formula1>'4월'!$AB$360:$AI$360</formula1>
    </dataValidation>
    <dataValidation type="list" allowBlank="1" showErrorMessage="1" sqref="J324">
      <formula1>'4월'!$AB$324:$AI$324</formula1>
    </dataValidation>
    <dataValidation type="list" allowBlank="1" showErrorMessage="1" sqref="J404">
      <formula1>'4월'!$AB$404:$AI$404</formula1>
    </dataValidation>
    <dataValidation type="list" allowBlank="1" showErrorMessage="1" sqref="J106">
      <formula1>'4월'!$AB$106:$AI$106</formula1>
    </dataValidation>
    <dataValidation type="list" allowBlank="1" showErrorMessage="1" sqref="J70">
      <formula1>'4월'!$AB$70:$AI$70</formula1>
    </dataValidation>
    <dataValidation type="list" allowBlank="1" showErrorMessage="1" sqref="J314">
      <formula1>'4월'!$AB$314:$AI$314</formula1>
    </dataValidation>
    <dataValidation type="list" allowBlank="1" showErrorMessage="1" sqref="J261">
      <formula1>'4월'!$AB$261:$AI$261</formula1>
    </dataValidation>
    <dataValidation type="list" allowBlank="1" showErrorMessage="1" sqref="J270">
      <formula1>'4월'!$AB$270:$AI$270</formula1>
    </dataValidation>
    <dataValidation type="list" allowBlank="1" showErrorMessage="1" sqref="J413">
      <formula1>'4월'!$AB$413:$AI$413</formula1>
    </dataValidation>
    <dataValidation type="list" allowBlank="1" showErrorMessage="1" sqref="J186">
      <formula1>'4월'!$AB$186:$AI$186</formula1>
    </dataValidation>
    <dataValidation type="list" allowBlank="1" showErrorMessage="1" sqref="J361">
      <formula1>'4월'!$AB$361:$AI$361</formula1>
    </dataValidation>
    <dataValidation type="list" allowBlank="1" showErrorMessage="1" sqref="J455">
      <formula1>'4월'!$AB$455:$AI$455</formula1>
    </dataValidation>
    <dataValidation type="list" allowBlank="1" showErrorMessage="1" sqref="J417">
      <formula1>'4월'!$AB$417:$AI$417</formula1>
    </dataValidation>
    <dataValidation type="list" allowBlank="1" showErrorMessage="1" sqref="J313">
      <formula1>'4월'!$AB$313:$AI$313</formula1>
    </dataValidation>
    <dataValidation type="list" allowBlank="1" showErrorMessage="1" sqref="J493">
      <formula1>'4월'!$AB$493:$AI$493</formula1>
    </dataValidation>
    <dataValidation type="list" allowBlank="1" showErrorMessage="1" sqref="J366">
      <formula1>'4월'!$AB$366:$AI$366</formula1>
    </dataValidation>
    <dataValidation type="list" allowBlank="1" showErrorMessage="1" sqref="J130">
      <formula1>'4월'!$AB$130:$AI$130</formula1>
    </dataValidation>
    <dataValidation type="list" allowBlank="1" showErrorMessage="1" sqref="J272">
      <formula1>'4월'!$AB$272:$AI$272</formula1>
    </dataValidation>
    <dataValidation type="list" allowBlank="1" showErrorMessage="1" sqref="J181">
      <formula1>'4월'!$AB$181:$AI$181</formula1>
    </dataValidation>
    <dataValidation type="list" allowBlank="1" showErrorMessage="1" sqref="J237">
      <formula1>'4월'!$AB$237:$AI$237</formula1>
    </dataValidation>
    <dataValidation type="list" allowBlank="1" showErrorMessage="1" sqref="J369">
      <formula1>'4월'!$AB$369:$AI$369</formula1>
    </dataValidation>
    <dataValidation type="list" allowBlank="1" showErrorMessage="1" sqref="J234">
      <formula1>'4월'!$AB$234:$AI$234</formula1>
    </dataValidation>
    <dataValidation type="list" allowBlank="1" showErrorMessage="1" sqref="J310">
      <formula1>'4월'!$AB$310:$AI$310</formula1>
    </dataValidation>
    <dataValidation type="list" allowBlank="1" showErrorMessage="1" sqref="J402">
      <formula1>'4월'!$AB$402:$AI$402</formula1>
    </dataValidation>
    <dataValidation type="list" allowBlank="1" showErrorMessage="1" sqref="J277">
      <formula1>'4월'!$AB$277:$AI$277</formula1>
    </dataValidation>
    <dataValidation type="list" allowBlank="1" showErrorMessage="1" sqref="J326">
      <formula1>'4월'!$AB$326:$AI$326</formula1>
    </dataValidation>
    <dataValidation type="list" allowBlank="1" showErrorMessage="1" sqref="J452">
      <formula1>'4월'!$AB$452:$AI$452</formula1>
    </dataValidation>
    <dataValidation type="list" allowBlank="1" showErrorMessage="1" sqref="J495">
      <formula1>'4월'!$AB$495:$AI$495</formula1>
    </dataValidation>
    <dataValidation type="list" allowBlank="1" showErrorMessage="1" sqref="J145">
      <formula1>'4월'!$AB$145:$AI$145</formula1>
    </dataValidation>
    <dataValidation type="list" allowBlank="1" showErrorMessage="1" sqref="J108">
      <formula1>'4월'!$AB$108:$AI$108</formula1>
    </dataValidation>
    <dataValidation type="list" allowBlank="1" showErrorMessage="1" sqref="J458">
      <formula1>'4월'!$AB$458:$AI$458</formula1>
    </dataValidation>
    <dataValidation type="list" allowBlank="1" showErrorMessage="1" sqref="J363">
      <formula1>'4월'!$AB$363:$AI$363</formula1>
    </dataValidation>
    <dataValidation type="list" allowBlank="1" showErrorMessage="1" sqref="J183">
      <formula1>'4월'!$AB$183:$AI$183</formula1>
    </dataValidation>
    <dataValidation type="list" allowBlank="1" showErrorMessage="1" sqref="J188">
      <formula1>'4월'!$AB$188:$AI$188</formula1>
    </dataValidation>
    <dataValidation type="list" allowBlank="1" showErrorMessage="1" sqref="J221">
      <formula1>'4월'!$AB$221:$AI$221</formula1>
    </dataValidation>
    <dataValidation type="list" allowBlank="1" showErrorMessage="1" sqref="J490">
      <formula1>'4월'!$AB$490:$AI$490</formula1>
    </dataValidation>
    <dataValidation type="list" allowBlank="1" showErrorMessage="1" sqref="J419">
      <formula1>'4월'!$AB$419:$AI$419</formula1>
    </dataValidation>
    <dataValidation type="list" allowBlank="1" showErrorMessage="1" sqref="J491">
      <formula1>'4월'!$AB$491:$AI$491</formula1>
    </dataValidation>
    <dataValidation type="list" allowBlank="1" showErrorMessage="1" sqref="J453">
      <formula1>'4월'!$AB$453:$AI$453</formula1>
    </dataValidation>
    <dataValidation type="list" allowBlank="1" showErrorMessage="1" sqref="J457">
      <formula1>'4월'!$AB$457:$AI$457</formula1>
    </dataValidation>
    <dataValidation type="list" allowBlank="1" showErrorMessage="1" sqref="J146">
      <formula1>'4월'!$AB$146:$AI$146</formula1>
    </dataValidation>
    <dataValidation type="list" allowBlank="1" showErrorMessage="1" sqref="J367">
      <formula1>'4월'!$AB$367:$AI$367</formula1>
    </dataValidation>
    <dataValidation type="list" allowBlank="1" showErrorMessage="1" sqref="J329">
      <formula1>'4월'!$AB$329:$AI$329</formula1>
    </dataValidation>
    <dataValidation type="list" allowBlank="1" showErrorMessage="1" sqref="J239">
      <formula1>'4월'!$AB$239:$AI$239</formula1>
    </dataValidation>
    <dataValidation type="list" allowBlank="1" showErrorMessage="1" sqref="J400">
      <formula1>'4월'!$AB$400:$AI$400</formula1>
    </dataValidation>
    <dataValidation type="list" allowBlank="1" showErrorMessage="1" sqref="J454">
      <formula1>'4월'!$AB$454:$AI$454</formula1>
    </dataValidation>
    <dataValidation type="list" allowBlank="1" showErrorMessage="1" sqref="J184">
      <formula1>'4월'!$AB$184:$AI$184</formula1>
    </dataValidation>
    <dataValidation type="list" allowBlank="1" showErrorMessage="1" sqref="J274">
      <formula1>'4월'!$AB$274:$AI$274</formula1>
    </dataValidation>
    <dataValidation type="list" allowBlank="1" showErrorMessage="1" sqref="J364">
      <formula1>'4월'!$AB$364:$AI$364</formula1>
    </dataValidation>
    <dataValidation type="list" allowBlank="1" showErrorMessage="1" sqref="J418">
      <formula1>'4월'!$AB$418:$AI$418</formula1>
    </dataValidation>
    <dataValidation type="list" allowBlank="1" showErrorMessage="1" sqref="J149">
      <formula1>'4월'!$AB$149:$AI$149</formula1>
    </dataValidation>
    <dataValidation type="list" allowBlank="1" showErrorMessage="1" sqref="J185">
      <formula1>'4월'!$AB$185:$AI$185</formula1>
    </dataValidation>
    <dataValidation type="list" allowBlank="1" showErrorMessage="1" sqref="J456">
      <formula1>'4월'!$AB$456:$AI$456</formula1>
    </dataValidation>
    <dataValidation type="list" allowBlank="1" showErrorMessage="1" sqref="J492">
      <formula1>'4월'!$AB$492:$AI$492</formula1>
    </dataValidation>
    <dataValidation type="list" allowBlank="1" showErrorMessage="1" sqref="J365">
      <formula1>'4월'!$AB$365:$AI$365</formula1>
    </dataValidation>
    <dataValidation type="list" allowBlank="1" showErrorMessage="1" sqref="J275">
      <formula1>'4월'!$AB$275:$AI$275</formula1>
    </dataValidation>
    <dataValidation type="list" allowBlank="1" showErrorMessage="1" sqref="J148">
      <formula1>'4월'!$AB$148:$AI$148</formula1>
    </dataValidation>
    <dataValidation type="list" allowBlank="1" showErrorMessage="1" sqref="J238">
      <formula1>'4월'!$AB$238:$AI$238</formula1>
    </dataValidation>
    <dataValidation type="list" allowBlank="1" showErrorMessage="1" sqref="J328">
      <formula1>'4월'!$AB$328:$AI$328</formula1>
    </dataValidation>
    <dataValidation type="list" allowBlank="1" showErrorMessage="1" sqref="J119">
      <formula1>'4월'!$AB$119:$AI$119</formula1>
    </dataValidation>
    <dataValidation type="list" allowBlank="1" showErrorMessage="1" sqref="J134">
      <formula1>'4월'!$AB$134:$AI$134</formula1>
    </dataValidation>
    <dataValidation type="list" allowBlank="1" showErrorMessage="1" sqref="J337">
      <formula1>'4월'!$AB$337:$AI$337</formula1>
    </dataValidation>
    <dataValidation type="list" allowBlank="1" showErrorMessage="1" sqref="J243">
      <formula1>'4월'!$AB$243:$AI$243</formula1>
    </dataValidation>
    <dataValidation type="list" allowBlank="1" showErrorMessage="1" sqref="J228">
      <formula1>'4월'!$AB$228:$AI$228</formula1>
    </dataValidation>
    <dataValidation type="list" allowBlank="1" showErrorMessage="1" sqref="J352">
      <formula1>'4월'!$AB$352:$AI$352</formula1>
    </dataValidation>
    <dataValidation type="list" allowBlank="1" showErrorMessage="1" sqref="J317">
      <formula1>'4월'!$AB$317:$AI$317</formula1>
    </dataValidation>
    <dataValidation type="list" allowBlank="1" showErrorMessage="1" sqref="J461">
      <formula1>'4월'!$AB$461:$AI$461</formula1>
    </dataValidation>
    <dataValidation type="list" allowBlank="1" showErrorMessage="1" sqref="J114">
      <formula1>'4월'!$AB$114:$AI$114</formula1>
    </dataValidation>
    <dataValidation type="list" allowBlank="1" showErrorMessage="1" sqref="J426">
      <formula1>'4월'!$AB$426:$AI$426</formula1>
    </dataValidation>
    <dataValidation type="list" allowBlank="1" showErrorMessage="1" sqref="J279">
      <formula1>'4월'!$AB$279:$AI$279</formula1>
    </dataValidation>
    <dataValidation type="list" allowBlank="1" showErrorMessage="1" sqref="J154">
      <formula1>'4월'!$AB$154:$AI$154</formula1>
    </dataValidation>
    <dataValidation type="list" allowBlank="1" showErrorMessage="1" sqref="J263">
      <formula1>'4월'!$AB$263:$AI$263</formula1>
    </dataValidation>
    <dataValidation type="list" allowBlank="1" showErrorMessage="1" sqref="J312">
      <formula1>'4월'!$AB$312:$AI$312</formula1>
    </dataValidation>
    <dataValidation type="list" allowBlank="1" showErrorMessage="1" sqref="J208">
      <formula1>'4월'!$AB$208:$AI$208</formula1>
    </dataValidation>
    <dataValidation type="list" allowBlank="1" showErrorMessage="1" sqref="J203">
      <formula1>'4월'!$AB$203:$AI$203</formula1>
    </dataValidation>
    <dataValidation type="list" allowBlank="1" showErrorMessage="1" sqref="J477">
      <formula1>'4월'!$AB$477:$AI$477</formula1>
    </dataValidation>
    <dataValidation type="list" allowBlank="1" showErrorMessage="1" sqref="J91">
      <formula1>'4월'!$AB$91:$AI$91</formula1>
    </dataValidation>
    <dataValidation type="list" allowBlank="1" showErrorMessage="1" sqref="J410">
      <formula1>'4월'!$AB$410:$AI$410</formula1>
    </dataValidation>
    <dataValidation type="list" allowBlank="1" showErrorMessage="1" sqref="J368">
      <formula1>'4월'!$AB$368:$AI$368</formula1>
    </dataValidation>
    <dataValidation type="list" allowBlank="1" showErrorMessage="1" sqref="J481">
      <formula1>'4월'!$AB$481:$AI$481</formula1>
    </dataValidation>
    <dataValidation type="list" allowBlank="1" showErrorMessage="1" sqref="J372">
      <formula1>'4월'!$AB$372:$AI$372</formula1>
    </dataValidation>
    <dataValidation type="list" allowBlank="1" showErrorMessage="1" sqref="J406">
      <formula1>'4월'!$AB$406:$AI$406</formula1>
    </dataValidation>
    <dataValidation type="list" allowBlank="1" showErrorMessage="1" sqref="J259">
      <formula1>'4월'!$AB$259:$AI$259</formula1>
    </dataValidation>
    <dataValidation type="list" allowBlank="1" showErrorMessage="1" sqref="J377">
      <formula1>'4월'!$AB$377:$AI$377</formula1>
    </dataValidation>
    <dataValidation type="list" allowBlank="1" showErrorMessage="1" sqref="J401">
      <formula1>'4월'!$AB$401:$AI$401</formula1>
    </dataValidation>
    <dataValidation type="list" allowBlank="1" showErrorMessage="1" sqref="J486">
      <formula1>'4월'!$AB$486:$AI$486</formula1>
    </dataValidation>
    <dataValidation type="list" allowBlank="1" showErrorMessage="1" sqref="J306">
      <formula1>'4월'!$AB$306:$AI$306</formula1>
    </dataValidation>
    <dataValidation type="list" allowBlank="1" showErrorMessage="1" sqref="J62">
      <formula1>'4월'!$AB$62:$AI$62</formula1>
    </dataValidation>
    <dataValidation type="list" allowBlank="1" showErrorMessage="1" sqref="J212">
      <formula1>'4월'!$AB$212:$AI$212</formula1>
    </dataValidation>
    <dataValidation type="list" allowBlank="1" showErrorMessage="1" sqref="J415">
      <formula1>'4월'!$AB$415:$AI$415</formula1>
    </dataValidation>
    <dataValidation type="list" allowBlank="1" showErrorMessage="1" sqref="J179">
      <formula1>'4월'!$AB$179:$AI$179</formula1>
    </dataValidation>
    <dataValidation type="list" allowBlank="1" showErrorMessage="1" sqref="J321">
      <formula1>'4월'!$AB$321:$AI$321</formula1>
    </dataValidation>
    <dataValidation type="list" allowBlank="1" showErrorMessage="1" sqref="J288">
      <formula1>'4월'!$AB$288:$AI$288</formula1>
    </dataValidation>
    <dataValidation type="list" allowBlank="1" showErrorMessage="1" sqref="J430">
      <formula1>'4월'!$AB$430:$AI$430</formula1>
    </dataValidation>
    <dataValidation type="list" allowBlank="1" showErrorMessage="1" sqref="J160">
      <formula1>'4월'!$AB$160:$AI$160</formula1>
    </dataValidation>
    <dataValidation type="list" allowBlank="1" showErrorMessage="1" sqref="J123 J128:J129">
      <formula1>'4월'!$AB$123:$AI$123</formula1>
    </dataValidation>
    <dataValidation type="list" allowBlank="1" showErrorMessage="1" sqref="J397">
      <formula1>'4월'!$AB$397:$AI$397</formula1>
    </dataValidation>
    <dataValidation type="list" allowBlank="1" showErrorMessage="1" sqref="J421">
      <formula1>'4월'!$AB$421:$AI$421</formula1>
    </dataValidation>
    <dataValidation type="list" allowBlank="1" showErrorMessage="1" sqref="J88">
      <formula1>'4월'!$AB$88:$AI$88</formula1>
    </dataValidation>
    <dataValidation type="list" allowBlank="1" showErrorMessage="1" sqref="J232">
      <formula1>'4월'!$AB$232:$AI$232</formula1>
    </dataValidation>
    <dataValidation type="list" allowBlank="1" showErrorMessage="1" sqref="J388">
      <formula1>'4월'!$AB$388:$AI$388</formula1>
    </dataValidation>
    <dataValidation type="list" allowBlank="1" showErrorMessage="1" sqref="J64">
      <formula1>'4월'!$AB$64:$AI$64</formula1>
    </dataValidation>
    <dataValidation type="list" allowBlank="1" showErrorMessage="1" sqref="J199">
      <formula1>'4월'!$AB$199:$AI$199</formula1>
    </dataValidation>
    <dataValidation type="list" allowBlank="1" showErrorMessage="1" sqref="J341">
      <formula1>'4월'!$AB$341:$AI$341</formula1>
    </dataValidation>
    <dataValidation type="list" allowBlank="1" showErrorMessage="1" sqref="J223">
      <formula1>'4월'!$AB$223:$AI$223</formula1>
    </dataValidation>
    <dataValidation type="list" allowBlank="1" showErrorMessage="1" sqref="J497">
      <formula1>'4월'!$AB$497:$AI$497</formula1>
    </dataValidation>
    <dataValidation type="list" allowBlank="1" showErrorMessage="1" sqref="J180">
      <formula1>'4월'!$AB$180:$AI$180</formula1>
    </dataValidation>
    <dataValidation type="list" allowBlank="1" showErrorMessage="1" sqref="J332">
      <formula1>'4월'!$AB$332:$AI$332</formula1>
    </dataValidation>
    <dataValidation type="list" allowBlank="1" showErrorMessage="1" sqref="J441">
      <formula1>'4월'!$AB$441:$AI$441</formula1>
    </dataValidation>
    <dataValidation type="list" allowBlank="1" showErrorMessage="1" sqref="J450">
      <formula1>'4월'!$AB$450:$AI$450</formula1>
    </dataValidation>
    <dataValidation type="list" allowBlank="1" showErrorMessage="1" sqref="J323">
      <formula1>'4월'!$AB$323:$AI$323</formula1>
    </dataValidation>
    <dataValidation type="list" allowBlank="1" showErrorMessage="1" sqref="J143">
      <formula1>'4월'!$AB$143:$AI$143</formula1>
    </dataValidation>
    <dataValidation type="list" allowBlank="1" showErrorMessage="1" sqref="J299">
      <formula1>'4월'!$AB$299:$AI$299</formula1>
    </dataValidation>
    <dataValidation type="list" allowBlank="1" showErrorMessage="1" sqref="J214">
      <formula1>'4월'!$AB$214:$AI$214</formula1>
    </dataValidation>
    <dataValidation type="list" allowBlank="1" showErrorMessage="1" sqref="J120">
      <formula1>'4월'!$AB$120:$AI$120</formula1>
    </dataValidation>
    <dataValidation type="list" allowBlank="1" showErrorMessage="1" sqref="J394">
      <formula1>'4월'!$AB$394:$AI$394</formula1>
    </dataValidation>
    <dataValidation type="list" allowBlank="1" showErrorMessage="1" sqref="J74">
      <formula1>'4월'!$AB$74:$AI$74</formula1>
    </dataValidation>
    <dataValidation type="list" allowBlank="1" showErrorMessage="1" sqref="J488">
      <formula1>'4월'!$AB$488:$AI$488</formula1>
    </dataValidation>
    <dataValidation type="list" allowBlank="1" showErrorMessage="1" sqref="J285">
      <formula1>'4월'!$AB$285:$AI$285</formula1>
    </dataValidation>
    <dataValidation type="list" allowBlank="1" showErrorMessage="1" sqref="J105">
      <formula1>'4월'!$AB$105:$AI$105</formula1>
    </dataValidation>
    <dataValidation type="list" allowBlank="1" showErrorMessage="1" sqref="J379">
      <formula1>'4월'!$AB$379:$AI$379</formula1>
    </dataValidation>
    <dataValidation type="list" allowBlank="1" showErrorMessage="1" sqref="J412">
      <formula1>'4월'!$AB$412:$AI$412</formula1>
    </dataValidation>
    <dataValidation type="list" allowBlank="1" showErrorMessage="1" sqref="J66">
      <formula1>'4월'!$AB$66:$AI$66</formula1>
    </dataValidation>
    <dataValidation type="list" allowBlank="1" showErrorMessage="1" sqref="J191">
      <formula1>'4월'!$AB$191:$AI$191</formula1>
    </dataValidation>
    <dataValidation type="list" allowBlank="1" showErrorMessage="1" sqref="J196">
      <formula1>'4월'!$AB$196:$AI$196</formula1>
    </dataValidation>
    <dataValidation type="list" allowBlank="1" showErrorMessage="1" sqref="J303">
      <formula1>'4월'!$AB$303:$AI$303</formula1>
    </dataValidation>
    <dataValidation type="list" allowBlank="1" showErrorMessage="1" sqref="J468">
      <formula1>'4월'!$AB$468:$AI$468</formula1>
    </dataValidation>
    <dataValidation type="list" allowBlank="1" showErrorMessage="1" sqref="J140">
      <formula1>'4월'!$AB$140:$AI$140</formula1>
    </dataValidation>
    <dataValidation type="list" allowBlank="1" showErrorMessage="1" sqref="J359">
      <formula1>'4월'!$AB$359:$AI$359</formula1>
    </dataValidation>
    <dataValidation type="list" allowBlank="1" showErrorMessage="1" sqref="J103">
      <formula1>'4월'!$AB$103:$AI$103</formula1>
    </dataValidation>
    <dataValidation type="list" allowBlank="1" showErrorMessage="1" sqref="J83">
      <formula1>'4월'!$AB$83:$AI$83</formula1>
    </dataValidation>
    <dataValidation type="list" allowBlank="1" showErrorMessage="1" sqref="J339">
      <formula1>'4월'!$AB$339:$AI$339</formula1>
    </dataValidation>
    <dataValidation type="list" allowBlank="1" showErrorMessage="1" sqref="J245">
      <formula1>'4월'!$AB$245:$AI$245</formula1>
    </dataValidation>
    <dataValidation type="list" allowBlank="1" showErrorMessage="1" sqref="J283">
      <formula1>'4월'!$AB$283:$AI$283</formula1>
    </dataValidation>
    <dataValidation type="list" allowBlank="1" showErrorMessage="1" sqref="J174">
      <formula1>'4월'!$AB$174:$AI$174</formula1>
    </dataValidation>
    <dataValidation type="list" allowBlank="1" showErrorMessage="1" sqref="J354">
      <formula1>'4월'!$AB$354:$AI$354</formula1>
    </dataValidation>
    <dataValidation type="list" allowBlank="1" showErrorMessage="1" sqref="J448">
      <formula1>'4월'!$AB$448:$AI$448</formula1>
    </dataValidation>
    <dataValidation type="list" allowBlank="1" showErrorMessage="1" sqref="J268">
      <formula1>'4월'!$AB$268:$AI$268</formula1>
    </dataValidation>
    <dataValidation type="list" allowBlank="1" showErrorMessage="1" sqref="J429">
      <formula1>'4월'!$AB$429:$AI$429</formula1>
    </dataValidation>
    <dataValidation type="list" allowBlank="1" showErrorMessage="1" sqref="J159">
      <formula1>'4월'!$AB$159:$AI$159</formula1>
    </dataValidation>
    <dataValidation type="list" allowBlank="1" showErrorMessage="1" sqref="J301">
      <formula1>'4월'!$AB$301:$AI$301</formula1>
    </dataValidation>
    <dataValidation type="list" allowBlank="1" showErrorMessage="1" sqref="J78">
      <formula1>'4월'!$AB$78:$AI$78</formula1>
    </dataValidation>
    <dataValidation type="list" allowBlank="1" showErrorMessage="1" sqref="J463">
      <formula1>'4월'!$AB$463:$AI$463</formula1>
    </dataValidation>
    <dataValidation type="list" allowBlank="1" showErrorMessage="1" sqref="J156">
      <formula1>'4월'!$AB$156:$AI$156</formula1>
    </dataValidation>
    <dataValidation type="list" allowBlank="1" showErrorMessage="1" sqref="J466">
      <formula1>'4월'!$AB$466:$AI$466</formula1>
    </dataValidation>
    <dataValidation type="list" allowBlank="1" showErrorMessage="1" sqref="J392">
      <formula1>'4월'!$AB$392:$AI$392</formula1>
    </dataValidation>
    <dataValidation type="list" allowBlank="1" showErrorMessage="1" sqref="J357">
      <formula1>'4월'!$AB$357:$AI$357</formula1>
    </dataValidation>
    <dataValidation type="list" allowBlank="1" showErrorMessage="1" sqref="J81">
      <formula1>'4월'!$AB$81:$AI$81</formula1>
    </dataValidation>
    <dataValidation type="list" allowBlank="1" showErrorMessage="1" sqref="J355">
      <formula1>'4월'!$AB$355:$AI$355</formula1>
    </dataValidation>
    <dataValidation type="list" allowBlank="1" showErrorMessage="1" sqref="J265">
      <formula1>'4월'!$AB$265:$AI$265</formula1>
    </dataValidation>
    <dataValidation type="list" allowBlank="1" showErrorMessage="1" sqref="J100">
      <formula1>'4월'!$AB$100:$AI$100</formula1>
    </dataValidation>
    <dataValidation type="list" allowBlank="1" showErrorMessage="1" sqref="J319">
      <formula1>'4월'!$AB$319:$AI$319</formula1>
    </dataValidation>
    <dataValidation type="list" allowBlank="1" showErrorMessage="1" sqref="J428">
      <formula1>'4월'!$AB$428:$AI$428</formula1>
    </dataValidation>
    <dataValidation type="list" allowBlank="1" showErrorMessage="1" sqref="J248">
      <formula1>'4월'!$AB$248:$AI$248</formula1>
    </dataValidation>
    <dataValidation type="list" allowBlank="1" showErrorMessage="1" sqref="J374">
      <formula1>'4월'!$AB$374:$AI$374</formula1>
    </dataValidation>
    <dataValidation type="list" allowBlank="1" showErrorMessage="1" sqref="J464">
      <formula1>'4월'!$AB$464:$AI$464</formula1>
    </dataValidation>
    <dataValidation type="list" allowBlank="1" showErrorMessage="1" sqref="J194">
      <formula1>'4월'!$AB$194:$AI$194</formula1>
    </dataValidation>
    <dataValidation type="list" allowBlank="1" showErrorMessage="1" sqref="J408">
      <formula1>'4월'!$AB$408:$AI$408</formula1>
    </dataValidation>
    <dataValidation type="list" allowBlank="1" showErrorMessage="1" sqref="J76">
      <formula1>'4월'!$AB$76:$AI$76</formula1>
    </dataValidation>
    <dataValidation type="list" allowBlank="1" showErrorMessage="1" sqref="J409">
      <formula1>'4월'!$AB$409:$AI$409</formula1>
    </dataValidation>
    <dataValidation type="list" allowBlank="1" showErrorMessage="1" sqref="J139">
      <formula1>'4월'!$AB$139:$AI$139</formula1>
    </dataValidation>
    <dataValidation type="list" allowBlank="1" showErrorMessage="1" sqref="J157">
      <formula1>'4월'!$AB$157:$AI$157</formula1>
    </dataValidation>
    <dataValidation type="list" allowBlank="1" showErrorMessage="1" sqref="J483">
      <formula1>'4월'!$AB$483:$AI$483</formula1>
    </dataValidation>
    <dataValidation type="list" allowBlank="1" showErrorMessage="1" sqref="J266">
      <formula1>'4월'!$AB$266:$AI$266</formula1>
    </dataValidation>
    <dataValidation type="list" allowBlank="1" showErrorMessage="1" sqref="J446">
      <formula1>'4월'!$AB$446:$AI$446</formula1>
    </dataValidation>
    <dataValidation type="list" allowBlank="1" showErrorMessage="1" sqref="J176">
      <formula1>'4월'!$AB$176:$AI$176</formula1>
    </dataValidation>
    <dataValidation type="list" allowBlank="1" showErrorMessage="1" sqref="J281">
      <formula1>'4월'!$AB$281:$AI$281</formula1>
    </dataValidation>
    <dataValidation type="list" allowBlank="1" showErrorMessage="1" sqref="J167">
      <formula1>'4월'!$AB$167:$AI$167</formula1>
    </dataValidation>
    <dataValidation type="list" allowBlank="1" showErrorMessage="1" sqref="J69">
      <formula1>'4월'!$AB$69:$AI$69</formula1>
    </dataValidation>
    <dataValidation type="list" allowBlank="1" showErrorMessage="1" sqref="J210">
      <formula1>'4월'!$AB$210:$AI$210</formula1>
    </dataValidation>
    <dataValidation type="list" allowBlank="1" showErrorMessage="1" sqref="J484">
      <formula1>'4월'!$AB$484:$AI$484</formula1>
    </dataValidation>
    <dataValidation type="list" allowBlank="1" showErrorMessage="1" sqref="J177">
      <formula1>'4월'!$AB$177:$AI$177</formula1>
    </dataValidation>
    <dataValidation type="list" allowBlank="1" showErrorMessage="1" sqref="J111">
      <formula1>'4월'!$AB$111:$AI$111</formula1>
    </dataValidation>
    <dataValidation type="list" allowBlank="1" showErrorMessage="1" sqref="J385">
      <formula1>'4월'!$AB$385:$AI$385</formula1>
    </dataValidation>
    <dataValidation type="list" allowBlank="1" showErrorMessage="1" sqref="J380">
      <formula1>'4월'!$AB$380:$AI$380</formula1>
    </dataValidation>
    <dataValidation type="list" allowBlank="1" showErrorMessage="1" sqref="J246">
      <formula1>'4월'!$AB$246:$AI$246</formula1>
    </dataValidation>
    <dataValidation type="list" allowBlank="1" showErrorMessage="1" sqref="J121">
      <formula1>'4월'!$AB$121:$AI$121</formula1>
    </dataValidation>
    <dataValidation type="list" allowBlank="1" showErrorMessage="1" sqref="J296">
      <formula1>'4월'!$AB$296:$AI$296</formula1>
    </dataValidation>
    <dataValidation type="list" allowBlank="1" showErrorMessage="1" sqref="L62:L499">
      <formula1>'설정시트'!$D$23:$N$23</formula1>
    </dataValidation>
    <dataValidation type="list" allowBlank="1" showErrorMessage="1" sqref="J345">
      <formula1>'4월'!$AB$345:$AI$345</formula1>
    </dataValidation>
    <dataValidation type="list" allowBlank="1" showErrorMessage="1" sqref="J395">
      <formula1>'4월'!$AB$395:$AI$395</formula1>
    </dataValidation>
    <dataValidation type="list" allowBlank="1" showErrorMessage="1" sqref="J449">
      <formula1>'4월'!$AB$449:$AI$449</formula1>
    </dataValidation>
    <dataValidation type="list" allowBlank="1" showErrorMessage="1" sqref="J97">
      <formula1>'4월'!$AB$97:$AI$97</formula1>
    </dataValidation>
    <dataValidation type="list" allowBlank="1" showErrorMessage="1" sqref="J240">
      <formula1>'4월'!$AB$240:$AI$240</formula1>
    </dataValidation>
    <dataValidation type="list" allowBlank="1" showErrorMessage="1" sqref="J291">
      <formula1>'4월'!$AB$291:$AI$291</formula1>
    </dataValidation>
    <dataValidation type="list" allowBlank="1" showErrorMessage="1" sqref="J127">
      <formula1>'4월'!$AB$127:$AI$127</formula1>
    </dataValidation>
    <dataValidation type="list" allowBlank="1" showErrorMessage="1" sqref="J335">
      <formula1>'4월'!$AB$335:$AI$335</formula1>
    </dataValidation>
    <dataValidation type="list" allowBlank="1" showErrorMessage="1" sqref="J98">
      <formula1>'4월'!$AB$98:$AI$98</formula1>
    </dataValidation>
    <dataValidation type="list" allowBlank="1" showErrorMessage="1" sqref="J192">
      <formula1>'4월'!$AB$192:$AI$192</formula1>
    </dataValidation>
    <dataValidation type="list" allowBlank="1" showErrorMessage="1" sqref="J439">
      <formula1>'4월'!$AB$439:$AI$439</formula1>
    </dataValidation>
    <dataValidation type="list" allowBlank="1" showErrorMessage="1" sqref="J434">
      <formula1>'4월'!$AB$434:$AI$434</formula1>
    </dataValidation>
    <dataValidation type="list" allowBlank="1" showErrorMessage="1" sqref="J344">
      <formula1>'4월'!$AB$344:$AI$344</formula1>
    </dataValidation>
    <dataValidation type="list" allowBlank="1" showErrorMessage="1" sqref="J68">
      <formula1>'4월'!$AB$68:$AI$68</formula1>
    </dataValidation>
    <dataValidation type="list" allowBlank="1" showErrorMessage="1" sqref="J297">
      <formula1>'4월'!$AB$297:$AI$297</formula1>
    </dataValidation>
    <dataValidation type="list" allowBlank="1" showErrorMessage="1" sqref="J117">
      <formula1>'4월'!$AB$117:$AI$117</formula1>
    </dataValidation>
    <dataValidation type="list" allowBlank="1" showErrorMessage="1" sqref="J122">
      <formula1>'4월'!$AB$122:$AI$122</formula1>
    </dataValidation>
    <dataValidation type="list" allowBlank="1" showErrorMessage="1" sqref="J250">
      <formula1>'4월'!$AB$250:$AI$250</formula1>
    </dataValidation>
    <dataValidation type="list" allowBlank="1" showErrorMessage="1" sqref="J340">
      <formula1>'4월'!$AB$340:$AI$340</formula1>
    </dataValidation>
    <dataValidation type="list" allowBlank="1" showErrorMessage="1" sqref="J330">
      <formula1>'4월'!$AB$330:$AI$330</formula1>
    </dataValidation>
    <dataValidation type="list" allowBlank="1" showErrorMessage="1" sqref="J424">
      <formula1>'4월'!$AB$424:$AI$424</formula1>
    </dataValidation>
    <dataValidation type="list" allowBlank="1" showErrorMessage="1" sqref="J216">
      <formula1>'4월'!$AB$216:$AI$216</formula1>
    </dataValidation>
    <dataValidation type="list" allowBlank="1" showErrorMessage="1" sqref="J96">
      <formula1>'4월'!$AB$96:$AI$96</formula1>
    </dataValidation>
    <dataValidation type="list" allowBlank="1" showErrorMessage="1" sqref="J334">
      <formula1>'4월'!$AB$334:$AI$334</formula1>
    </dataValidation>
    <dataValidation type="list" allowBlank="1" showErrorMessage="1" sqref="J126">
      <formula1>'4월'!$AB$126:$AI$126</formula1>
    </dataValidation>
    <dataValidation type="list" allowBlank="1" showErrorMessage="1" sqref="J206">
      <formula1>'4월'!$AB$206:$AI$206</formula1>
    </dataValidation>
    <dataValidation type="list" allowBlank="1" showErrorMessage="1" sqref="J433">
      <formula1>'4월'!$AB$433:$AI$433</formula1>
    </dataValidation>
    <dataValidation type="list" allowBlank="1" showErrorMessage="1" sqref="J241">
      <formula1>'4월'!$AB$241:$AI$241</formula1>
    </dataValidation>
    <dataValidation type="list" allowBlank="1" showErrorMessage="1" sqref="J151">
      <formula1>'4월'!$AB$151:$AI$151</formula1>
    </dataValidation>
    <dataValidation type="list" allowBlank="1" showErrorMessage="1" sqref="J116">
      <formula1>'4월'!$AB$116:$AI$116</formula1>
    </dataValidation>
    <dataValidation type="list" allowBlank="1" showErrorMessage="1" sqref="J152">
      <formula1>'4월'!$AB$152:$AI$152</formula1>
    </dataValidation>
    <dataValidation type="list" allowBlank="1" showErrorMessage="1" sqref="J489">
      <formula1>'4월'!$AB$489:$AI$489</formula1>
    </dataValidation>
    <dataValidation type="list" allowBlank="1" showErrorMessage="1" sqref="J280">
      <formula1>'4월'!$AB$280:$AI$280</formula1>
    </dataValidation>
    <dataValidation type="list" allowBlank="1" showErrorMessage="1" sqref="J423">
      <formula1>'4월'!$AB$423:$AI$423</formula1>
    </dataValidation>
    <dataValidation type="list" allowBlank="1" showErrorMessage="1" sqref="J215">
      <formula1>'4월'!$AB$215:$AI$215</formula1>
    </dataValidation>
    <dataValidation type="list" allowBlank="1" showErrorMessage="1" sqref="J305">
      <formula1>'4월'!$AB$305:$AI$305</formula1>
    </dataValidation>
    <dataValidation type="list" allowBlank="1" showErrorMessage="1" sqref="J161">
      <formula1>'4월'!$AB$161:$AI$161</formula1>
    </dataValidation>
    <dataValidation type="list" allowBlank="1" showErrorMessage="1" sqref="J251">
      <formula1>'4월'!$AB$251:$AI$251</formula1>
    </dataValidation>
    <dataValidation type="list" allowBlank="1" showErrorMessage="1" sqref="J162">
      <formula1>'4월'!$AB$162:$AI$162</formula1>
    </dataValidation>
    <dataValidation type="list" allowBlank="1" showErrorMessage="1" sqref="J205">
      <formula1>'4월'!$AB$205:$AI$205</formula1>
    </dataValidation>
    <dataValidation type="list" allowBlank="1" showErrorMessage="1" sqref="J370">
      <formula1>'4월'!$AB$370:$AI$370</formula1>
    </dataValidation>
    <dataValidation type="list" allowBlank="1" showErrorMessage="1" sqref="J304">
      <formula1>'4월'!$AB$304:$AI$304</formula1>
    </dataValidation>
    <dataValidation type="list" allowBlank="1" showErrorMessage="1" sqref="J479">
      <formula1>'4월'!$AB$479:$AI$479</formula1>
    </dataValidation>
    <dataValidation type="list" allowBlank="1" showErrorMessage="1" sqref="J422">
      <formula1>'4월'!$AB$422:$AI$422</formula1>
    </dataValidation>
    <dataValidation type="list" allowBlank="1" showErrorMessage="1" sqref="J252">
      <formula1>'4월'!$AB$252:$AI$252</formula1>
    </dataValidation>
    <dataValidation type="list" allowBlank="1" showErrorMessage="1" sqref="J432">
      <formula1>'4월'!$AB$432:$AI$432</formula1>
    </dataValidation>
    <dataValidation type="list" allowBlank="1" showErrorMessage="1" sqref="J346">
      <formula1>'4월'!$AB$346:$AI$346</formula1>
    </dataValidation>
    <dataValidation type="list" allowBlank="1" showErrorMessage="1" sqref="J399">
      <formula1>'4월'!$AB$399:$AI$399</formula1>
    </dataValidation>
    <dataValidation type="list" allowBlank="1" showErrorMessage="1" sqref="J290">
      <formula1>'4월'!$AB$290:$AI$290</formula1>
    </dataValidation>
    <dataValidation type="list" allowBlank="1" showErrorMessage="1" sqref="J163">
      <formula1>'4월'!$AB$163:$AI$163</formula1>
    </dataValidation>
    <dataValidation type="list" allowBlank="1" showErrorMessage="1" sqref="J204">
      <formula1>'4월'!$AB$204:$AI$204</formula1>
    </dataValidation>
    <dataValidation type="list" allowBlank="1" showErrorMessage="1" sqref="J478">
      <formula1>'4월'!$AB$478:$AI$478</formula1>
    </dataValidation>
    <dataValidation type="list" allowBlank="1" showErrorMessage="1" sqref="J201">
      <formula1>'4월'!$AB$201:$AI$201</formula1>
    </dataValidation>
    <dataValidation type="list" allowBlank="1" showErrorMessage="1" sqref="J295">
      <formula1>'4월'!$AB$295:$AI$295</formula1>
    </dataValidation>
    <dataValidation type="list" allowBlank="1" showErrorMessage="1" sqref="J475">
      <formula1>'4월'!$AB$475:$AI$475</formula1>
    </dataValidation>
    <dataValidation type="list" allowBlank="1" showErrorMessage="1" sqref="J308">
      <formula1>'4월'!$AB$308:$AI$308</formula1>
    </dataValidation>
    <dataValidation type="list" allowBlank="1" showErrorMessage="1" sqref="J470">
      <formula1>'4월'!$AB$470:$AI$470</formula1>
    </dataValidation>
    <dataValidation type="list" allowBlank="1" showErrorMessage="1" sqref="J168">
      <formula1>'4월'!$AB$168:$AI$168</formula1>
    </dataValidation>
    <dataValidation type="list" allowBlank="1" showErrorMessage="1" sqref="J343">
      <formula1>'4월'!$AB$343:$AI$343</formula1>
    </dataValidation>
    <dataValidation type="list" allowBlank="1" showErrorMessage="1" sqref="J435">
      <formula1>'4월'!$AB$435:$AI$435</formula1>
    </dataValidation>
    <dataValidation type="list" allowBlank="1" showErrorMessage="1" sqref="J381">
      <formula1>'4월'!$AB$381:$AI$381</formula1>
    </dataValidation>
    <dataValidation type="list" allowBlank="1" showErrorMessage="1" sqref="J386">
      <formula1>'4월'!$AB$386:$AI$386</formula1>
    </dataValidation>
    <dataValidation type="list" allowBlank="1" showErrorMessage="1" sqref="J292">
      <formula1>'4월'!$AB$292:$AI$292</formula1>
    </dataValidation>
    <dataValidation type="list" allowBlank="1" showErrorMessage="1" sqref="J112">
      <formula1>'4월'!$AB$112:$AI$112</formula1>
    </dataValidation>
    <dataValidation type="list" allowBlank="1" showErrorMessage="1" sqref="J349">
      <formula1>'4월'!$AB$349:$AI$349</formula1>
    </dataValidation>
    <dataValidation type="list" allowBlank="1" showErrorMessage="1" sqref="J150">
      <formula1>'4월'!$AB$150:$AI$150</formula1>
    </dataValidation>
    <dataValidation type="list" allowBlank="1" showErrorMessage="1" sqref="J217">
      <formula1>'4월'!$AB$217:$AI$217</formula1>
    </dataValidation>
    <dataValidation type="list" allowBlank="1" showErrorMessage="1" sqref="J254">
      <formula1>'4월'!$AB$254:$AI$254</formula1>
    </dataValidation>
    <dataValidation type="list" allowBlank="1" showErrorMessage="1" sqref="J169">
      <formula1>'4월'!$AB$169:$AI$169</formula1>
    </dataValidation>
    <dataValidation type="list" allowBlank="1" showErrorMessage="1" sqref="J165">
      <formula1>'4월'!$AB$165:$AI$165</formula1>
    </dataValidation>
    <dataValidation type="list" allowBlank="1" showErrorMessage="1" sqref="J202">
      <formula1>'4월'!$AB$202:$AI$202</formula1>
    </dataValidation>
    <dataValidation type="list" allowBlank="1" showErrorMessage="1" sqref="J382">
      <formula1>'4월'!$AB$382:$AI$382</formula1>
    </dataValidation>
    <dataValidation type="list" allowBlank="1" showErrorMessage="1" sqref="J472">
      <formula1>'4월'!$AB$472:$AI$472</formula1>
    </dataValidation>
    <dataValidation type="list" allowBlank="1" showErrorMessage="1" sqref="J255">
      <formula1>'4월'!$AB$255:$AI$255</formula1>
    </dataValidation>
    <dataValidation type="list" allowBlank="1" showErrorMessage="1" sqref="J348">
      <formula1>'4월'!$AB$348:$AI$348</formula1>
    </dataValidation>
    <dataValidation type="list" allowBlank="1" showErrorMessage="1" sqref="J99">
      <formula1>'4월'!$AB$99:$AI$99</formula1>
    </dataValidation>
    <dataValidation type="list" allowBlank="1" showErrorMessage="1" sqref="J293">
      <formula1>'4월'!$AB$293:$AI$293</formula1>
    </dataValidation>
    <dataValidation type="list" allowBlank="1" showErrorMessage="1" sqref="J383">
      <formula1>'4월'!$AB$383:$AI$383</formula1>
    </dataValidation>
    <dataValidation type="list" allowBlank="1" showErrorMessage="1" sqref="J258">
      <formula1>'4월'!$AB$258:$AI$258</formula1>
    </dataValidation>
    <dataValidation type="list" allowBlank="1" showErrorMessage="1" sqref="J438">
      <formula1>'4월'!$AB$438:$AI$438</formula1>
    </dataValidation>
    <dataValidation type="list" allowBlank="1" showErrorMessage="1" sqref="J437">
      <formula1>'4월'!$AB$437:$AI$437</formula1>
    </dataValidation>
    <dataValidation type="list" allowBlank="1" showErrorMessage="1" sqref="J473">
      <formula1>'4월'!$AB$473:$AI$473</formula1>
    </dataValidation>
    <dataValidation type="list" allowBlank="1" showErrorMessage="1" sqref="J309">
      <formula1>'4월'!$AB$309:$AI$309</formula1>
    </dataValidation>
    <dataValidation type="list" allowBlank="1" showErrorMessage="1" sqref="J256">
      <formula1>'4월'!$AB$256:$AI$256</formula1>
    </dataValidation>
    <dataValidation type="list" allowBlank="1" showErrorMessage="1" sqref="J166">
      <formula1>'4월'!$AB$166:$AI$166</formula1>
    </dataValidation>
    <dataValidation type="list" allowBlank="1" showErrorMessage="1" sqref="J384">
      <formula1>'4월'!$AB$384:$AI$384</formula1>
    </dataValidation>
    <dataValidation type="list" allowBlank="1" showErrorMessage="1" sqref="J257">
      <formula1>'4월'!$AB$257:$AI$257</formula1>
    </dataValidation>
    <dataValidation type="list" allowBlank="1" showErrorMessage="1" sqref="J347">
      <formula1>'4월'!$AB$347:$AI$347</formula1>
    </dataValidation>
    <dataValidation type="list" allowBlank="1" showErrorMessage="1" sqref="J219">
      <formula1>'4월'!$AB$219:$AI$219</formula1>
    </dataValidation>
    <dataValidation type="list" allowBlank="1" showErrorMessage="1" sqref="J474">
      <formula1>'4월'!$AB$474:$AI$474</formula1>
    </dataValidation>
    <dataValidation type="list" allowBlank="1" showErrorMessage="1" sqref="J294">
      <formula1>'4월'!$AB$294:$AI$294</formula1>
    </dataValidation>
    <dataValidation type="list" allowBlank="1" showErrorMessage="1" sqref="I62:I499">
      <formula1>'설정시트'!$C$7:$C$20</formula1>
    </dataValidation>
    <dataValidation type="list" allowBlank="1" showErrorMessage="1" sqref="J110">
      <formula1>'4월'!$AB$110:$AI$110</formula1>
    </dataValidation>
    <dataValidation type="list" allowBlank="1" showErrorMessage="1" sqref="J200">
      <formula1>'4월'!$AB$200:$AI$200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5.0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45774</v>
      </c>
      <c r="S9" s="117">
        <f t="shared" ref="S9:X9" si="1">R9 + 1</f>
        <v>45775</v>
      </c>
      <c r="T9" s="118">
        <f t="shared" si="1"/>
        <v>45776</v>
      </c>
      <c r="U9" s="118">
        <f t="shared" si="1"/>
        <v>45777</v>
      </c>
      <c r="V9" s="118">
        <f t="shared" si="1"/>
        <v>45778</v>
      </c>
      <c r="W9" s="118">
        <f t="shared" si="1"/>
        <v>45779</v>
      </c>
      <c r="X9" s="119">
        <f t="shared" si="1"/>
        <v>45780</v>
      </c>
      <c r="Y9" s="120"/>
      <c r="AB9" s="121" t="str">
        <f>$H$25</f>
        <v>🍪고정비</v>
      </c>
      <c r="AC9" s="122">
        <f>$K$31</f>
        <v>60500</v>
      </c>
      <c r="AD9" s="123">
        <f t="shared" ref="AD9:AD20" si="4">_xlfn.RANK.EQ(AC9,$AB$9:$AC$20,0) + ROW(AB1)/10000</f>
        <v>10.0001</v>
      </c>
      <c r="AE9" s="123">
        <f t="shared" ref="AE9:AE20" si="5">SMALL($AD$9:$AD$20, ROW(AB1))</f>
        <v>1.0004</v>
      </c>
      <c r="AF9" s="123" t="str">
        <f t="shared" ref="AF9:AF20" si="6">INDEX($AB$9:$AB$20,MATCH(AE9,$AD$9:$AD$20,0))</f>
        <v>🐻생필품</v>
      </c>
      <c r="AG9" s="122">
        <f t="shared" ref="AG9:AG20" si="7">INDEX($AC$9:$AC$20,MATCH(AE9,$AD$9:$AD$20,0))</f>
        <v>1449690</v>
      </c>
    </row>
    <row r="10">
      <c r="E10" s="114" t="s">
        <v>55</v>
      </c>
      <c r="F10" s="115">
        <f t="shared" si="2"/>
        <v>595200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0</v>
      </c>
      <c r="V10" s="126">
        <f t="shared" si="3"/>
        <v>359781</v>
      </c>
      <c r="W10" s="126">
        <f t="shared" si="3"/>
        <v>47479</v>
      </c>
      <c r="X10" s="126">
        <f t="shared" si="3"/>
        <v>33020</v>
      </c>
      <c r="Y10" s="126">
        <f>SUM(R10:X10)</f>
        <v>440280</v>
      </c>
      <c r="AB10" s="121" t="str">
        <f>$H$33</f>
        <v>🐻고정비</v>
      </c>
      <c r="AC10" s="122">
        <f>$K$39</f>
        <v>609970</v>
      </c>
      <c r="AD10" s="123">
        <f t="shared" si="4"/>
        <v>3.0002</v>
      </c>
      <c r="AE10" s="123">
        <f t="shared" si="5"/>
        <v>2.0005</v>
      </c>
      <c r="AF10" s="123" t="str">
        <f t="shared" si="6"/>
        <v>🍪식비</v>
      </c>
      <c r="AG10" s="122">
        <f t="shared" si="7"/>
        <v>833359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45781</v>
      </c>
      <c r="S11" s="128">
        <f t="shared" si="8"/>
        <v>45782</v>
      </c>
      <c r="T11" s="117">
        <f t="shared" si="8"/>
        <v>45783</v>
      </c>
      <c r="U11" s="117">
        <f t="shared" si="8"/>
        <v>45784</v>
      </c>
      <c r="V11" s="118">
        <f t="shared" si="8"/>
        <v>45785</v>
      </c>
      <c r="W11" s="129">
        <f t="shared" si="8"/>
        <v>45786</v>
      </c>
      <c r="X11" s="130">
        <f t="shared" si="8"/>
        <v>45787</v>
      </c>
      <c r="Y11" s="131"/>
      <c r="AB11" s="121" t="str">
        <f>$H$41</f>
        <v>🍪생필품</v>
      </c>
      <c r="AC11" s="122">
        <f>$K$47</f>
        <v>215261</v>
      </c>
      <c r="AD11" s="123">
        <f t="shared" si="4"/>
        <v>6.0003</v>
      </c>
      <c r="AE11" s="123">
        <f t="shared" si="5"/>
        <v>3.0002</v>
      </c>
      <c r="AF11" s="123" t="str">
        <f t="shared" si="6"/>
        <v>🐻고정비</v>
      </c>
      <c r="AG11" s="122">
        <f t="shared" si="7"/>
        <v>609970</v>
      </c>
    </row>
    <row r="12">
      <c r="C12" s="132" t="s">
        <v>136</v>
      </c>
      <c r="D12" s="133">
        <f>F33</f>
        <v>8430830</v>
      </c>
      <c r="E12" s="114" t="s">
        <v>57</v>
      </c>
      <c r="F12" s="115">
        <f t="shared" si="2"/>
        <v>359190</v>
      </c>
      <c r="R12" s="134">
        <f t="shared" ref="R12:X12" si="9">SUMIFS($K$62:$K$500,$H$62:$H$500,R11,$I$62:$I$500,"&lt;&gt;수입",$I$62:$I$500,"&lt;&gt;저축")</f>
        <v>44500</v>
      </c>
      <c r="S12" s="135">
        <f t="shared" si="9"/>
        <v>605952</v>
      </c>
      <c r="T12" s="136">
        <f t="shared" si="9"/>
        <v>102300</v>
      </c>
      <c r="U12" s="136">
        <f t="shared" si="9"/>
        <v>338820</v>
      </c>
      <c r="V12" s="134">
        <f t="shared" si="9"/>
        <v>16800</v>
      </c>
      <c r="W12" s="137">
        <f t="shared" si="9"/>
        <v>220407</v>
      </c>
      <c r="X12" s="137">
        <f t="shared" si="9"/>
        <v>106220</v>
      </c>
      <c r="Y12" s="137">
        <f>SUM(R12:X12)</f>
        <v>1434999</v>
      </c>
      <c r="AB12" s="121" t="str">
        <f>$H$49</f>
        <v>🐻생필품</v>
      </c>
      <c r="AC12" s="122">
        <f>$K$55</f>
        <v>1449690</v>
      </c>
      <c r="AD12" s="123">
        <f t="shared" si="4"/>
        <v>1.0004</v>
      </c>
      <c r="AE12" s="123">
        <f t="shared" si="5"/>
        <v>4.0012</v>
      </c>
      <c r="AF12" s="123" t="str">
        <f t="shared" si="6"/>
        <v>🐻 이벤트성</v>
      </c>
      <c r="AG12" s="122">
        <f t="shared" si="7"/>
        <v>416710</v>
      </c>
    </row>
    <row r="13">
      <c r="C13" s="46"/>
      <c r="D13" s="138"/>
      <c r="E13" s="114" t="s">
        <v>58</v>
      </c>
      <c r="F13" s="115">
        <f t="shared" si="2"/>
        <v>217499</v>
      </c>
      <c r="I13" s="94"/>
      <c r="J13" s="94"/>
      <c r="R13" s="127">
        <f t="shared" ref="R13:X13" si="10">R11+7</f>
        <v>45788</v>
      </c>
      <c r="S13" s="128">
        <f t="shared" si="10"/>
        <v>45789</v>
      </c>
      <c r="T13" s="117">
        <f t="shared" si="10"/>
        <v>45790</v>
      </c>
      <c r="U13" s="117">
        <f t="shared" si="10"/>
        <v>45791</v>
      </c>
      <c r="V13" s="118">
        <f t="shared" si="10"/>
        <v>45792</v>
      </c>
      <c r="W13" s="129">
        <f t="shared" si="10"/>
        <v>45793</v>
      </c>
      <c r="X13" s="130">
        <f t="shared" si="10"/>
        <v>45794</v>
      </c>
      <c r="Y13" s="131"/>
      <c r="AB13" s="121" t="str">
        <f>$M$25</f>
        <v>🍪식비</v>
      </c>
      <c r="AC13" s="122">
        <f>$P$31</f>
        <v>833359</v>
      </c>
      <c r="AD13" s="123">
        <f t="shared" si="4"/>
        <v>2.0005</v>
      </c>
      <c r="AE13" s="123">
        <f t="shared" si="5"/>
        <v>5.0006</v>
      </c>
      <c r="AF13" s="123" t="str">
        <f t="shared" si="6"/>
        <v>🐻식비</v>
      </c>
      <c r="AG13" s="122">
        <f t="shared" si="7"/>
        <v>283639</v>
      </c>
    </row>
    <row r="14">
      <c r="C14" s="132" t="s">
        <v>137</v>
      </c>
      <c r="D14" s="133">
        <f>SUM($K$31+$K$39+$K$47+$K$55+$P$31+$P$39+$P$47+$P$55+X31+X39+X47+X55)</f>
        <v>4271491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131000</v>
      </c>
      <c r="S14" s="135">
        <f t="shared" si="11"/>
        <v>87200</v>
      </c>
      <c r="T14" s="136">
        <f t="shared" si="11"/>
        <v>894570</v>
      </c>
      <c r="U14" s="136">
        <f t="shared" si="11"/>
        <v>55000</v>
      </c>
      <c r="V14" s="134">
        <f t="shared" si="11"/>
        <v>2980</v>
      </c>
      <c r="W14" s="137">
        <f t="shared" si="11"/>
        <v>0</v>
      </c>
      <c r="X14" s="137">
        <f t="shared" si="11"/>
        <v>0</v>
      </c>
      <c r="Y14" s="137">
        <f>SUM(R14:X14)</f>
        <v>1170750</v>
      </c>
      <c r="AB14" s="121" t="str">
        <f>$M$33</f>
        <v>🐻식비</v>
      </c>
      <c r="AC14" s="122">
        <f>$P$39</f>
        <v>283639</v>
      </c>
      <c r="AD14" s="123">
        <f t="shared" si="4"/>
        <v>5.0006</v>
      </c>
      <c r="AE14" s="123">
        <f t="shared" si="5"/>
        <v>6.0003</v>
      </c>
      <c r="AF14" s="123" t="str">
        <f t="shared" si="6"/>
        <v>🍪생필품</v>
      </c>
      <c r="AG14" s="122">
        <f t="shared" si="7"/>
        <v>215261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45795</v>
      </c>
      <c r="S15" s="128">
        <f t="shared" si="12"/>
        <v>45796</v>
      </c>
      <c r="T15" s="117">
        <f t="shared" si="12"/>
        <v>45797</v>
      </c>
      <c r="U15" s="117">
        <f t="shared" si="12"/>
        <v>45798</v>
      </c>
      <c r="V15" s="118">
        <f t="shared" si="12"/>
        <v>45799</v>
      </c>
      <c r="W15" s="129">
        <f t="shared" si="12"/>
        <v>45800</v>
      </c>
      <c r="X15" s="130">
        <f t="shared" si="12"/>
        <v>45801</v>
      </c>
      <c r="Y15" s="131"/>
      <c r="AB15" s="121" t="str">
        <f>$M$41</f>
        <v>🍪여가비</v>
      </c>
      <c r="AC15" s="122">
        <f>$P$47</f>
        <v>1900</v>
      </c>
      <c r="AD15" s="123">
        <f t="shared" si="4"/>
        <v>11.0007</v>
      </c>
      <c r="AE15" s="123">
        <f t="shared" si="5"/>
        <v>7.001</v>
      </c>
      <c r="AF15" s="123" t="str">
        <f t="shared" si="6"/>
        <v>🐻기타</v>
      </c>
      <c r="AG15" s="122">
        <f t="shared" si="7"/>
        <v>197500</v>
      </c>
    </row>
    <row r="16">
      <c r="C16" s="132" t="s">
        <v>138</v>
      </c>
      <c r="D16" s="133">
        <f>F43</f>
        <v>3100000</v>
      </c>
      <c r="E16" s="114" t="s">
        <v>61</v>
      </c>
      <c r="F16" s="115">
        <f t="shared" si="2"/>
        <v>240220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0</v>
      </c>
      <c r="S16" s="135">
        <f t="shared" si="13"/>
        <v>0</v>
      </c>
      <c r="T16" s="136">
        <f t="shared" si="13"/>
        <v>39760</v>
      </c>
      <c r="U16" s="136">
        <f t="shared" si="13"/>
        <v>65000</v>
      </c>
      <c r="V16" s="134">
        <f t="shared" si="13"/>
        <v>48910</v>
      </c>
      <c r="W16" s="137">
        <f t="shared" si="13"/>
        <v>0</v>
      </c>
      <c r="X16" s="137">
        <f t="shared" si="13"/>
        <v>440000</v>
      </c>
      <c r="Y16" s="137">
        <f>SUM(R16:X16)</f>
        <v>593670</v>
      </c>
      <c r="AB16" s="121" t="str">
        <f>$M$49</f>
        <v>🐻여가비</v>
      </c>
      <c r="AC16" s="122">
        <f>$P$55</f>
        <v>123742</v>
      </c>
      <c r="AD16" s="123">
        <f t="shared" si="4"/>
        <v>8.0008</v>
      </c>
      <c r="AE16" s="123">
        <f t="shared" si="5"/>
        <v>8.0008</v>
      </c>
      <c r="AF16" s="123" t="str">
        <f t="shared" si="6"/>
        <v>🐻여가비</v>
      </c>
      <c r="AG16" s="122">
        <f t="shared" si="7"/>
        <v>123742</v>
      </c>
    </row>
    <row r="17">
      <c r="C17" s="46"/>
      <c r="D17" s="138"/>
      <c r="E17" s="114" t="s">
        <v>62</v>
      </c>
      <c r="F17" s="115">
        <f t="shared" si="2"/>
        <v>170000</v>
      </c>
      <c r="H17" s="142"/>
      <c r="I17" s="143"/>
      <c r="J17" s="144"/>
      <c r="K17" s="145"/>
      <c r="R17" s="127">
        <f t="shared" ref="R17:X17" si="14">R15+7</f>
        <v>45802</v>
      </c>
      <c r="S17" s="128">
        <f t="shared" si="14"/>
        <v>45803</v>
      </c>
      <c r="T17" s="117">
        <f t="shared" si="14"/>
        <v>45804</v>
      </c>
      <c r="U17" s="117">
        <f t="shared" si="14"/>
        <v>45805</v>
      </c>
      <c r="V17" s="118">
        <f t="shared" si="14"/>
        <v>45806</v>
      </c>
      <c r="W17" s="129">
        <f t="shared" si="14"/>
        <v>45807</v>
      </c>
      <c r="X17" s="130">
        <f t="shared" si="14"/>
        <v>45808</v>
      </c>
      <c r="Y17" s="131"/>
      <c r="AB17" s="121" t="str">
        <f>$R$25</f>
        <v>🍪기타</v>
      </c>
      <c r="AC17" s="122">
        <f>$X$31</f>
        <v>79220</v>
      </c>
      <c r="AD17" s="123">
        <f t="shared" si="4"/>
        <v>9.0009</v>
      </c>
      <c r="AE17" s="123">
        <f t="shared" si="5"/>
        <v>9.0009</v>
      </c>
      <c r="AF17" s="123" t="str">
        <f t="shared" si="6"/>
        <v>🍪기타</v>
      </c>
      <c r="AG17" s="122">
        <f t="shared" si="7"/>
        <v>79220</v>
      </c>
    </row>
    <row r="18">
      <c r="C18" s="146" t="s">
        <v>140</v>
      </c>
      <c r="D18" s="147">
        <f>D12-D14-D16</f>
        <v>1059339</v>
      </c>
      <c r="E18" s="114" t="s">
        <v>63</v>
      </c>
      <c r="F18" s="115">
        <f t="shared" si="2"/>
        <v>2980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0</v>
      </c>
      <c r="S18" s="148">
        <f t="shared" si="15"/>
        <v>209910</v>
      </c>
      <c r="T18" s="149">
        <f t="shared" si="15"/>
        <v>372582</v>
      </c>
      <c r="U18" s="149">
        <f t="shared" si="15"/>
        <v>0</v>
      </c>
      <c r="V18" s="126">
        <f t="shared" si="15"/>
        <v>0</v>
      </c>
      <c r="W18" s="150">
        <f t="shared" si="15"/>
        <v>0</v>
      </c>
      <c r="X18" s="150">
        <f t="shared" si="15"/>
        <v>60300</v>
      </c>
      <c r="Y18" s="150">
        <f>SUM(R18:X18)</f>
        <v>642792</v>
      </c>
      <c r="AB18" s="121" t="str">
        <f>$R$33</f>
        <v>🐻기타</v>
      </c>
      <c r="AC18" s="122">
        <f>$X$39</f>
        <v>197500</v>
      </c>
      <c r="AD18" s="123">
        <f t="shared" si="4"/>
        <v>7.001</v>
      </c>
      <c r="AE18" s="123">
        <f t="shared" si="5"/>
        <v>10.0001</v>
      </c>
      <c r="AF18" s="123" t="str">
        <f t="shared" si="6"/>
        <v>🍪고정비</v>
      </c>
      <c r="AG18" s="122">
        <f t="shared" si="7"/>
        <v>60500</v>
      </c>
    </row>
    <row r="19">
      <c r="C19" s="151" t="s">
        <v>141</v>
      </c>
      <c r="D19" s="152">
        <f>(D16+D18)/D12</f>
        <v>0.4933486976</v>
      </c>
      <c r="E19" s="114" t="s">
        <v>64</v>
      </c>
      <c r="F19" s="115">
        <f t="shared" si="2"/>
        <v>2679051</v>
      </c>
      <c r="H19" s="142"/>
      <c r="I19" s="143"/>
      <c r="J19" s="144"/>
      <c r="K19" s="145"/>
      <c r="R19" s="153">
        <f t="shared" ref="R19:X19" si="16">R17+7</f>
        <v>45809</v>
      </c>
      <c r="S19" s="154">
        <f t="shared" si="16"/>
        <v>45810</v>
      </c>
      <c r="T19" s="155">
        <f t="shared" si="16"/>
        <v>45811</v>
      </c>
      <c r="U19" s="155">
        <f t="shared" si="16"/>
        <v>45812</v>
      </c>
      <c r="V19" s="156">
        <f t="shared" si="16"/>
        <v>45813</v>
      </c>
      <c r="W19" s="157">
        <f t="shared" si="16"/>
        <v>45814</v>
      </c>
      <c r="X19" s="158">
        <f t="shared" si="16"/>
        <v>45815</v>
      </c>
      <c r="Y19" s="159"/>
      <c r="AB19" s="121" t="str">
        <f>$R$41</f>
        <v>🍪이벤트성</v>
      </c>
      <c r="AC19" s="122">
        <f>$X$47</f>
        <v>0</v>
      </c>
      <c r="AD19" s="123">
        <f t="shared" si="4"/>
        <v>12.0011</v>
      </c>
      <c r="AE19" s="123">
        <f t="shared" si="5"/>
        <v>11.0007</v>
      </c>
      <c r="AF19" s="123" t="str">
        <f t="shared" si="6"/>
        <v>🍪여가비</v>
      </c>
      <c r="AG19" s="122">
        <f t="shared" si="7"/>
        <v>1900</v>
      </c>
    </row>
    <row r="20">
      <c r="C20" s="160" t="s">
        <v>142</v>
      </c>
      <c r="D20" s="161">
        <f>D18/D12</f>
        <v>0.125650618</v>
      </c>
      <c r="E20" s="162" t="s">
        <v>65</v>
      </c>
      <c r="F20" s="163">
        <f>SUM($F$14:$F$19)</f>
        <v>3092251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416710</v>
      </c>
      <c r="AD20" s="123">
        <f t="shared" si="4"/>
        <v>4.0012</v>
      </c>
      <c r="AE20" s="123">
        <f t="shared" si="5"/>
        <v>12.0011</v>
      </c>
      <c r="AF20" s="123" t="str">
        <f t="shared" si="6"/>
        <v>🍪이벤트성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3305170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113780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20200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0</v>
      </c>
      <c r="M26" s="45"/>
      <c r="N26" s="41" t="s">
        <v>28</v>
      </c>
      <c r="O26" s="179"/>
      <c r="P26" s="115">
        <f t="shared" si="20"/>
        <v>41000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59020</v>
      </c>
      <c r="Y26" s="145"/>
    </row>
    <row r="27">
      <c r="C27" s="45"/>
      <c r="D27" s="41" t="s">
        <v>6</v>
      </c>
      <c r="E27" s="179"/>
      <c r="F27" s="115">
        <f t="shared" si="18"/>
        <v>4570920</v>
      </c>
      <c r="H27" s="45"/>
      <c r="I27" s="41" t="s">
        <v>17</v>
      </c>
      <c r="J27" s="179"/>
      <c r="K27" s="115">
        <f t="shared" si="19"/>
        <v>0</v>
      </c>
      <c r="M27" s="45"/>
      <c r="N27" s="41" t="s">
        <v>29</v>
      </c>
      <c r="O27" s="179"/>
      <c r="P27" s="115">
        <f t="shared" si="20"/>
        <v>588300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60500</v>
      </c>
      <c r="M28" s="45"/>
      <c r="N28" s="41" t="s">
        <v>30</v>
      </c>
      <c r="O28" s="179"/>
      <c r="P28" s="115">
        <f t="shared" si="20"/>
        <v>90279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0</v>
      </c>
      <c r="Y28" s="145"/>
    </row>
    <row r="29">
      <c r="C29" s="45"/>
      <c r="D29" s="41" t="s">
        <v>8</v>
      </c>
      <c r="E29" s="179"/>
      <c r="F29" s="115">
        <f t="shared" si="18"/>
        <v>554740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60500</v>
      </c>
      <c r="M31" s="187" t="str">
        <f>IF(M25=0,"","총"&amp;M25)</f>
        <v>총🍪식비</v>
      </c>
      <c r="N31" s="188"/>
      <c r="O31" s="175"/>
      <c r="P31" s="189">
        <f>SUM(P25:P30)</f>
        <v>833359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79220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60500</v>
      </c>
      <c r="M32" s="184"/>
      <c r="N32" s="191"/>
      <c r="O32" s="185"/>
      <c r="P32" s="193">
        <f>P31-O25</f>
        <v>833359</v>
      </c>
      <c r="R32" s="184"/>
      <c r="S32" s="191"/>
      <c r="T32" s="191"/>
      <c r="U32" s="191"/>
      <c r="V32" s="191"/>
      <c r="W32" s="185"/>
      <c r="X32" s="194">
        <f>X31-V25</f>
        <v>79220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8430830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407400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2980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0</v>
      </c>
      <c r="Y33" s="145"/>
    </row>
    <row r="34">
      <c r="C34" s="184"/>
      <c r="D34" s="191"/>
      <c r="E34" s="185"/>
      <c r="F34" s="195">
        <f>F33-E25</f>
        <v>8430830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85000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44560</v>
      </c>
      <c r="M35" s="45"/>
      <c r="N35" s="41" t="s">
        <v>29</v>
      </c>
      <c r="O35" s="179"/>
      <c r="P35" s="115">
        <f t="shared" si="23"/>
        <v>73900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88010</v>
      </c>
      <c r="M36" s="45"/>
      <c r="N36" s="41" t="s">
        <v>30</v>
      </c>
      <c r="O36" s="179"/>
      <c r="P36" s="115">
        <f t="shared" si="23"/>
        <v>121759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71500</v>
      </c>
      <c r="Y36" s="145"/>
    </row>
    <row r="37">
      <c r="C37" s="45"/>
      <c r="D37" s="41" t="s">
        <v>12</v>
      </c>
      <c r="E37" s="179"/>
      <c r="F37" s="115">
        <f t="shared" si="25"/>
        <v>3000000</v>
      </c>
      <c r="H37" s="45"/>
      <c r="I37" s="41" t="s">
        <v>20</v>
      </c>
      <c r="J37" s="179"/>
      <c r="K37" s="115">
        <f t="shared" si="22"/>
        <v>70000</v>
      </c>
      <c r="M37" s="45"/>
      <c r="N37" s="41" t="s">
        <v>8</v>
      </c>
      <c r="O37" s="179"/>
      <c r="P37" s="115">
        <f t="shared" si="23"/>
        <v>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126000</v>
      </c>
      <c r="Y37" s="145"/>
    </row>
    <row r="38">
      <c r="C38" s="45"/>
      <c r="D38" s="41" t="s">
        <v>13</v>
      </c>
      <c r="E38" s="179"/>
      <c r="F38" s="115">
        <f t="shared" si="25"/>
        <v>100000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609970</v>
      </c>
      <c r="M39" s="187" t="str">
        <f>IF(M33=0,"","총"&amp;M33)</f>
        <v>총🐻식비</v>
      </c>
      <c r="N39" s="188"/>
      <c r="O39" s="175"/>
      <c r="P39" s="189">
        <f>SUM(P33:P38)</f>
        <v>283639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197500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609970</v>
      </c>
      <c r="M40" s="184"/>
      <c r="N40" s="191"/>
      <c r="O40" s="185"/>
      <c r="P40" s="193">
        <f>P39-O33</f>
        <v>283639</v>
      </c>
      <c r="R40" s="184"/>
      <c r="S40" s="191"/>
      <c r="T40" s="191"/>
      <c r="U40" s="191"/>
      <c r="V40" s="191"/>
      <c r="W40" s="185"/>
      <c r="X40" s="194">
        <f>X39-V33</f>
        <v>197500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133141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46920</v>
      </c>
      <c r="M42" s="45"/>
      <c r="N42" s="41" t="s">
        <v>34</v>
      </c>
      <c r="O42" s="179"/>
      <c r="P42" s="115">
        <f t="shared" si="27"/>
        <v>1900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IF(C35=0,"","총"&amp;C25)</f>
        <v>총수입</v>
      </c>
      <c r="D43" s="188"/>
      <c r="E43" s="175"/>
      <c r="F43" s="189">
        <f>SUM(F35:F42)</f>
        <v>3100000</v>
      </c>
      <c r="H43" s="45"/>
      <c r="I43" s="41" t="s">
        <v>8</v>
      </c>
      <c r="J43" s="179"/>
      <c r="K43" s="115">
        <f t="shared" si="26"/>
        <v>35200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3100000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215261</v>
      </c>
      <c r="M47" s="187" t="str">
        <f>IF(M41=0,"","총"&amp;M41)</f>
        <v>총🍪여가비</v>
      </c>
      <c r="N47" s="188"/>
      <c r="O47" s="175"/>
      <c r="P47" s="189">
        <f>SUM(P41:P46)</f>
        <v>1900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0</v>
      </c>
      <c r="Y47" s="145"/>
    </row>
    <row r="48">
      <c r="H48" s="184"/>
      <c r="I48" s="191"/>
      <c r="J48" s="185"/>
      <c r="K48" s="193">
        <f>K47-J41</f>
        <v>215261</v>
      </c>
      <c r="M48" s="184"/>
      <c r="N48" s="191"/>
      <c r="O48" s="185"/>
      <c r="P48" s="193">
        <f>P47-O41</f>
        <v>1900</v>
      </c>
      <c r="R48" s="184"/>
      <c r="S48" s="191"/>
      <c r="T48" s="191"/>
      <c r="U48" s="191"/>
      <c r="V48" s="191"/>
      <c r="W48" s="185"/>
      <c r="X48" s="194">
        <f>X47-V41</f>
        <v>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991690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53800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100000</v>
      </c>
      <c r="Y49" s="145"/>
    </row>
    <row r="50">
      <c r="H50" s="45"/>
      <c r="I50" s="41" t="s">
        <v>24</v>
      </c>
      <c r="J50" s="179"/>
      <c r="K50" s="115">
        <f t="shared" si="29"/>
        <v>18000</v>
      </c>
      <c r="M50" s="45"/>
      <c r="N50" s="41" t="s">
        <v>34</v>
      </c>
      <c r="O50" s="179"/>
      <c r="P50" s="115">
        <f t="shared" si="30"/>
        <v>4942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100000</v>
      </c>
      <c r="Y50" s="145"/>
    </row>
    <row r="51">
      <c r="H51" s="45"/>
      <c r="I51" s="41" t="s">
        <v>8</v>
      </c>
      <c r="J51" s="179"/>
      <c r="K51" s="115">
        <f t="shared" si="29"/>
        <v>440000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203800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12910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65000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1449690</v>
      </c>
      <c r="M55" s="187" t="str">
        <f>IF(M49=0,"","총"&amp;M49)</f>
        <v>총🐻여가비</v>
      </c>
      <c r="N55" s="188"/>
      <c r="O55" s="175"/>
      <c r="P55" s="189">
        <f>SUM(P49:P54)</f>
        <v>123742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416710</v>
      </c>
      <c r="Y55" s="145"/>
    </row>
    <row r="56">
      <c r="H56" s="196"/>
      <c r="I56" s="197"/>
      <c r="J56" s="198"/>
      <c r="K56" s="200">
        <f>K55-J49</f>
        <v>1449690</v>
      </c>
      <c r="M56" s="196"/>
      <c r="N56" s="197"/>
      <c r="O56" s="198"/>
      <c r="P56" s="200">
        <f>P55-O49</f>
        <v>123742</v>
      </c>
      <c r="R56" s="196"/>
      <c r="S56" s="197"/>
      <c r="T56" s="197"/>
      <c r="U56" s="197"/>
      <c r="V56" s="197"/>
      <c r="W56" s="198"/>
      <c r="X56" s="201">
        <f>X55-V49</f>
        <v>416710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-4271491</v>
      </c>
      <c r="Y61" s="8"/>
    </row>
    <row r="62">
      <c r="H62" s="208">
        <v>45778.0</v>
      </c>
      <c r="I62" s="209" t="s">
        <v>25</v>
      </c>
      <c r="J62" s="209" t="s">
        <v>23</v>
      </c>
      <c r="K62" s="210">
        <v>97120.0</v>
      </c>
      <c r="L62" s="211" t="s">
        <v>64</v>
      </c>
      <c r="M62" s="143"/>
      <c r="N62" s="211" t="s">
        <v>565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IFERROR(__xludf.DUMMYFUNCTION("FILTER('설정시트'!$D$7:$K$20,'설정시트'!$C$7:$C$20=I62)"),"주방/욕실")</f>
        <v>주방/욕실</v>
      </c>
      <c r="AC62" s="214" t="str">
        <f>IFERROR(__xludf.DUMMYFUNCTION("""COMPUTED_VALUE"""),"소모품")</f>
        <v>소모품</v>
      </c>
      <c r="AD62" s="214" t="str">
        <f>IFERROR(__xludf.DUMMYFUNCTION("""COMPUTED_VALUE"""),"기타")</f>
        <v>기타</v>
      </c>
      <c r="AE62" s="214"/>
      <c r="AF62" s="214"/>
      <c r="AG62" s="214"/>
      <c r="AH62" s="214"/>
      <c r="AI62" s="214"/>
    </row>
    <row r="63">
      <c r="H63" s="208">
        <v>45778.0</v>
      </c>
      <c r="I63" s="209" t="s">
        <v>31</v>
      </c>
      <c r="J63" s="209" t="s">
        <v>30</v>
      </c>
      <c r="K63" s="210">
        <v>29800.0</v>
      </c>
      <c r="L63" s="211" t="s">
        <v>64</v>
      </c>
      <c r="M63" s="143"/>
      <c r="N63" s="211" t="s">
        <v>194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IFERROR(__xludf.DUMMYFUNCTION("FILTER('설정시트'!$D$7:$K$20,'설정시트'!$C$7:$C$20=I63)"),"식재료비")</f>
        <v>식재료비</v>
      </c>
      <c r="AC63" s="214" t="str">
        <f>IFERROR(__xludf.DUMMYFUNCTION("""COMPUTED_VALUE"""),"회사점심")</f>
        <v>회사점심</v>
      </c>
      <c r="AD63" s="214" t="str">
        <f>IFERROR(__xludf.DUMMYFUNCTION("""COMPUTED_VALUE"""),"간식/카페")</f>
        <v>간식/카페</v>
      </c>
      <c r="AE63" s="214" t="str">
        <f>IFERROR(__xludf.DUMMYFUNCTION("""COMPUTED_VALUE"""),"외식/배달")</f>
        <v>외식/배달</v>
      </c>
      <c r="AF63" s="214" t="str">
        <f>IFERROR(__xludf.DUMMYFUNCTION("""COMPUTED_VALUE"""),"기타")</f>
        <v>기타</v>
      </c>
      <c r="AG63" s="214"/>
      <c r="AH63" s="214"/>
      <c r="AI63" s="214"/>
    </row>
    <row r="64">
      <c r="H64" s="208">
        <v>45778.0</v>
      </c>
      <c r="I64" s="209" t="s">
        <v>31</v>
      </c>
      <c r="J64" s="209" t="s">
        <v>29</v>
      </c>
      <c r="K64" s="210">
        <v>7500.0</v>
      </c>
      <c r="L64" s="211" t="s">
        <v>64</v>
      </c>
      <c r="M64" s="143"/>
      <c r="N64" s="211" t="s">
        <v>566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IFERROR(__xludf.DUMMYFUNCTION("FILTER('설정시트'!$D$7:$K$20,'설정시트'!$C$7:$C$20=I64)"),"식재료비")</f>
        <v>식재료비</v>
      </c>
      <c r="AC64" s="214" t="str">
        <f>IFERROR(__xludf.DUMMYFUNCTION("""COMPUTED_VALUE"""),"회사점심")</f>
        <v>회사점심</v>
      </c>
      <c r="AD64" s="214" t="str">
        <f>IFERROR(__xludf.DUMMYFUNCTION("""COMPUTED_VALUE"""),"간식/카페")</f>
        <v>간식/카페</v>
      </c>
      <c r="AE64" s="214" t="str">
        <f>IFERROR(__xludf.DUMMYFUNCTION("""COMPUTED_VALUE"""),"외식/배달")</f>
        <v>외식/배달</v>
      </c>
      <c r="AF64" s="214" t="str">
        <f>IFERROR(__xludf.DUMMYFUNCTION("""COMPUTED_VALUE"""),"기타")</f>
        <v>기타</v>
      </c>
      <c r="AG64" s="214"/>
      <c r="AH64" s="214"/>
      <c r="AI64" s="214"/>
    </row>
    <row r="65">
      <c r="H65" s="208">
        <v>45778.0</v>
      </c>
      <c r="I65" s="209" t="s">
        <v>31</v>
      </c>
      <c r="J65" s="209" t="s">
        <v>29</v>
      </c>
      <c r="K65" s="210">
        <v>45000.0</v>
      </c>
      <c r="L65" s="211" t="s">
        <v>64</v>
      </c>
      <c r="M65" s="143"/>
      <c r="N65" s="211" t="s">
        <v>567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IFERROR(__xludf.DUMMYFUNCTION("FILTER('설정시트'!$D$7:$K$20,'설정시트'!$C$7:$C$20=I65)"),"식재료비")</f>
        <v>식재료비</v>
      </c>
      <c r="AC65" s="214" t="str">
        <f>IFERROR(__xludf.DUMMYFUNCTION("""COMPUTED_VALUE"""),"회사점심")</f>
        <v>회사점심</v>
      </c>
      <c r="AD65" s="214" t="str">
        <f>IFERROR(__xludf.DUMMYFUNCTION("""COMPUTED_VALUE"""),"간식/카페")</f>
        <v>간식/카페</v>
      </c>
      <c r="AE65" s="214" t="str">
        <f>IFERROR(__xludf.DUMMYFUNCTION("""COMPUTED_VALUE"""),"외식/배달")</f>
        <v>외식/배달</v>
      </c>
      <c r="AF65" s="214" t="str">
        <f>IFERROR(__xludf.DUMMYFUNCTION("""COMPUTED_VALUE"""),"기타")</f>
        <v>기타</v>
      </c>
      <c r="AG65" s="214"/>
      <c r="AH65" s="214"/>
      <c r="AI65" s="214"/>
    </row>
    <row r="66">
      <c r="H66" s="208">
        <v>45778.0</v>
      </c>
      <c r="I66" s="209" t="s">
        <v>26</v>
      </c>
      <c r="J66" s="209" t="s">
        <v>27</v>
      </c>
      <c r="K66" s="210">
        <v>68360.0</v>
      </c>
      <c r="L66" s="211" t="s">
        <v>57</v>
      </c>
      <c r="M66" s="143"/>
      <c r="N66" s="211" t="s">
        <v>230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IFERROR(__xludf.DUMMYFUNCTION("FILTER('설정시트'!$D$7:$K$20,'설정시트'!$C$7:$C$20=I66)"),"식재료비")</f>
        <v>식재료비</v>
      </c>
      <c r="AC66" s="214" t="str">
        <f>IFERROR(__xludf.DUMMYFUNCTION("""COMPUTED_VALUE"""),"회사점심")</f>
        <v>회사점심</v>
      </c>
      <c r="AD66" s="214" t="str">
        <f>IFERROR(__xludf.DUMMYFUNCTION("""COMPUTED_VALUE"""),"간식/카페")</f>
        <v>간식/카페</v>
      </c>
      <c r="AE66" s="214" t="str">
        <f>IFERROR(__xludf.DUMMYFUNCTION("""COMPUTED_VALUE"""),"외식/배달")</f>
        <v>외식/배달</v>
      </c>
      <c r="AF66" s="214" t="str">
        <f>IFERROR(__xludf.DUMMYFUNCTION("""COMPUTED_VALUE"""),"기타")</f>
        <v>기타</v>
      </c>
      <c r="AG66" s="214"/>
      <c r="AH66" s="214"/>
      <c r="AI66" s="214"/>
    </row>
    <row r="67">
      <c r="H67" s="208">
        <v>45778.0</v>
      </c>
      <c r="I67" s="209" t="s">
        <v>22</v>
      </c>
      <c r="J67" s="209" t="s">
        <v>24</v>
      </c>
      <c r="K67" s="210">
        <v>38000.0</v>
      </c>
      <c r="L67" s="211" t="s">
        <v>57</v>
      </c>
      <c r="M67" s="143"/>
      <c r="N67" s="211" t="s">
        <v>568</v>
      </c>
      <c r="O67" s="212"/>
      <c r="P67" s="212"/>
      <c r="Q67" s="143"/>
      <c r="R67" s="211"/>
      <c r="S67" s="212"/>
      <c r="T67" s="145"/>
      <c r="AB67" s="214" t="str">
        <f>IFERROR(__xludf.DUMMYFUNCTION("FILTER('설정시트'!$D$7:$K$20,'설정시트'!$C$7:$C$20=I67)"),"주방/욕실")</f>
        <v>주방/욕실</v>
      </c>
      <c r="AC67" s="214" t="str">
        <f>IFERROR(__xludf.DUMMYFUNCTION("""COMPUTED_VALUE"""),"소모품")</f>
        <v>소모품</v>
      </c>
      <c r="AD67" s="214" t="str">
        <f>IFERROR(__xludf.DUMMYFUNCTION("""COMPUTED_VALUE"""),"기타")</f>
        <v>기타</v>
      </c>
      <c r="AE67" s="214"/>
      <c r="AF67" s="214"/>
      <c r="AG67" s="214"/>
      <c r="AH67" s="214"/>
      <c r="AI67" s="214"/>
    </row>
    <row r="68">
      <c r="H68" s="208">
        <v>45778.0</v>
      </c>
      <c r="I68" s="209" t="s">
        <v>22</v>
      </c>
      <c r="J68" s="209" t="s">
        <v>23</v>
      </c>
      <c r="K68" s="210">
        <v>38860.0</v>
      </c>
      <c r="L68" s="211" t="s">
        <v>57</v>
      </c>
      <c r="M68" s="143"/>
      <c r="N68" s="211" t="s">
        <v>569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IFERROR(__xludf.DUMMYFUNCTION("FILTER('설정시트'!$D$7:$K$20,'설정시트'!$C$7:$C$20=I68)"),"주방/욕실")</f>
        <v>주방/욕실</v>
      </c>
      <c r="AC68" s="214" t="str">
        <f>IFERROR(__xludf.DUMMYFUNCTION("""COMPUTED_VALUE"""),"소모품")</f>
        <v>소모품</v>
      </c>
      <c r="AD68" s="214" t="str">
        <f>IFERROR(__xludf.DUMMYFUNCTION("""COMPUTED_VALUE"""),"기타")</f>
        <v>기타</v>
      </c>
      <c r="AE68" s="214"/>
      <c r="AF68" s="214"/>
      <c r="AG68" s="214"/>
      <c r="AH68" s="214"/>
      <c r="AI68" s="214"/>
    </row>
    <row r="69">
      <c r="H69" s="208">
        <v>45778.0</v>
      </c>
      <c r="I69" s="209" t="s">
        <v>22</v>
      </c>
      <c r="J69" s="209" t="s">
        <v>23</v>
      </c>
      <c r="K69" s="210">
        <v>18351.0</v>
      </c>
      <c r="L69" s="217"/>
      <c r="M69" s="219"/>
      <c r="N69" s="211" t="s">
        <v>570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IFERROR(__xludf.DUMMYFUNCTION("FILTER('설정시트'!$D$7:$K$20,'설정시트'!$C$7:$C$20=I69)"),"주방/욕실")</f>
        <v>주방/욕실</v>
      </c>
      <c r="AC69" s="214" t="str">
        <f>IFERROR(__xludf.DUMMYFUNCTION("""COMPUTED_VALUE"""),"소모품")</f>
        <v>소모품</v>
      </c>
      <c r="AD69" s="214" t="str">
        <f>IFERROR(__xludf.DUMMYFUNCTION("""COMPUTED_VALUE"""),"기타")</f>
        <v>기타</v>
      </c>
      <c r="AE69" s="214"/>
      <c r="AF69" s="214"/>
      <c r="AG69" s="214"/>
      <c r="AH69" s="214"/>
      <c r="AI69" s="214"/>
    </row>
    <row r="70">
      <c r="H70" s="208">
        <v>45778.0</v>
      </c>
      <c r="I70" s="209" t="s">
        <v>22</v>
      </c>
      <c r="J70" s="209" t="s">
        <v>23</v>
      </c>
      <c r="K70" s="210">
        <v>5790.0</v>
      </c>
      <c r="L70" s="211" t="s">
        <v>58</v>
      </c>
      <c r="M70" s="143"/>
      <c r="N70" s="211" t="s">
        <v>571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IFERROR(__xludf.DUMMYFUNCTION("FILTER('설정시트'!$D$7:$K$20,'설정시트'!$C$7:$C$20=I70)"),"주방/욕실")</f>
        <v>주방/욕실</v>
      </c>
      <c r="AC70" s="214" t="str">
        <f>IFERROR(__xludf.DUMMYFUNCTION("""COMPUTED_VALUE"""),"소모품")</f>
        <v>소모품</v>
      </c>
      <c r="AD70" s="214" t="str">
        <f>IFERROR(__xludf.DUMMYFUNCTION("""COMPUTED_VALUE"""),"기타")</f>
        <v>기타</v>
      </c>
      <c r="AE70" s="214"/>
      <c r="AF70" s="214"/>
      <c r="AG70" s="214"/>
      <c r="AH70" s="214"/>
      <c r="AI70" s="214"/>
    </row>
    <row r="71">
      <c r="H71" s="208">
        <v>45778.0</v>
      </c>
      <c r="I71" s="209" t="s">
        <v>26</v>
      </c>
      <c r="J71" s="209" t="s">
        <v>30</v>
      </c>
      <c r="K71" s="210">
        <v>11000.0</v>
      </c>
      <c r="L71" s="211" t="s">
        <v>58</v>
      </c>
      <c r="M71" s="143"/>
      <c r="N71" s="211" t="s">
        <v>572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IFERROR(__xludf.DUMMYFUNCTION("FILTER('설정시트'!$D$7:$K$20,'설정시트'!$C$7:$C$20=I71)"),"식재료비")</f>
        <v>식재료비</v>
      </c>
      <c r="AC71" s="214" t="str">
        <f>IFERROR(__xludf.DUMMYFUNCTION("""COMPUTED_VALUE"""),"회사점심")</f>
        <v>회사점심</v>
      </c>
      <c r="AD71" s="214" t="str">
        <f>IFERROR(__xludf.DUMMYFUNCTION("""COMPUTED_VALUE"""),"간식/카페")</f>
        <v>간식/카페</v>
      </c>
      <c r="AE71" s="214" t="str">
        <f>IFERROR(__xludf.DUMMYFUNCTION("""COMPUTED_VALUE"""),"외식/배달")</f>
        <v>외식/배달</v>
      </c>
      <c r="AF71" s="214" t="str">
        <f>IFERROR(__xludf.DUMMYFUNCTION("""COMPUTED_VALUE"""),"기타")</f>
        <v>기타</v>
      </c>
      <c r="AG71" s="214"/>
      <c r="AH71" s="214"/>
      <c r="AI71" s="214"/>
    </row>
    <row r="72">
      <c r="H72" s="208">
        <v>45779.0</v>
      </c>
      <c r="I72" s="209" t="s">
        <v>3</v>
      </c>
      <c r="J72" s="209" t="s">
        <v>6</v>
      </c>
      <c r="K72" s="210">
        <v>4570920.0</v>
      </c>
      <c r="L72" s="211"/>
      <c r="M72" s="143"/>
      <c r="N72" s="211" t="s">
        <v>573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IFERROR(__xludf.DUMMYFUNCTION("FILTER('설정시트'!$D$7:$K$20,'설정시트'!$C$7:$C$20=I72)"),"🍪 월급")</f>
        <v>🍪 월급</v>
      </c>
      <c r="AC72" s="214" t="str">
        <f>IFERROR(__xludf.DUMMYFUNCTION("""COMPUTED_VALUE"""),"🍪 부수입")</f>
        <v>🍪 부수입</v>
      </c>
      <c r="AD72" s="214" t="str">
        <f>IFERROR(__xludf.DUMMYFUNCTION("""COMPUTED_VALUE"""),"🐻 월급")</f>
        <v>🐻 월급</v>
      </c>
      <c r="AE72" s="214" t="str">
        <f>IFERROR(__xludf.DUMMYFUNCTION("""COMPUTED_VALUE"""),"🐻 부수입")</f>
        <v>🐻 부수입</v>
      </c>
      <c r="AF72" s="214" t="str">
        <f>IFERROR(__xludf.DUMMYFUNCTION("""COMPUTED_VALUE"""),"기타")</f>
        <v>기타</v>
      </c>
      <c r="AG72" s="214"/>
      <c r="AH72" s="214"/>
      <c r="AI72" s="214"/>
    </row>
    <row r="73">
      <c r="H73" s="208">
        <v>45779.0</v>
      </c>
      <c r="I73" s="209" t="s">
        <v>9</v>
      </c>
      <c r="J73" s="209" t="s">
        <v>12</v>
      </c>
      <c r="K73" s="210">
        <v>3000000.0</v>
      </c>
      <c r="L73" s="211"/>
      <c r="M73" s="143"/>
      <c r="N73" s="213"/>
      <c r="O73" s="212"/>
      <c r="P73" s="212"/>
      <c r="Q73" s="143"/>
      <c r="R73" s="213"/>
      <c r="S73" s="212"/>
      <c r="T73" s="145"/>
      <c r="AB73" s="214" t="str">
        <f>IFERROR(__xludf.DUMMYFUNCTION("FILTER('설정시트'!$D$7:$K$20,'설정시트'!$C$7:$C$20=I73)"),"주택청약")</f>
        <v>주택청약</v>
      </c>
      <c r="AC73" s="214" t="str">
        <f>IFERROR(__xludf.DUMMYFUNCTION("""COMPUTED_VALUE"""),"우리은행")</f>
        <v>우리은행</v>
      </c>
      <c r="AD73" s="214" t="str">
        <f>IFERROR(__xludf.DUMMYFUNCTION("""COMPUTED_VALUE"""),"케이뱅크")</f>
        <v>케이뱅크</v>
      </c>
      <c r="AE73" s="214" t="str">
        <f>IFERROR(__xludf.DUMMYFUNCTION("""COMPUTED_VALUE"""),"연금저축")</f>
        <v>연금저축</v>
      </c>
      <c r="AF73" s="214"/>
      <c r="AG73" s="214"/>
      <c r="AH73" s="214"/>
      <c r="AI73" s="214"/>
    </row>
    <row r="74">
      <c r="H74" s="208">
        <v>45779.0</v>
      </c>
      <c r="I74" s="209" t="s">
        <v>31</v>
      </c>
      <c r="J74" s="209" t="s">
        <v>28</v>
      </c>
      <c r="K74" s="210">
        <v>13000.0</v>
      </c>
      <c r="L74" s="211" t="s">
        <v>64</v>
      </c>
      <c r="M74" s="143"/>
      <c r="N74" s="211" t="s">
        <v>574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IFERROR(__xludf.DUMMYFUNCTION("FILTER('설정시트'!$D$7:$K$20,'설정시트'!$C$7:$C$20=I74)"),"식재료비")</f>
        <v>식재료비</v>
      </c>
      <c r="AC74" s="214" t="str">
        <f>IFERROR(__xludf.DUMMYFUNCTION("""COMPUTED_VALUE"""),"회사점심")</f>
        <v>회사점심</v>
      </c>
      <c r="AD74" s="214" t="str">
        <f>IFERROR(__xludf.DUMMYFUNCTION("""COMPUTED_VALUE"""),"간식/카페")</f>
        <v>간식/카페</v>
      </c>
      <c r="AE74" s="214" t="str">
        <f>IFERROR(__xludf.DUMMYFUNCTION("""COMPUTED_VALUE"""),"외식/배달")</f>
        <v>외식/배달</v>
      </c>
      <c r="AF74" s="214" t="str">
        <f>IFERROR(__xludf.DUMMYFUNCTION("""COMPUTED_VALUE"""),"기타")</f>
        <v>기타</v>
      </c>
      <c r="AG74" s="214"/>
      <c r="AH74" s="214"/>
      <c r="AI74" s="214"/>
    </row>
    <row r="75">
      <c r="H75" s="208">
        <v>45779.0</v>
      </c>
      <c r="I75" s="209" t="s">
        <v>26</v>
      </c>
      <c r="J75" s="209" t="s">
        <v>30</v>
      </c>
      <c r="K75" s="210">
        <v>34479.0</v>
      </c>
      <c r="L75" s="211" t="s">
        <v>58</v>
      </c>
      <c r="M75" s="143"/>
      <c r="N75" s="211" t="s">
        <v>575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IFERROR(__xludf.DUMMYFUNCTION("FILTER('설정시트'!$D$7:$K$20,'설정시트'!$C$7:$C$20=I75)"),"식재료비")</f>
        <v>식재료비</v>
      </c>
      <c r="AC75" s="214" t="str">
        <f>IFERROR(__xludf.DUMMYFUNCTION("""COMPUTED_VALUE"""),"회사점심")</f>
        <v>회사점심</v>
      </c>
      <c r="AD75" s="214" t="str">
        <f>IFERROR(__xludf.DUMMYFUNCTION("""COMPUTED_VALUE"""),"간식/카페")</f>
        <v>간식/카페</v>
      </c>
      <c r="AE75" s="214" t="str">
        <f>IFERROR(__xludf.DUMMYFUNCTION("""COMPUTED_VALUE"""),"외식/배달")</f>
        <v>외식/배달</v>
      </c>
      <c r="AF75" s="214" t="str">
        <f>IFERROR(__xludf.DUMMYFUNCTION("""COMPUTED_VALUE"""),"기타")</f>
        <v>기타</v>
      </c>
      <c r="AG75" s="214"/>
      <c r="AH75" s="214"/>
      <c r="AI75" s="214"/>
    </row>
    <row r="76">
      <c r="H76" s="208">
        <v>45780.0</v>
      </c>
      <c r="I76" s="209" t="s">
        <v>22</v>
      </c>
      <c r="J76" s="209" t="s">
        <v>8</v>
      </c>
      <c r="K76" s="210">
        <v>17000.0</v>
      </c>
      <c r="L76" s="211" t="s">
        <v>55</v>
      </c>
      <c r="M76" s="143"/>
      <c r="N76" s="211" t="s">
        <v>576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IFERROR(__xludf.DUMMYFUNCTION("FILTER('설정시트'!$D$7:$K$20,'설정시트'!$C$7:$C$20=I76)"),"주방/욕실")</f>
        <v>주방/욕실</v>
      </c>
      <c r="AC76" s="214" t="str">
        <f>IFERROR(__xludf.DUMMYFUNCTION("""COMPUTED_VALUE"""),"소모품")</f>
        <v>소모품</v>
      </c>
      <c r="AD76" s="214" t="str">
        <f>IFERROR(__xludf.DUMMYFUNCTION("""COMPUTED_VALUE"""),"기타")</f>
        <v>기타</v>
      </c>
      <c r="AE76" s="214"/>
      <c r="AF76" s="214"/>
      <c r="AG76" s="214"/>
      <c r="AH76" s="214"/>
      <c r="AI76" s="214"/>
    </row>
    <row r="77">
      <c r="H77" s="208">
        <v>45780.0</v>
      </c>
      <c r="I77" s="209" t="s">
        <v>26</v>
      </c>
      <c r="J77" s="209" t="s">
        <v>27</v>
      </c>
      <c r="K77" s="216">
        <v>16020.0</v>
      </c>
      <c r="L77" s="211" t="s">
        <v>58</v>
      </c>
      <c r="M77" s="143"/>
      <c r="N77" s="211" t="s">
        <v>577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IFERROR(__xludf.DUMMYFUNCTION("FILTER('설정시트'!$D$7:$K$20,'설정시트'!$C$7:$C$20=I77)"),"식재료비")</f>
        <v>식재료비</v>
      </c>
      <c r="AC77" s="214" t="str">
        <f>IFERROR(__xludf.DUMMYFUNCTION("""COMPUTED_VALUE"""),"회사점심")</f>
        <v>회사점심</v>
      </c>
      <c r="AD77" s="214" t="str">
        <f>IFERROR(__xludf.DUMMYFUNCTION("""COMPUTED_VALUE"""),"간식/카페")</f>
        <v>간식/카페</v>
      </c>
      <c r="AE77" s="214" t="str">
        <f>IFERROR(__xludf.DUMMYFUNCTION("""COMPUTED_VALUE"""),"외식/배달")</f>
        <v>외식/배달</v>
      </c>
      <c r="AF77" s="214" t="str">
        <f>IFERROR(__xludf.DUMMYFUNCTION("""COMPUTED_VALUE"""),"기타")</f>
        <v>기타</v>
      </c>
      <c r="AG77" s="214"/>
      <c r="AH77" s="214"/>
      <c r="AI77" s="214"/>
    </row>
    <row r="78">
      <c r="H78" s="208">
        <v>45781.0</v>
      </c>
      <c r="I78" s="209" t="s">
        <v>45</v>
      </c>
      <c r="J78" s="209" t="s">
        <v>44</v>
      </c>
      <c r="K78" s="210">
        <v>30000.0</v>
      </c>
      <c r="L78" s="211" t="s">
        <v>64</v>
      </c>
      <c r="M78" s="143"/>
      <c r="N78" s="211" t="s">
        <v>578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IFERROR(__xludf.DUMMYFUNCTION("FILTER('설정시트'!$D$7:$K$20,'설정시트'!$C$7:$C$20=I78)"),"약국")</f>
        <v>약국</v>
      </c>
      <c r="AC78" s="214" t="str">
        <f>IFERROR(__xludf.DUMMYFUNCTION("""COMPUTED_VALUE"""),"병원비")</f>
        <v>병원비</v>
      </c>
      <c r="AD78" s="214" t="str">
        <f>IFERROR(__xludf.DUMMYFUNCTION("""COMPUTED_VALUE"""),"영양제")</f>
        <v>영양제</v>
      </c>
      <c r="AE78" s="214" t="str">
        <f>IFERROR(__xludf.DUMMYFUNCTION("""COMPUTED_VALUE"""),"교통비")</f>
        <v>교통비</v>
      </c>
      <c r="AF78" s="214" t="str">
        <f>IFERROR(__xludf.DUMMYFUNCTION("""COMPUTED_VALUE"""),"주유비")</f>
        <v>주유비</v>
      </c>
      <c r="AG78" s="214"/>
      <c r="AH78" s="214" t="str">
        <f>IFERROR(__xludf.DUMMYFUNCTION("""COMPUTED_VALUE"""),"기타")</f>
        <v>기타</v>
      </c>
      <c r="AI78" s="214"/>
    </row>
    <row r="79">
      <c r="H79" s="208">
        <v>45781.0</v>
      </c>
      <c r="I79" s="209" t="s">
        <v>26</v>
      </c>
      <c r="J79" s="209" t="s">
        <v>29</v>
      </c>
      <c r="K79" s="210">
        <v>14500.0</v>
      </c>
      <c r="L79" s="211" t="s">
        <v>57</v>
      </c>
      <c r="M79" s="143"/>
      <c r="N79" s="211" t="s">
        <v>579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IFERROR(__xludf.DUMMYFUNCTION("FILTER('설정시트'!$D$7:$K$20,'설정시트'!$C$7:$C$20=I79)"),"식재료비")</f>
        <v>식재료비</v>
      </c>
      <c r="AC79" s="214" t="str">
        <f>IFERROR(__xludf.DUMMYFUNCTION("""COMPUTED_VALUE"""),"회사점심")</f>
        <v>회사점심</v>
      </c>
      <c r="AD79" s="214" t="str">
        <f>IFERROR(__xludf.DUMMYFUNCTION("""COMPUTED_VALUE"""),"간식/카페")</f>
        <v>간식/카페</v>
      </c>
      <c r="AE79" s="214" t="str">
        <f>IFERROR(__xludf.DUMMYFUNCTION("""COMPUTED_VALUE"""),"외식/배달")</f>
        <v>외식/배달</v>
      </c>
      <c r="AF79" s="214" t="str">
        <f>IFERROR(__xludf.DUMMYFUNCTION("""COMPUTED_VALUE"""),"기타")</f>
        <v>기타</v>
      </c>
      <c r="AG79" s="214"/>
      <c r="AH79" s="214"/>
      <c r="AI79" s="214"/>
    </row>
    <row r="80">
      <c r="H80" s="208">
        <v>45782.0</v>
      </c>
      <c r="I80" s="209" t="s">
        <v>26</v>
      </c>
      <c r="J80" s="209" t="s">
        <v>29</v>
      </c>
      <c r="K80" s="210">
        <v>560000.0</v>
      </c>
      <c r="L80" s="211" t="s">
        <v>55</v>
      </c>
      <c r="M80" s="143"/>
      <c r="N80" s="211" t="s">
        <v>580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IFERROR(__xludf.DUMMYFUNCTION("FILTER('설정시트'!$D$7:$K$20,'설정시트'!$C$7:$C$20=I80)"),"식재료비")</f>
        <v>식재료비</v>
      </c>
      <c r="AC80" s="214" t="str">
        <f>IFERROR(__xludf.DUMMYFUNCTION("""COMPUTED_VALUE"""),"회사점심")</f>
        <v>회사점심</v>
      </c>
      <c r="AD80" s="214" t="str">
        <f>IFERROR(__xludf.DUMMYFUNCTION("""COMPUTED_VALUE"""),"간식/카페")</f>
        <v>간식/카페</v>
      </c>
      <c r="AE80" s="214" t="str">
        <f>IFERROR(__xludf.DUMMYFUNCTION("""COMPUTED_VALUE"""),"외식/배달")</f>
        <v>외식/배달</v>
      </c>
      <c r="AF80" s="214" t="str">
        <f>IFERROR(__xludf.DUMMYFUNCTION("""COMPUTED_VALUE"""),"기타")</f>
        <v>기타</v>
      </c>
      <c r="AG80" s="214"/>
      <c r="AH80" s="214"/>
      <c r="AI80" s="214"/>
    </row>
    <row r="81">
      <c r="H81" s="208">
        <v>45782.0</v>
      </c>
      <c r="I81" s="209" t="s">
        <v>32</v>
      </c>
      <c r="J81" s="209" t="s">
        <v>34</v>
      </c>
      <c r="K81" s="210">
        <v>1900.0</v>
      </c>
      <c r="L81" s="211" t="s">
        <v>57</v>
      </c>
      <c r="M81" s="143"/>
      <c r="N81" s="211" t="s">
        <v>581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IFERROR(__xludf.DUMMYFUNCTION("FILTER('설정시트'!$D$7:$K$20,'설정시트'!$C$7:$C$20=I81)"),"의류/잡화")</f>
        <v>의류/잡화</v>
      </c>
      <c r="AC81" s="214" t="str">
        <f>IFERROR(__xludf.DUMMYFUNCTION("""COMPUTED_VALUE"""),"OTT")</f>
        <v>OTT</v>
      </c>
      <c r="AD81" s="214" t="str">
        <f>IFERROR(__xludf.DUMMYFUNCTION("""COMPUTED_VALUE"""),"문화생활")</f>
        <v>문화생활</v>
      </c>
      <c r="AE81" s="214" t="str">
        <f>IFERROR(__xludf.DUMMYFUNCTION("""COMPUTED_VALUE"""),"자기계발")</f>
        <v>자기계발</v>
      </c>
      <c r="AF81" s="214" t="str">
        <f>IFERROR(__xludf.DUMMYFUNCTION("""COMPUTED_VALUE"""),"미용")</f>
        <v>미용</v>
      </c>
      <c r="AG81" s="214"/>
      <c r="AH81" s="214" t="str">
        <f>IFERROR(__xludf.DUMMYFUNCTION("""COMPUTED_VALUE"""),"기타")</f>
        <v>기타</v>
      </c>
      <c r="AI81" s="214"/>
    </row>
    <row r="82">
      <c r="H82" s="208">
        <v>45782.0</v>
      </c>
      <c r="I82" s="209" t="s">
        <v>22</v>
      </c>
      <c r="J82" s="209" t="s">
        <v>23</v>
      </c>
      <c r="K82" s="216">
        <v>14652.0</v>
      </c>
      <c r="L82" s="211" t="s">
        <v>58</v>
      </c>
      <c r="M82" s="143"/>
      <c r="N82" s="211" t="s">
        <v>582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IFERROR(__xludf.DUMMYFUNCTION("FILTER('설정시트'!$D$7:$K$20,'설정시트'!$C$7:$C$20=I82)"),"주방/욕실")</f>
        <v>주방/욕실</v>
      </c>
      <c r="AC82" s="214" t="str">
        <f>IFERROR(__xludf.DUMMYFUNCTION("""COMPUTED_VALUE"""),"소모품")</f>
        <v>소모품</v>
      </c>
      <c r="AD82" s="214" t="str">
        <f>IFERROR(__xludf.DUMMYFUNCTION("""COMPUTED_VALUE"""),"기타")</f>
        <v>기타</v>
      </c>
      <c r="AE82" s="214"/>
      <c r="AF82" s="214"/>
      <c r="AG82" s="214"/>
      <c r="AH82" s="214"/>
      <c r="AI82" s="214"/>
    </row>
    <row r="83">
      <c r="H83" s="208">
        <v>45782.0</v>
      </c>
      <c r="I83" s="209" t="s">
        <v>26</v>
      </c>
      <c r="J83" s="209" t="s">
        <v>27</v>
      </c>
      <c r="K83" s="216">
        <v>29400.0</v>
      </c>
      <c r="L83" s="211" t="s">
        <v>58</v>
      </c>
      <c r="M83" s="143"/>
      <c r="N83" s="211" t="s">
        <v>405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IFERROR(__xludf.DUMMYFUNCTION("FILTER('설정시트'!$D$7:$K$20,'설정시트'!$C$7:$C$20=I83)"),"식재료비")</f>
        <v>식재료비</v>
      </c>
      <c r="AC83" s="214" t="str">
        <f>IFERROR(__xludf.DUMMYFUNCTION("""COMPUTED_VALUE"""),"회사점심")</f>
        <v>회사점심</v>
      </c>
      <c r="AD83" s="214" t="str">
        <f>IFERROR(__xludf.DUMMYFUNCTION("""COMPUTED_VALUE"""),"간식/카페")</f>
        <v>간식/카페</v>
      </c>
      <c r="AE83" s="214" t="str">
        <f>IFERROR(__xludf.DUMMYFUNCTION("""COMPUTED_VALUE"""),"외식/배달")</f>
        <v>외식/배달</v>
      </c>
      <c r="AF83" s="214" t="str">
        <f>IFERROR(__xludf.DUMMYFUNCTION("""COMPUTED_VALUE"""),"기타")</f>
        <v>기타</v>
      </c>
      <c r="AG83" s="214"/>
      <c r="AH83" s="214"/>
      <c r="AI83" s="214"/>
    </row>
    <row r="84">
      <c r="H84" s="208">
        <v>45783.0</v>
      </c>
      <c r="I84" s="209" t="s">
        <v>31</v>
      </c>
      <c r="J84" s="209" t="s">
        <v>29</v>
      </c>
      <c r="K84" s="210">
        <f>4500+8000</f>
        <v>12500</v>
      </c>
      <c r="L84" s="211" t="s">
        <v>64</v>
      </c>
      <c r="M84" s="143"/>
      <c r="N84" s="211" t="s">
        <v>583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IFERROR(__xludf.DUMMYFUNCTION("FILTER('설정시트'!$D$7:$K$20,'설정시트'!$C$7:$C$20=I84)"),"식재료비")</f>
        <v>식재료비</v>
      </c>
      <c r="AC84" s="214" t="str">
        <f>IFERROR(__xludf.DUMMYFUNCTION("""COMPUTED_VALUE"""),"회사점심")</f>
        <v>회사점심</v>
      </c>
      <c r="AD84" s="214" t="str">
        <f>IFERROR(__xludf.DUMMYFUNCTION("""COMPUTED_VALUE"""),"간식/카페")</f>
        <v>간식/카페</v>
      </c>
      <c r="AE84" s="214" t="str">
        <f>IFERROR(__xludf.DUMMYFUNCTION("""COMPUTED_VALUE"""),"외식/배달")</f>
        <v>외식/배달</v>
      </c>
      <c r="AF84" s="214" t="str">
        <f>IFERROR(__xludf.DUMMYFUNCTION("""COMPUTED_VALUE"""),"기타")</f>
        <v>기타</v>
      </c>
      <c r="AG84" s="214"/>
      <c r="AH84" s="214"/>
      <c r="AI84" s="214"/>
    </row>
    <row r="85">
      <c r="H85" s="208">
        <v>45783.0</v>
      </c>
      <c r="I85" s="209" t="s">
        <v>38</v>
      </c>
      <c r="J85" s="209" t="s">
        <v>33</v>
      </c>
      <c r="K85" s="210">
        <v>53800.0</v>
      </c>
      <c r="L85" s="211" t="s">
        <v>64</v>
      </c>
      <c r="M85" s="143"/>
      <c r="N85" s="211" t="s">
        <v>584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IFERROR(__xludf.DUMMYFUNCTION("FILTER('설정시트'!$D$7:$K$20,'설정시트'!$C$7:$C$20=I85)"),"의류/잡화")</f>
        <v>의류/잡화</v>
      </c>
      <c r="AC85" s="214" t="str">
        <f>IFERROR(__xludf.DUMMYFUNCTION("""COMPUTED_VALUE"""),"OTT")</f>
        <v>OTT</v>
      </c>
      <c r="AD85" s="214" t="str">
        <f>IFERROR(__xludf.DUMMYFUNCTION("""COMPUTED_VALUE"""),"문화생활")</f>
        <v>문화생활</v>
      </c>
      <c r="AE85" s="214" t="str">
        <f>IFERROR(__xludf.DUMMYFUNCTION("""COMPUTED_VALUE"""),"자기계발")</f>
        <v>자기계발</v>
      </c>
      <c r="AF85" s="214" t="str">
        <f>IFERROR(__xludf.DUMMYFUNCTION("""COMPUTED_VALUE"""),"미용")</f>
        <v>미용</v>
      </c>
      <c r="AG85" s="214"/>
      <c r="AH85" s="214" t="str">
        <f>IFERROR(__xludf.DUMMYFUNCTION("""COMPUTED_VALUE"""),"기타")</f>
        <v>기타</v>
      </c>
      <c r="AI85" s="214"/>
    </row>
    <row r="86">
      <c r="H86" s="208">
        <v>45783.0</v>
      </c>
      <c r="I86" s="209" t="s">
        <v>26</v>
      </c>
      <c r="J86" s="209" t="s">
        <v>28</v>
      </c>
      <c r="K86" s="210">
        <v>36000.0</v>
      </c>
      <c r="L86" s="211" t="s">
        <v>57</v>
      </c>
      <c r="M86" s="143"/>
      <c r="N86" s="211" t="s">
        <v>585</v>
      </c>
      <c r="O86" s="212"/>
      <c r="P86" s="212"/>
      <c r="Q86" s="143"/>
      <c r="R86" s="211"/>
      <c r="S86" s="212"/>
      <c r="T86" s="145"/>
      <c r="AB86" s="214" t="str">
        <f>IFERROR(__xludf.DUMMYFUNCTION("FILTER('설정시트'!$D$7:$K$20,'설정시트'!$C$7:$C$20=I86)"),"식재료비")</f>
        <v>식재료비</v>
      </c>
      <c r="AC86" s="214" t="str">
        <f>IFERROR(__xludf.DUMMYFUNCTION("""COMPUTED_VALUE"""),"회사점심")</f>
        <v>회사점심</v>
      </c>
      <c r="AD86" s="214" t="str">
        <f>IFERROR(__xludf.DUMMYFUNCTION("""COMPUTED_VALUE"""),"간식/카페")</f>
        <v>간식/카페</v>
      </c>
      <c r="AE86" s="214" t="str">
        <f>IFERROR(__xludf.DUMMYFUNCTION("""COMPUTED_VALUE"""),"외식/배달")</f>
        <v>외식/배달</v>
      </c>
      <c r="AF86" s="214" t="str">
        <f>IFERROR(__xludf.DUMMYFUNCTION("""COMPUTED_VALUE"""),"기타")</f>
        <v>기타</v>
      </c>
      <c r="AG86" s="214"/>
      <c r="AH86" s="214"/>
      <c r="AI86" s="214"/>
    </row>
    <row r="87">
      <c r="H87" s="208">
        <v>45784.0</v>
      </c>
      <c r="I87" s="209" t="s">
        <v>52</v>
      </c>
      <c r="J87" s="209" t="s">
        <v>47</v>
      </c>
      <c r="K87" s="210">
        <v>100000.0</v>
      </c>
      <c r="L87" s="211" t="s">
        <v>62</v>
      </c>
      <c r="M87" s="143"/>
      <c r="N87" s="211" t="s">
        <v>586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IFERROR(__xludf.DUMMYFUNCTION("FILTER('설정시트'!$D$7:$K$20,'설정시트'!$C$7:$C$20=I87)"),"축의/부의금")</f>
        <v>축의/부의금</v>
      </c>
      <c r="AC87" s="214" t="str">
        <f>IFERROR(__xludf.DUMMYFUNCTION("""COMPUTED_VALUE"""),"생신/생일선물")</f>
        <v>생신/생일선물</v>
      </c>
      <c r="AD87" s="214" t="str">
        <f>IFERROR(__xludf.DUMMYFUNCTION("""COMPUTED_VALUE"""),"명절/어버이날")</f>
        <v>명절/어버이날</v>
      </c>
      <c r="AE87" s="214" t="str">
        <f>IFERROR(__xludf.DUMMYFUNCTION("""COMPUTED_VALUE"""),"여행")</f>
        <v>여행</v>
      </c>
      <c r="AF87" s="214" t="str">
        <f>IFERROR(__xludf.DUMMYFUNCTION("""COMPUTED_VALUE"""),"기타")</f>
        <v>기타</v>
      </c>
      <c r="AG87" s="214" t="str">
        <f>IFERROR(__xludf.DUMMYFUNCTION("""COMPUTED_VALUE"""),"출산")</f>
        <v>출산</v>
      </c>
      <c r="AH87" s="214"/>
      <c r="AI87" s="214"/>
    </row>
    <row r="88">
      <c r="H88" s="208">
        <v>45784.0</v>
      </c>
      <c r="I88" s="209" t="s">
        <v>21</v>
      </c>
      <c r="J88" s="209" t="s">
        <v>18</v>
      </c>
      <c r="K88" s="210">
        <v>3300.0</v>
      </c>
      <c r="L88" s="211" t="s">
        <v>61</v>
      </c>
      <c r="M88" s="143"/>
      <c r="N88" s="211" t="s">
        <v>310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IFERROR(__xludf.DUMMYFUNCTION("FILTER('설정시트'!$D$7:$K$20,'설정시트'!$C$7:$C$20=I88)"),"관리비")</f>
        <v>관리비</v>
      </c>
      <c r="AC88" s="214" t="str">
        <f>IFERROR(__xludf.DUMMYFUNCTION("""COMPUTED_VALUE"""),"대출이자")</f>
        <v>대출이자</v>
      </c>
      <c r="AD88" s="214" t="str">
        <f>IFERROR(__xludf.DUMMYFUNCTION("""COMPUTED_VALUE"""),"통신비")</f>
        <v>통신비</v>
      </c>
      <c r="AE88" s="214" t="str">
        <f>IFERROR(__xludf.DUMMYFUNCTION("""COMPUTED_VALUE"""),"보험료")</f>
        <v>보험료</v>
      </c>
      <c r="AF88" s="214" t="str">
        <f>IFERROR(__xludf.DUMMYFUNCTION("""COMPUTED_VALUE"""),"곗돈")</f>
        <v>곗돈</v>
      </c>
      <c r="AG88" s="214"/>
      <c r="AH88" s="214"/>
      <c r="AI88" s="214"/>
    </row>
    <row r="89">
      <c r="H89" s="208">
        <v>45784.0</v>
      </c>
      <c r="I89" s="209" t="s">
        <v>52</v>
      </c>
      <c r="J89" s="209" t="s">
        <v>49</v>
      </c>
      <c r="K89" s="210">
        <v>95000.0</v>
      </c>
      <c r="L89" s="211" t="s">
        <v>64</v>
      </c>
      <c r="M89" s="143"/>
      <c r="N89" s="211" t="s">
        <v>587</v>
      </c>
      <c r="O89" s="212"/>
      <c r="P89" s="212"/>
      <c r="Q89" s="143"/>
      <c r="R89" s="211" t="s">
        <v>588</v>
      </c>
      <c r="S89" s="212"/>
      <c r="T89" s="145"/>
      <c r="AB89" s="214" t="str">
        <f>IFERROR(__xludf.DUMMYFUNCTION("FILTER('설정시트'!$D$7:$K$20,'설정시트'!$C$7:$C$20=I89)"),"축의/부의금")</f>
        <v>축의/부의금</v>
      </c>
      <c r="AC89" s="214" t="str">
        <f>IFERROR(__xludf.DUMMYFUNCTION("""COMPUTED_VALUE"""),"생신/생일선물")</f>
        <v>생신/생일선물</v>
      </c>
      <c r="AD89" s="214" t="str">
        <f>IFERROR(__xludf.DUMMYFUNCTION("""COMPUTED_VALUE"""),"명절/어버이날")</f>
        <v>명절/어버이날</v>
      </c>
      <c r="AE89" s="214" t="str">
        <f>IFERROR(__xludf.DUMMYFUNCTION("""COMPUTED_VALUE"""),"여행")</f>
        <v>여행</v>
      </c>
      <c r="AF89" s="214" t="str">
        <f>IFERROR(__xludf.DUMMYFUNCTION("""COMPUTED_VALUE"""),"기타")</f>
        <v>기타</v>
      </c>
      <c r="AG89" s="214" t="str">
        <f>IFERROR(__xludf.DUMMYFUNCTION("""COMPUTED_VALUE"""),"출산")</f>
        <v>출산</v>
      </c>
      <c r="AH89" s="214"/>
      <c r="AI89" s="214"/>
    </row>
    <row r="90">
      <c r="H90" s="208">
        <v>45784.0</v>
      </c>
      <c r="I90" s="209" t="s">
        <v>52</v>
      </c>
      <c r="J90" s="209" t="s">
        <v>49</v>
      </c>
      <c r="K90" s="210">
        <v>108800.0</v>
      </c>
      <c r="L90" s="211" t="s">
        <v>64</v>
      </c>
      <c r="M90" s="143"/>
      <c r="N90" s="211" t="s">
        <v>589</v>
      </c>
      <c r="O90" s="212"/>
      <c r="P90" s="212"/>
      <c r="Q90" s="143"/>
      <c r="R90" s="211" t="s">
        <v>590</v>
      </c>
      <c r="S90" s="212"/>
      <c r="T90" s="145"/>
      <c r="AB90" s="214" t="str">
        <f>IFERROR(__xludf.DUMMYFUNCTION("FILTER('설정시트'!$D$7:$K$20,'설정시트'!$C$7:$C$20=I90)"),"축의/부의금")</f>
        <v>축의/부의금</v>
      </c>
      <c r="AC90" s="214" t="str">
        <f>IFERROR(__xludf.DUMMYFUNCTION("""COMPUTED_VALUE"""),"생신/생일선물")</f>
        <v>생신/생일선물</v>
      </c>
      <c r="AD90" s="214" t="str">
        <f>IFERROR(__xludf.DUMMYFUNCTION("""COMPUTED_VALUE"""),"명절/어버이날")</f>
        <v>명절/어버이날</v>
      </c>
      <c r="AE90" s="214" t="str">
        <f>IFERROR(__xludf.DUMMYFUNCTION("""COMPUTED_VALUE"""),"여행")</f>
        <v>여행</v>
      </c>
      <c r="AF90" s="214" t="str">
        <f>IFERROR(__xludf.DUMMYFUNCTION("""COMPUTED_VALUE"""),"기타")</f>
        <v>기타</v>
      </c>
      <c r="AG90" s="214" t="str">
        <f>IFERROR(__xludf.DUMMYFUNCTION("""COMPUTED_VALUE"""),"출산")</f>
        <v>출산</v>
      </c>
      <c r="AH90" s="214"/>
      <c r="AI90" s="214"/>
    </row>
    <row r="91">
      <c r="H91" s="208">
        <v>45784.0</v>
      </c>
      <c r="I91" s="209" t="s">
        <v>26</v>
      </c>
      <c r="J91" s="209" t="s">
        <v>30</v>
      </c>
      <c r="K91" s="210">
        <v>22800.0</v>
      </c>
      <c r="L91" s="211" t="s">
        <v>57</v>
      </c>
      <c r="M91" s="143"/>
      <c r="N91" s="211" t="s">
        <v>591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IFERROR(__xludf.DUMMYFUNCTION("FILTER('설정시트'!$D$7:$K$20,'설정시트'!$C$7:$C$20=I91)"),"식재료비")</f>
        <v>식재료비</v>
      </c>
      <c r="AC91" s="214" t="str">
        <f>IFERROR(__xludf.DUMMYFUNCTION("""COMPUTED_VALUE"""),"회사점심")</f>
        <v>회사점심</v>
      </c>
      <c r="AD91" s="214" t="str">
        <f>IFERROR(__xludf.DUMMYFUNCTION("""COMPUTED_VALUE"""),"간식/카페")</f>
        <v>간식/카페</v>
      </c>
      <c r="AE91" s="214" t="str">
        <f>IFERROR(__xludf.DUMMYFUNCTION("""COMPUTED_VALUE"""),"외식/배달")</f>
        <v>외식/배달</v>
      </c>
      <c r="AF91" s="214" t="str">
        <f>IFERROR(__xludf.DUMMYFUNCTION("""COMPUTED_VALUE"""),"기타")</f>
        <v>기타</v>
      </c>
      <c r="AG91" s="214"/>
      <c r="AH91" s="214"/>
      <c r="AI91" s="214"/>
    </row>
    <row r="92">
      <c r="H92" s="208">
        <v>45784.0</v>
      </c>
      <c r="I92" s="209" t="s">
        <v>22</v>
      </c>
      <c r="J92" s="209" t="s">
        <v>24</v>
      </c>
      <c r="K92" s="216">
        <v>8920.0</v>
      </c>
      <c r="L92" s="211" t="s">
        <v>58</v>
      </c>
      <c r="M92" s="143"/>
      <c r="N92" s="211" t="s">
        <v>592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IFERROR(__xludf.DUMMYFUNCTION("FILTER('설정시트'!$D$7:$K$20,'설정시트'!$C$7:$C$20=I92)"),"주방/욕실")</f>
        <v>주방/욕실</v>
      </c>
      <c r="AC92" s="214" t="str">
        <f>IFERROR(__xludf.DUMMYFUNCTION("""COMPUTED_VALUE"""),"소모품")</f>
        <v>소모품</v>
      </c>
      <c r="AD92" s="214" t="str">
        <f>IFERROR(__xludf.DUMMYFUNCTION("""COMPUTED_VALUE"""),"기타")</f>
        <v>기타</v>
      </c>
      <c r="AE92" s="214"/>
      <c r="AF92" s="214"/>
      <c r="AG92" s="214"/>
      <c r="AH92" s="214"/>
      <c r="AI92" s="214"/>
    </row>
    <row r="93">
      <c r="H93" s="208">
        <v>45785.0</v>
      </c>
      <c r="I93" s="209" t="s">
        <v>45</v>
      </c>
      <c r="J93" s="209" t="s">
        <v>8</v>
      </c>
      <c r="K93" s="210">
        <v>11000.0</v>
      </c>
      <c r="L93" s="211" t="s">
        <v>64</v>
      </c>
      <c r="M93" s="143"/>
      <c r="N93" s="211" t="s">
        <v>557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IFERROR(__xludf.DUMMYFUNCTION("FILTER('설정시트'!$D$7:$K$20,'설정시트'!$C$7:$C$20=I93)"),"약국")</f>
        <v>약국</v>
      </c>
      <c r="AC93" s="214" t="str">
        <f>IFERROR(__xludf.DUMMYFUNCTION("""COMPUTED_VALUE"""),"병원비")</f>
        <v>병원비</v>
      </c>
      <c r="AD93" s="214" t="str">
        <f>IFERROR(__xludf.DUMMYFUNCTION("""COMPUTED_VALUE"""),"영양제")</f>
        <v>영양제</v>
      </c>
      <c r="AE93" s="214" t="str">
        <f>IFERROR(__xludf.DUMMYFUNCTION("""COMPUTED_VALUE"""),"교통비")</f>
        <v>교통비</v>
      </c>
      <c r="AF93" s="214" t="str">
        <f>IFERROR(__xludf.DUMMYFUNCTION("""COMPUTED_VALUE"""),"주유비")</f>
        <v>주유비</v>
      </c>
      <c r="AG93" s="214"/>
      <c r="AH93" s="214" t="str">
        <f>IFERROR(__xludf.DUMMYFUNCTION("""COMPUTED_VALUE"""),"기타")</f>
        <v>기타</v>
      </c>
      <c r="AI93" s="214"/>
    </row>
    <row r="94">
      <c r="H94" s="208">
        <v>45785.0</v>
      </c>
      <c r="I94" s="209" t="s">
        <v>26</v>
      </c>
      <c r="J94" s="209" t="s">
        <v>29</v>
      </c>
      <c r="K94" s="210">
        <v>5800.0</v>
      </c>
      <c r="L94" s="211" t="s">
        <v>57</v>
      </c>
      <c r="M94" s="143"/>
      <c r="N94" s="211" t="s">
        <v>593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IFERROR(__xludf.DUMMYFUNCTION("FILTER('설정시트'!$D$7:$K$20,'설정시트'!$C$7:$C$20=I94)"),"식재료비")</f>
        <v>식재료비</v>
      </c>
      <c r="AC94" s="214" t="str">
        <f>IFERROR(__xludf.DUMMYFUNCTION("""COMPUTED_VALUE"""),"회사점심")</f>
        <v>회사점심</v>
      </c>
      <c r="AD94" s="214" t="str">
        <f>IFERROR(__xludf.DUMMYFUNCTION("""COMPUTED_VALUE"""),"간식/카페")</f>
        <v>간식/카페</v>
      </c>
      <c r="AE94" s="214" t="str">
        <f>IFERROR(__xludf.DUMMYFUNCTION("""COMPUTED_VALUE"""),"외식/배달")</f>
        <v>외식/배달</v>
      </c>
      <c r="AF94" s="214" t="str">
        <f>IFERROR(__xludf.DUMMYFUNCTION("""COMPUTED_VALUE"""),"기타")</f>
        <v>기타</v>
      </c>
      <c r="AG94" s="214"/>
      <c r="AH94" s="214"/>
      <c r="AI94" s="214"/>
    </row>
    <row r="95">
      <c r="H95" s="208">
        <v>45786.0</v>
      </c>
      <c r="I95" s="209" t="s">
        <v>45</v>
      </c>
      <c r="J95" s="209" t="s">
        <v>43</v>
      </c>
      <c r="K95" s="210">
        <v>11200.0</v>
      </c>
      <c r="L95" s="211" t="s">
        <v>64</v>
      </c>
      <c r="M95" s="143"/>
      <c r="N95" s="211" t="s">
        <v>594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IFERROR(__xludf.DUMMYFUNCTION("FILTER('설정시트'!$D$7:$K$20,'설정시트'!$C$7:$C$20=I95)"),"약국")</f>
        <v>약국</v>
      </c>
      <c r="AC95" s="214" t="str">
        <f>IFERROR(__xludf.DUMMYFUNCTION("""COMPUTED_VALUE"""),"병원비")</f>
        <v>병원비</v>
      </c>
      <c r="AD95" s="214" t="str">
        <f>IFERROR(__xludf.DUMMYFUNCTION("""COMPUTED_VALUE"""),"영양제")</f>
        <v>영양제</v>
      </c>
      <c r="AE95" s="214" t="str">
        <f>IFERROR(__xludf.DUMMYFUNCTION("""COMPUTED_VALUE"""),"교통비")</f>
        <v>교통비</v>
      </c>
      <c r="AF95" s="214" t="str">
        <f>IFERROR(__xludf.DUMMYFUNCTION("""COMPUTED_VALUE"""),"주유비")</f>
        <v>주유비</v>
      </c>
      <c r="AG95" s="214"/>
      <c r="AH95" s="214" t="str">
        <f>IFERROR(__xludf.DUMMYFUNCTION("""COMPUTED_VALUE"""),"기타")</f>
        <v>기타</v>
      </c>
      <c r="AI95" s="214"/>
    </row>
    <row r="96">
      <c r="H96" s="208">
        <v>45786.0</v>
      </c>
      <c r="I96" s="209" t="s">
        <v>31</v>
      </c>
      <c r="J96" s="209" t="s">
        <v>30</v>
      </c>
      <c r="K96" s="210">
        <v>56959.0</v>
      </c>
      <c r="L96" s="211" t="s">
        <v>64</v>
      </c>
      <c r="M96" s="143"/>
      <c r="N96" s="211" t="s">
        <v>595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IFERROR(__xludf.DUMMYFUNCTION("FILTER('설정시트'!$D$7:$K$20,'설정시트'!$C$7:$C$20=I96)"),"식재료비")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</row>
    <row r="97">
      <c r="H97" s="208">
        <v>45786.0</v>
      </c>
      <c r="I97" s="209" t="s">
        <v>21</v>
      </c>
      <c r="J97" s="209" t="s">
        <v>18</v>
      </c>
      <c r="K97" s="210">
        <v>41260.0</v>
      </c>
      <c r="L97" s="211" t="s">
        <v>64</v>
      </c>
      <c r="M97" s="143"/>
      <c r="N97" s="211" t="s">
        <v>596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IFERROR(__xludf.DUMMYFUNCTION("FILTER('설정시트'!$D$7:$K$20,'설정시트'!$C$7:$C$20=I97)"),"관리비")</f>
        <v>관리비</v>
      </c>
      <c r="AC97" s="214" t="str">
        <f>IFERROR(__xludf.DUMMYFUNCTION("""COMPUTED_VALUE"""),"대출이자")</f>
        <v>대출이자</v>
      </c>
      <c r="AD97" s="214" t="str">
        <f>IFERROR(__xludf.DUMMYFUNCTION("""COMPUTED_VALUE"""),"통신비")</f>
        <v>통신비</v>
      </c>
      <c r="AE97" s="214" t="str">
        <f>IFERROR(__xludf.DUMMYFUNCTION("""COMPUTED_VALUE"""),"보험료")</f>
        <v>보험료</v>
      </c>
      <c r="AF97" s="214" t="str">
        <f>IFERROR(__xludf.DUMMYFUNCTION("""COMPUTED_VALUE"""),"곗돈")</f>
        <v>곗돈</v>
      </c>
      <c r="AG97" s="214"/>
      <c r="AH97" s="214"/>
      <c r="AI97" s="214"/>
    </row>
    <row r="98">
      <c r="H98" s="208">
        <v>45786.0</v>
      </c>
      <c r="I98" s="209" t="s">
        <v>14</v>
      </c>
      <c r="J98" s="209" t="s">
        <v>18</v>
      </c>
      <c r="K98" s="210">
        <v>13750.0</v>
      </c>
      <c r="L98" s="211" t="s">
        <v>57</v>
      </c>
      <c r="M98" s="143"/>
      <c r="N98" s="211" t="s">
        <v>597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IFERROR(__xludf.DUMMYFUNCTION("FILTER('설정시트'!$D$7:$K$20,'설정시트'!$C$7:$C$20=I98)"),"관리비")</f>
        <v>관리비</v>
      </c>
      <c r="AC98" s="214" t="str">
        <f>IFERROR(__xludf.DUMMYFUNCTION("""COMPUTED_VALUE"""),"월세")</f>
        <v>월세</v>
      </c>
      <c r="AD98" s="214" t="str">
        <f>IFERROR(__xludf.DUMMYFUNCTION("""COMPUTED_VALUE"""),"대출이자")</f>
        <v>대출이자</v>
      </c>
      <c r="AE98" s="214" t="str">
        <f>IFERROR(__xludf.DUMMYFUNCTION("""COMPUTED_VALUE"""),"통신비")</f>
        <v>통신비</v>
      </c>
      <c r="AF98" s="214" t="str">
        <f>IFERROR(__xludf.DUMMYFUNCTION("""COMPUTED_VALUE"""),"보험료")</f>
        <v>보험료</v>
      </c>
      <c r="AG98" s="214"/>
      <c r="AH98" s="214" t="str">
        <f>IFERROR(__xludf.DUMMYFUNCTION("""COMPUTED_VALUE"""),"곗돈")</f>
        <v>곗돈</v>
      </c>
      <c r="AI98" s="214"/>
    </row>
    <row r="99">
      <c r="H99" s="208">
        <v>45786.0</v>
      </c>
      <c r="I99" s="209" t="s">
        <v>14</v>
      </c>
      <c r="J99" s="209" t="s">
        <v>18</v>
      </c>
      <c r="K99" s="216">
        <v>46750.0</v>
      </c>
      <c r="L99" s="211" t="s">
        <v>58</v>
      </c>
      <c r="M99" s="143"/>
      <c r="N99" s="211" t="s">
        <v>598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IFERROR(__xludf.DUMMYFUNCTION("FILTER('설정시트'!$D$7:$K$20,'설정시트'!$C$7:$C$20=I99)"),"관리비")</f>
        <v>관리비</v>
      </c>
      <c r="AC99" s="214" t="str">
        <f>IFERROR(__xludf.DUMMYFUNCTION("""COMPUTED_VALUE"""),"월세")</f>
        <v>월세</v>
      </c>
      <c r="AD99" s="214" t="str">
        <f>IFERROR(__xludf.DUMMYFUNCTION("""COMPUTED_VALUE"""),"대출이자")</f>
        <v>대출이자</v>
      </c>
      <c r="AE99" s="214" t="str">
        <f>IFERROR(__xludf.DUMMYFUNCTION("""COMPUTED_VALUE"""),"통신비")</f>
        <v>통신비</v>
      </c>
      <c r="AF99" s="214" t="str">
        <f>IFERROR(__xludf.DUMMYFUNCTION("""COMPUTED_VALUE"""),"보험료")</f>
        <v>보험료</v>
      </c>
      <c r="AG99" s="214"/>
      <c r="AH99" s="214" t="str">
        <f>IFERROR(__xludf.DUMMYFUNCTION("""COMPUTED_VALUE"""),"곗돈")</f>
        <v>곗돈</v>
      </c>
      <c r="AI99" s="214"/>
    </row>
    <row r="100">
      <c r="H100" s="208">
        <v>45786.0</v>
      </c>
      <c r="I100" s="209" t="s">
        <v>22</v>
      </c>
      <c r="J100" s="209" t="s">
        <v>23</v>
      </c>
      <c r="K100" s="216">
        <v>35530.0</v>
      </c>
      <c r="L100" s="211" t="s">
        <v>58</v>
      </c>
      <c r="M100" s="143"/>
      <c r="N100" s="211" t="s">
        <v>599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IFERROR(__xludf.DUMMYFUNCTION("FILTER('설정시트'!$D$7:$K$20,'설정시트'!$C$7:$C$20=I100)"),"주방/욕실")</f>
        <v>주방/욕실</v>
      </c>
      <c r="AC100" s="214" t="str">
        <f>IFERROR(__xludf.DUMMYFUNCTION("""COMPUTED_VALUE"""),"소모품")</f>
        <v>소모품</v>
      </c>
      <c r="AD100" s="214" t="str">
        <f>IFERROR(__xludf.DUMMYFUNCTION("""COMPUTED_VALUE"""),"기타")</f>
        <v>기타</v>
      </c>
      <c r="AE100" s="214"/>
      <c r="AF100" s="214"/>
      <c r="AG100" s="214"/>
      <c r="AH100" s="214"/>
      <c r="AI100" s="214"/>
    </row>
    <row r="101">
      <c r="H101" s="208">
        <v>45786.0</v>
      </c>
      <c r="I101" s="209" t="s">
        <v>22</v>
      </c>
      <c r="J101" s="209" t="s">
        <v>23</v>
      </c>
      <c r="K101" s="216">
        <v>14958.0</v>
      </c>
      <c r="L101" s="211" t="s">
        <v>58</v>
      </c>
      <c r="M101" s="143"/>
      <c r="N101" s="211" t="s">
        <v>600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IFERROR(__xludf.DUMMYFUNCTION("FILTER('설정시트'!$D$7:$K$20,'설정시트'!$C$7:$C$20=I101)"),"주방/욕실")</f>
        <v>주방/욕실</v>
      </c>
      <c r="AC101" s="214" t="str">
        <f>IFERROR(__xludf.DUMMYFUNCTION("""COMPUTED_VALUE"""),"소모품")</f>
        <v>소모품</v>
      </c>
      <c r="AD101" s="214" t="str">
        <f>IFERROR(__xludf.DUMMYFUNCTION("""COMPUTED_VALUE"""),"기타")</f>
        <v>기타</v>
      </c>
      <c r="AE101" s="214"/>
      <c r="AF101" s="214"/>
      <c r="AG101" s="214"/>
      <c r="AH101" s="214"/>
      <c r="AI101" s="214"/>
    </row>
    <row r="102">
      <c r="H102" s="208">
        <v>45787.0</v>
      </c>
      <c r="I102" s="209" t="s">
        <v>22</v>
      </c>
      <c r="J102" s="209" t="s">
        <v>23</v>
      </c>
      <c r="K102" s="210">
        <v>5000.0</v>
      </c>
      <c r="L102" s="211" t="s">
        <v>57</v>
      </c>
      <c r="M102" s="143"/>
      <c r="N102" s="211" t="s">
        <v>229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IFERROR(__xludf.DUMMYFUNCTION("FILTER('설정시트'!$D$7:$K$20,'설정시트'!$C$7:$C$20=I102)"),"주방/욕실")</f>
        <v>주방/욕실</v>
      </c>
      <c r="AC102" s="214" t="str">
        <f>IFERROR(__xludf.DUMMYFUNCTION("""COMPUTED_VALUE"""),"소모품")</f>
        <v>소모품</v>
      </c>
      <c r="AD102" s="214" t="str">
        <f>IFERROR(__xludf.DUMMYFUNCTION("""COMPUTED_VALUE"""),"기타")</f>
        <v>기타</v>
      </c>
      <c r="AE102" s="214"/>
      <c r="AF102" s="214"/>
      <c r="AG102" s="214"/>
      <c r="AH102" s="214"/>
      <c r="AI102" s="214"/>
    </row>
    <row r="103">
      <c r="H103" s="208">
        <v>45787.0</v>
      </c>
      <c r="I103" s="209" t="s">
        <v>39</v>
      </c>
      <c r="J103" s="209" t="s">
        <v>40</v>
      </c>
      <c r="K103" s="210">
        <v>20200.0</v>
      </c>
      <c r="L103" s="211" t="s">
        <v>57</v>
      </c>
      <c r="M103" s="143"/>
      <c r="N103" s="211" t="s">
        <v>601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IFERROR(__xludf.DUMMYFUNCTION("FILTER('설정시트'!$D$7:$K$20,'설정시트'!$C$7:$C$20=I103)"),"약국")</f>
        <v>약국</v>
      </c>
      <c r="AC103" s="214" t="str">
        <f>IFERROR(__xludf.DUMMYFUNCTION("""COMPUTED_VALUE"""),"병원비")</f>
        <v>병원비</v>
      </c>
      <c r="AD103" s="214" t="str">
        <f>IFERROR(__xludf.DUMMYFUNCTION("""COMPUTED_VALUE"""),"영양제")</f>
        <v>영양제</v>
      </c>
      <c r="AE103" s="214" t="str">
        <f>IFERROR(__xludf.DUMMYFUNCTION("""COMPUTED_VALUE"""),"교통비")</f>
        <v>교통비</v>
      </c>
      <c r="AF103" s="214" t="str">
        <f>IFERROR(__xludf.DUMMYFUNCTION("""COMPUTED_VALUE"""),"주유비")</f>
        <v>주유비</v>
      </c>
      <c r="AG103" s="214"/>
      <c r="AH103" s="214" t="str">
        <f>IFERROR(__xludf.DUMMYFUNCTION("""COMPUTED_VALUE"""),"기타")</f>
        <v>기타</v>
      </c>
      <c r="AI103" s="214"/>
    </row>
    <row r="104">
      <c r="H104" s="208">
        <v>45787.0</v>
      </c>
      <c r="I104" s="209" t="s">
        <v>39</v>
      </c>
      <c r="J104" s="209" t="s">
        <v>41</v>
      </c>
      <c r="K104" s="210">
        <v>59020.0</v>
      </c>
      <c r="L104" s="211" t="s">
        <v>57</v>
      </c>
      <c r="M104" s="143"/>
      <c r="N104" s="211" t="s">
        <v>602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IFERROR(__xludf.DUMMYFUNCTION("FILTER('설정시트'!$D$7:$K$20,'설정시트'!$C$7:$C$20=I104)"),"약국")</f>
        <v>약국</v>
      </c>
      <c r="AC104" s="214" t="str">
        <f>IFERROR(__xludf.DUMMYFUNCTION("""COMPUTED_VALUE"""),"병원비")</f>
        <v>병원비</v>
      </c>
      <c r="AD104" s="214" t="str">
        <f>IFERROR(__xludf.DUMMYFUNCTION("""COMPUTED_VALUE"""),"영양제")</f>
        <v>영양제</v>
      </c>
      <c r="AE104" s="214" t="str">
        <f>IFERROR(__xludf.DUMMYFUNCTION("""COMPUTED_VALUE"""),"교통비")</f>
        <v>교통비</v>
      </c>
      <c r="AF104" s="214" t="str">
        <f>IFERROR(__xludf.DUMMYFUNCTION("""COMPUTED_VALUE"""),"주유비")</f>
        <v>주유비</v>
      </c>
      <c r="AG104" s="214"/>
      <c r="AH104" s="214" t="str">
        <f>IFERROR(__xludf.DUMMYFUNCTION("""COMPUTED_VALUE"""),"기타")</f>
        <v>기타</v>
      </c>
      <c r="AI104" s="214"/>
    </row>
    <row r="105">
      <c r="H105" s="208">
        <v>45787.0</v>
      </c>
      <c r="I105" s="209" t="s">
        <v>26</v>
      </c>
      <c r="J105" s="209" t="s">
        <v>30</v>
      </c>
      <c r="K105" s="210">
        <v>22000.0</v>
      </c>
      <c r="L105" s="211" t="s">
        <v>57</v>
      </c>
      <c r="M105" s="143"/>
      <c r="N105" s="211" t="s">
        <v>197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IFERROR(__xludf.DUMMYFUNCTION("FILTER('설정시트'!$D$7:$K$20,'설정시트'!$C$7:$C$20=I105)"),"식재료비")</f>
        <v>식재료비</v>
      </c>
      <c r="AC105" s="214" t="str">
        <f>IFERROR(__xludf.DUMMYFUNCTION("""COMPUTED_VALUE"""),"회사점심")</f>
        <v>회사점심</v>
      </c>
      <c r="AD105" s="214" t="str">
        <f>IFERROR(__xludf.DUMMYFUNCTION("""COMPUTED_VALUE"""),"간식/카페")</f>
        <v>간식/카페</v>
      </c>
      <c r="AE105" s="214" t="str">
        <f>IFERROR(__xludf.DUMMYFUNCTION("""COMPUTED_VALUE"""),"외식/배달")</f>
        <v>외식/배달</v>
      </c>
      <c r="AF105" s="214" t="str">
        <f>IFERROR(__xludf.DUMMYFUNCTION("""COMPUTED_VALUE"""),"기타")</f>
        <v>기타</v>
      </c>
      <c r="AG105" s="214"/>
      <c r="AH105" s="214"/>
      <c r="AI105" s="214"/>
    </row>
    <row r="106">
      <c r="H106" s="208">
        <v>45788.0</v>
      </c>
      <c r="I106" s="209" t="s">
        <v>31</v>
      </c>
      <c r="J106" s="209" t="s">
        <v>30</v>
      </c>
      <c r="K106" s="210">
        <v>35000.0</v>
      </c>
      <c r="L106" s="211" t="s">
        <v>64</v>
      </c>
      <c r="M106" s="143"/>
      <c r="N106" s="211" t="s">
        <v>603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IFERROR(__xludf.DUMMYFUNCTION("FILTER('설정시트'!$D$7:$K$20,'설정시트'!$C$7:$C$20=I106)"),"식재료비")</f>
        <v>식재료비</v>
      </c>
      <c r="AC106" s="214" t="str">
        <f>IFERROR(__xludf.DUMMYFUNCTION("""COMPUTED_VALUE"""),"회사점심")</f>
        <v>회사점심</v>
      </c>
      <c r="AD106" s="214" t="str">
        <f>IFERROR(__xludf.DUMMYFUNCTION("""COMPUTED_VALUE"""),"간식/카페")</f>
        <v>간식/카페</v>
      </c>
      <c r="AE106" s="214" t="str">
        <f>IFERROR(__xludf.DUMMYFUNCTION("""COMPUTED_VALUE"""),"외식/배달")</f>
        <v>외식/배달</v>
      </c>
      <c r="AF106" s="214" t="str">
        <f>IFERROR(__xludf.DUMMYFUNCTION("""COMPUTED_VALUE"""),"기타")</f>
        <v>기타</v>
      </c>
      <c r="AG106" s="214"/>
      <c r="AH106" s="214"/>
      <c r="AI106" s="214"/>
    </row>
    <row r="107">
      <c r="H107" s="208">
        <v>45788.0</v>
      </c>
      <c r="I107" s="209" t="s">
        <v>45</v>
      </c>
      <c r="J107" s="209" t="s">
        <v>44</v>
      </c>
      <c r="K107" s="210">
        <v>96000.0</v>
      </c>
      <c r="L107" s="211" t="s">
        <v>64</v>
      </c>
      <c r="M107" s="143"/>
      <c r="N107" s="213"/>
      <c r="O107" s="212"/>
      <c r="P107" s="212"/>
      <c r="Q107" s="143"/>
      <c r="R107" s="213"/>
      <c r="S107" s="212"/>
      <c r="T107" s="145"/>
      <c r="AB107" s="214" t="str">
        <f>IFERROR(__xludf.DUMMYFUNCTION("FILTER('설정시트'!$D$7:$K$20,'설정시트'!$C$7:$C$20=I107)"),"약국")</f>
        <v>약국</v>
      </c>
      <c r="AC107" s="214" t="str">
        <f>IFERROR(__xludf.DUMMYFUNCTION("""COMPUTED_VALUE"""),"병원비")</f>
        <v>병원비</v>
      </c>
      <c r="AD107" s="214" t="str">
        <f>IFERROR(__xludf.DUMMYFUNCTION("""COMPUTED_VALUE"""),"영양제")</f>
        <v>영양제</v>
      </c>
      <c r="AE107" s="214" t="str">
        <f>IFERROR(__xludf.DUMMYFUNCTION("""COMPUTED_VALUE"""),"교통비")</f>
        <v>교통비</v>
      </c>
      <c r="AF107" s="214" t="str">
        <f>IFERROR(__xludf.DUMMYFUNCTION("""COMPUTED_VALUE"""),"주유비")</f>
        <v>주유비</v>
      </c>
      <c r="AG107" s="214"/>
      <c r="AH107" s="214" t="str">
        <f>IFERROR(__xludf.DUMMYFUNCTION("""COMPUTED_VALUE"""),"기타")</f>
        <v>기타</v>
      </c>
      <c r="AI107" s="214"/>
    </row>
    <row r="108">
      <c r="H108" s="208">
        <v>45789.0</v>
      </c>
      <c r="I108" s="209" t="s">
        <v>21</v>
      </c>
      <c r="J108" s="209" t="s">
        <v>20</v>
      </c>
      <c r="K108" s="210">
        <v>50000.0</v>
      </c>
      <c r="L108" s="211" t="s">
        <v>62</v>
      </c>
      <c r="M108" s="143"/>
      <c r="N108" s="211" t="s">
        <v>186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IFERROR(__xludf.DUMMYFUNCTION("FILTER('설정시트'!$D$7:$K$20,'설정시트'!$C$7:$C$20=I108)"),"관리비")</f>
        <v>관리비</v>
      </c>
      <c r="AC108" s="214" t="str">
        <f>IFERROR(__xludf.DUMMYFUNCTION("""COMPUTED_VALUE"""),"대출이자")</f>
        <v>대출이자</v>
      </c>
      <c r="AD108" s="214" t="str">
        <f>IFERROR(__xludf.DUMMYFUNCTION("""COMPUTED_VALUE"""),"통신비")</f>
        <v>통신비</v>
      </c>
      <c r="AE108" s="214" t="str">
        <f>IFERROR(__xludf.DUMMYFUNCTION("""COMPUTED_VALUE"""),"보험료")</f>
        <v>보험료</v>
      </c>
      <c r="AF108" s="214" t="str">
        <f>IFERROR(__xludf.DUMMYFUNCTION("""COMPUTED_VALUE"""),"곗돈")</f>
        <v>곗돈</v>
      </c>
      <c r="AG108" s="214"/>
      <c r="AH108" s="214"/>
      <c r="AI108" s="214"/>
    </row>
    <row r="109">
      <c r="H109" s="208">
        <v>45789.0</v>
      </c>
      <c r="I109" s="209" t="s">
        <v>31</v>
      </c>
      <c r="J109" s="209" t="s">
        <v>29</v>
      </c>
      <c r="K109" s="210">
        <v>6000.0</v>
      </c>
      <c r="L109" s="211" t="s">
        <v>64</v>
      </c>
      <c r="M109" s="143"/>
      <c r="N109" s="211" t="s">
        <v>604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IFERROR(__xludf.DUMMYFUNCTION("FILTER('설정시트'!$D$7:$K$20,'설정시트'!$C$7:$C$20=I109)"),"식재료비")</f>
        <v>식재료비</v>
      </c>
      <c r="AC109" s="214" t="str">
        <f>IFERROR(__xludf.DUMMYFUNCTION("""COMPUTED_VALUE"""),"회사점심")</f>
        <v>회사점심</v>
      </c>
      <c r="AD109" s="214" t="str">
        <f>IFERROR(__xludf.DUMMYFUNCTION("""COMPUTED_VALUE"""),"간식/카페")</f>
        <v>간식/카페</v>
      </c>
      <c r="AE109" s="214" t="str">
        <f>IFERROR(__xludf.DUMMYFUNCTION("""COMPUTED_VALUE"""),"외식/배달")</f>
        <v>외식/배달</v>
      </c>
      <c r="AF109" s="214" t="str">
        <f>IFERROR(__xludf.DUMMYFUNCTION("""COMPUTED_VALUE"""),"기타")</f>
        <v>기타</v>
      </c>
      <c r="AG109" s="214"/>
      <c r="AH109" s="214"/>
      <c r="AI109" s="214"/>
    </row>
    <row r="110">
      <c r="H110" s="208">
        <v>45789.0</v>
      </c>
      <c r="I110" s="209" t="s">
        <v>22</v>
      </c>
      <c r="J110" s="209" t="s">
        <v>8</v>
      </c>
      <c r="K110" s="210">
        <v>18200.0</v>
      </c>
      <c r="L110" s="211" t="s">
        <v>55</v>
      </c>
      <c r="M110" s="143"/>
      <c r="N110" s="211" t="s">
        <v>605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IFERROR(__xludf.DUMMYFUNCTION("FILTER('설정시트'!$D$7:$K$20,'설정시트'!$C$7:$C$20=I110)"),"주방/욕실")</f>
        <v>주방/욕실</v>
      </c>
      <c r="AC110" s="214" t="str">
        <f>IFERROR(__xludf.DUMMYFUNCTION("""COMPUTED_VALUE"""),"소모품")</f>
        <v>소모품</v>
      </c>
      <c r="AD110" s="214" t="str">
        <f>IFERROR(__xludf.DUMMYFUNCTION("""COMPUTED_VALUE"""),"기타")</f>
        <v>기타</v>
      </c>
      <c r="AE110" s="214"/>
      <c r="AF110" s="214"/>
      <c r="AG110" s="214"/>
      <c r="AH110" s="214"/>
      <c r="AI110" s="214"/>
    </row>
    <row r="111">
      <c r="H111" s="208">
        <v>45789.0</v>
      </c>
      <c r="I111" s="233" t="s">
        <v>3</v>
      </c>
      <c r="J111" s="233" t="s">
        <v>8</v>
      </c>
      <c r="K111" s="210">
        <v>116700.0</v>
      </c>
      <c r="L111" s="211"/>
      <c r="M111" s="143"/>
      <c r="N111" s="211" t="s">
        <v>606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IFERROR(__xludf.DUMMYFUNCTION("FILTER('설정시트'!$D$7:$K$20,'설정시트'!$C$7:$C$20=I111)"),"🍪 월급")</f>
        <v>🍪 월급</v>
      </c>
      <c r="AC111" s="214" t="str">
        <f>IFERROR(__xludf.DUMMYFUNCTION("""COMPUTED_VALUE"""),"🍪 부수입")</f>
        <v>🍪 부수입</v>
      </c>
      <c r="AD111" s="214" t="str">
        <f>IFERROR(__xludf.DUMMYFUNCTION("""COMPUTED_VALUE"""),"🐻 월급")</f>
        <v>🐻 월급</v>
      </c>
      <c r="AE111" s="214" t="str">
        <f>IFERROR(__xludf.DUMMYFUNCTION("""COMPUTED_VALUE"""),"🐻 부수입")</f>
        <v>🐻 부수입</v>
      </c>
      <c r="AF111" s="214" t="str">
        <f>IFERROR(__xludf.DUMMYFUNCTION("""COMPUTED_VALUE"""),"기타")</f>
        <v>기타</v>
      </c>
      <c r="AG111" s="214"/>
      <c r="AH111" s="214"/>
      <c r="AI111" s="214"/>
    </row>
    <row r="112">
      <c r="H112" s="208">
        <v>45789.0</v>
      </c>
      <c r="I112" s="209" t="s">
        <v>26</v>
      </c>
      <c r="J112" s="209" t="s">
        <v>28</v>
      </c>
      <c r="K112" s="210">
        <v>5000.0</v>
      </c>
      <c r="L112" s="211" t="s">
        <v>57</v>
      </c>
      <c r="M112" s="143"/>
      <c r="N112" s="211" t="s">
        <v>607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IFERROR(__xludf.DUMMYFUNCTION("FILTER('설정시트'!$D$7:$K$20,'설정시트'!$C$7:$C$20=I112)"),"식재료비")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</row>
    <row r="113">
      <c r="H113" s="208">
        <v>45789.0</v>
      </c>
      <c r="I113" s="209" t="s">
        <v>26</v>
      </c>
      <c r="J113" s="209" t="s">
        <v>29</v>
      </c>
      <c r="K113" s="216">
        <v>8000.0</v>
      </c>
      <c r="L113" s="211" t="s">
        <v>57</v>
      </c>
      <c r="M113" s="143"/>
      <c r="N113" s="211" t="s">
        <v>604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IFERROR(__xludf.DUMMYFUNCTION("FILTER('설정시트'!$D$7:$K$20,'설정시트'!$C$7:$C$20=I113)"),"식재료비")</f>
        <v>식재료비</v>
      </c>
      <c r="AC113" s="214" t="str">
        <f>IFERROR(__xludf.DUMMYFUNCTION("""COMPUTED_VALUE"""),"회사점심")</f>
        <v>회사점심</v>
      </c>
      <c r="AD113" s="214" t="str">
        <f>IFERROR(__xludf.DUMMYFUNCTION("""COMPUTED_VALUE"""),"간식/카페")</f>
        <v>간식/카페</v>
      </c>
      <c r="AE113" s="214" t="str">
        <f>IFERROR(__xludf.DUMMYFUNCTION("""COMPUTED_VALUE"""),"외식/배달")</f>
        <v>외식/배달</v>
      </c>
      <c r="AF113" s="214" t="str">
        <f>IFERROR(__xludf.DUMMYFUNCTION("""COMPUTED_VALUE"""),"기타")</f>
        <v>기타</v>
      </c>
      <c r="AG113" s="214"/>
      <c r="AH113" s="214"/>
      <c r="AI113" s="214"/>
    </row>
    <row r="114">
      <c r="H114" s="208">
        <v>45790.0</v>
      </c>
      <c r="I114" s="209" t="s">
        <v>25</v>
      </c>
      <c r="J114" s="209" t="s">
        <v>23</v>
      </c>
      <c r="K114" s="216">
        <v>894570.0</v>
      </c>
      <c r="L114" s="211" t="s">
        <v>64</v>
      </c>
      <c r="M114" s="143"/>
      <c r="N114" s="211" t="s">
        <v>608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IFERROR(__xludf.DUMMYFUNCTION("FILTER('설정시트'!$D$7:$K$20,'설정시트'!$C$7:$C$20=I114)"),"주방/욕실")</f>
        <v>주방/욕실</v>
      </c>
      <c r="AC114" s="214" t="str">
        <f>IFERROR(__xludf.DUMMYFUNCTION("""COMPUTED_VALUE"""),"소모품")</f>
        <v>소모품</v>
      </c>
      <c r="AD114" s="214" t="str">
        <f>IFERROR(__xludf.DUMMYFUNCTION("""COMPUTED_VALUE"""),"기타")</f>
        <v>기타</v>
      </c>
      <c r="AE114" s="214"/>
      <c r="AF114" s="214"/>
      <c r="AG114" s="214"/>
      <c r="AH114" s="214"/>
      <c r="AI114" s="214"/>
    </row>
    <row r="115">
      <c r="H115" s="208">
        <v>45791.0</v>
      </c>
      <c r="I115" s="209" t="s">
        <v>31</v>
      </c>
      <c r="J115" s="209" t="s">
        <v>28</v>
      </c>
      <c r="K115" s="216">
        <v>36000.0</v>
      </c>
      <c r="L115" s="211" t="s">
        <v>64</v>
      </c>
      <c r="M115" s="143"/>
      <c r="N115" s="211" t="s">
        <v>609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IFERROR(__xludf.DUMMYFUNCTION("FILTER('설정시트'!$D$7:$K$20,'설정시트'!$C$7:$C$20=I115)"),"식재료비")</f>
        <v>식재료비</v>
      </c>
      <c r="AC115" s="214" t="str">
        <f>IFERROR(__xludf.DUMMYFUNCTION("""COMPUTED_VALUE"""),"회사점심")</f>
        <v>회사점심</v>
      </c>
      <c r="AD115" s="214" t="str">
        <f>IFERROR(__xludf.DUMMYFUNCTION("""COMPUTED_VALUE"""),"간식/카페")</f>
        <v>간식/카페</v>
      </c>
      <c r="AE115" s="214" t="str">
        <f>IFERROR(__xludf.DUMMYFUNCTION("""COMPUTED_VALUE"""),"외식/배달")</f>
        <v>외식/배달</v>
      </c>
      <c r="AF115" s="214" t="str">
        <f>IFERROR(__xludf.DUMMYFUNCTION("""COMPUTED_VALUE"""),"기타")</f>
        <v>기타</v>
      </c>
      <c r="AG115" s="214"/>
      <c r="AH115" s="214"/>
      <c r="AI115" s="214"/>
    </row>
    <row r="116">
      <c r="H116" s="208">
        <v>45791.0</v>
      </c>
      <c r="I116" s="209" t="s">
        <v>31</v>
      </c>
      <c r="J116" s="209" t="s">
        <v>29</v>
      </c>
      <c r="K116" s="216">
        <v>1000.0</v>
      </c>
      <c r="L116" s="211" t="s">
        <v>64</v>
      </c>
      <c r="M116" s="143"/>
      <c r="N116" s="211" t="s">
        <v>610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IFERROR(__xludf.DUMMYFUNCTION("FILTER('설정시트'!$D$7:$K$20,'설정시트'!$C$7:$C$20=I116)"),"식재료비")</f>
        <v>식재료비</v>
      </c>
      <c r="AC116" s="214" t="str">
        <f>IFERROR(__xludf.DUMMYFUNCTION("""COMPUTED_VALUE"""),"회사점심")</f>
        <v>회사점심</v>
      </c>
      <c r="AD116" s="214" t="str">
        <f>IFERROR(__xludf.DUMMYFUNCTION("""COMPUTED_VALUE"""),"간식/카페")</f>
        <v>간식/카페</v>
      </c>
      <c r="AE116" s="214" t="str">
        <f>IFERROR(__xludf.DUMMYFUNCTION("""COMPUTED_VALUE"""),"외식/배달")</f>
        <v>외식/배달</v>
      </c>
      <c r="AF116" s="214" t="str">
        <f>IFERROR(__xludf.DUMMYFUNCTION("""COMPUTED_VALUE"""),"기타")</f>
        <v>기타</v>
      </c>
      <c r="AG116" s="214"/>
      <c r="AH116" s="214"/>
      <c r="AI116" s="214"/>
    </row>
    <row r="117">
      <c r="H117" s="208">
        <v>45791.0</v>
      </c>
      <c r="I117" s="209" t="s">
        <v>25</v>
      </c>
      <c r="J117" s="209" t="s">
        <v>24</v>
      </c>
      <c r="K117" s="216">
        <v>18000.0</v>
      </c>
      <c r="L117" s="211" t="s">
        <v>64</v>
      </c>
      <c r="M117" s="143"/>
      <c r="N117" s="211" t="s">
        <v>611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IFERROR(__xludf.DUMMYFUNCTION("FILTER('설정시트'!$D$7:$K$20,'설정시트'!$C$7:$C$20=I117)"),"주방/욕실")</f>
        <v>주방/욕실</v>
      </c>
      <c r="AC117" s="214" t="str">
        <f>IFERROR(__xludf.DUMMYFUNCTION("""COMPUTED_VALUE"""),"소모품")</f>
        <v>소모품</v>
      </c>
      <c r="AD117" s="214" t="str">
        <f>IFERROR(__xludf.DUMMYFUNCTION("""COMPUTED_VALUE"""),"기타")</f>
        <v>기타</v>
      </c>
      <c r="AE117" s="214"/>
      <c r="AF117" s="214"/>
      <c r="AG117" s="214"/>
      <c r="AH117" s="214"/>
      <c r="AI117" s="214"/>
    </row>
    <row r="118">
      <c r="H118" s="208">
        <v>45792.0</v>
      </c>
      <c r="I118" s="217" t="s">
        <v>31</v>
      </c>
      <c r="J118" s="217" t="s">
        <v>27</v>
      </c>
      <c r="K118" s="218">
        <v>2980.0</v>
      </c>
      <c r="L118" s="211" t="s">
        <v>63</v>
      </c>
      <c r="M118" s="143"/>
      <c r="N118" s="211" t="s">
        <v>612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IFERROR(__xludf.DUMMYFUNCTION("FILTER('설정시트'!$D$7:$K$20,'설정시트'!$C$7:$C$20=I118)"),"식재료비")</f>
        <v>식재료비</v>
      </c>
      <c r="AC118" s="214" t="str">
        <f>IFERROR(__xludf.DUMMYFUNCTION("""COMPUTED_VALUE"""),"회사점심")</f>
        <v>회사점심</v>
      </c>
      <c r="AD118" s="214" t="str">
        <f>IFERROR(__xludf.DUMMYFUNCTION("""COMPUTED_VALUE"""),"간식/카페")</f>
        <v>간식/카페</v>
      </c>
      <c r="AE118" s="214" t="str">
        <f>IFERROR(__xludf.DUMMYFUNCTION("""COMPUTED_VALUE"""),"외식/배달")</f>
        <v>외식/배달</v>
      </c>
      <c r="AF118" s="214" t="str">
        <f>IFERROR(__xludf.DUMMYFUNCTION("""COMPUTED_VALUE"""),"기타")</f>
        <v>기타</v>
      </c>
      <c r="AG118" s="214"/>
      <c r="AH118" s="214"/>
      <c r="AI118" s="214"/>
    </row>
    <row r="119">
      <c r="H119" s="208">
        <v>45797.0</v>
      </c>
      <c r="I119" s="217" t="s">
        <v>21</v>
      </c>
      <c r="J119" s="217" t="s">
        <v>15</v>
      </c>
      <c r="K119" s="218">
        <v>39760.0</v>
      </c>
      <c r="L119" s="211" t="s">
        <v>64</v>
      </c>
      <c r="M119" s="143"/>
      <c r="N119" s="211" t="s">
        <v>351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IFERROR(__xludf.DUMMYFUNCTION("FILTER('설정시트'!$D$7:$K$20,'설정시트'!$C$7:$C$20=I119)"),"관리비")</f>
        <v>관리비</v>
      </c>
      <c r="AC119" s="214" t="str">
        <f>IFERROR(__xludf.DUMMYFUNCTION("""COMPUTED_VALUE"""),"대출이자")</f>
        <v>대출이자</v>
      </c>
      <c r="AD119" s="214" t="str">
        <f>IFERROR(__xludf.DUMMYFUNCTION("""COMPUTED_VALUE"""),"통신비")</f>
        <v>통신비</v>
      </c>
      <c r="AE119" s="214" t="str">
        <f>IFERROR(__xludf.DUMMYFUNCTION("""COMPUTED_VALUE"""),"보험료")</f>
        <v>보험료</v>
      </c>
      <c r="AF119" s="214" t="str">
        <f>IFERROR(__xludf.DUMMYFUNCTION("""COMPUTED_VALUE"""),"곗돈")</f>
        <v>곗돈</v>
      </c>
      <c r="AG119" s="214"/>
      <c r="AH119" s="214"/>
      <c r="AI119" s="214"/>
    </row>
    <row r="120">
      <c r="H120" s="208">
        <v>45798.0</v>
      </c>
      <c r="I120" s="217" t="s">
        <v>38</v>
      </c>
      <c r="J120" s="217" t="s">
        <v>37</v>
      </c>
      <c r="K120" s="218">
        <v>65000.0</v>
      </c>
      <c r="L120" s="211" t="s">
        <v>64</v>
      </c>
      <c r="M120" s="143"/>
      <c r="N120" s="211" t="s">
        <v>613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IFERROR(__xludf.DUMMYFUNCTION("FILTER('설정시트'!$D$7:$K$20,'설정시트'!$C$7:$C$20=I120)"),"의류/잡화")</f>
        <v>의류/잡화</v>
      </c>
      <c r="AC120" s="214" t="str">
        <f>IFERROR(__xludf.DUMMYFUNCTION("""COMPUTED_VALUE"""),"OTT")</f>
        <v>OTT</v>
      </c>
      <c r="AD120" s="214" t="str">
        <f>IFERROR(__xludf.DUMMYFUNCTION("""COMPUTED_VALUE"""),"문화생활")</f>
        <v>문화생활</v>
      </c>
      <c r="AE120" s="214" t="str">
        <f>IFERROR(__xludf.DUMMYFUNCTION("""COMPUTED_VALUE"""),"자기계발")</f>
        <v>자기계발</v>
      </c>
      <c r="AF120" s="214" t="str">
        <f>IFERROR(__xludf.DUMMYFUNCTION("""COMPUTED_VALUE"""),"미용")</f>
        <v>미용</v>
      </c>
      <c r="AG120" s="214"/>
      <c r="AH120" s="214" t="str">
        <f>IFERROR(__xludf.DUMMYFUNCTION("""COMPUTED_VALUE"""),"기타")</f>
        <v>기타</v>
      </c>
      <c r="AI120" s="214"/>
    </row>
    <row r="121">
      <c r="H121" s="208">
        <v>45799.0</v>
      </c>
      <c r="I121" s="217" t="s">
        <v>31</v>
      </c>
      <c r="J121" s="217" t="s">
        <v>28</v>
      </c>
      <c r="K121" s="218">
        <v>36000.0</v>
      </c>
      <c r="L121" s="211" t="s">
        <v>61</v>
      </c>
      <c r="M121" s="143"/>
      <c r="N121" s="211" t="s">
        <v>609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IFERROR(__xludf.DUMMYFUNCTION("FILTER('설정시트'!$D$7:$K$20,'설정시트'!$C$7:$C$20=I121)"),"식재료비")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</row>
    <row r="122">
      <c r="H122" s="208">
        <v>45799.0</v>
      </c>
      <c r="I122" s="217" t="s">
        <v>52</v>
      </c>
      <c r="J122" s="217" t="s">
        <v>50</v>
      </c>
      <c r="K122" s="218">
        <v>12910.0</v>
      </c>
      <c r="L122" s="211" t="s">
        <v>61</v>
      </c>
      <c r="M122" s="143"/>
      <c r="N122" s="211" t="s">
        <v>614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IFERROR(__xludf.DUMMYFUNCTION("FILTER('설정시트'!$D$7:$K$20,'설정시트'!$C$7:$C$20=I122)"),"축의/부의금")</f>
        <v>축의/부의금</v>
      </c>
      <c r="AC122" s="214" t="str">
        <f>IFERROR(__xludf.DUMMYFUNCTION("""COMPUTED_VALUE"""),"생신/생일선물")</f>
        <v>생신/생일선물</v>
      </c>
      <c r="AD122" s="214" t="str">
        <f>IFERROR(__xludf.DUMMYFUNCTION("""COMPUTED_VALUE"""),"명절/어버이날")</f>
        <v>명절/어버이날</v>
      </c>
      <c r="AE122" s="214" t="str">
        <f>IFERROR(__xludf.DUMMYFUNCTION("""COMPUTED_VALUE"""),"여행")</f>
        <v>여행</v>
      </c>
      <c r="AF122" s="214" t="str">
        <f>IFERROR(__xludf.DUMMYFUNCTION("""COMPUTED_VALUE"""),"기타")</f>
        <v>기타</v>
      </c>
      <c r="AG122" s="214" t="str">
        <f>IFERROR(__xludf.DUMMYFUNCTION("""COMPUTED_VALUE"""),"출산")</f>
        <v>출산</v>
      </c>
      <c r="AH122" s="214"/>
      <c r="AI122" s="214"/>
    </row>
    <row r="123">
      <c r="H123" s="208">
        <v>45801.0</v>
      </c>
      <c r="I123" s="217" t="s">
        <v>25</v>
      </c>
      <c r="J123" s="217" t="s">
        <v>8</v>
      </c>
      <c r="K123" s="218">
        <f>240000+200000</f>
        <v>440000</v>
      </c>
      <c r="L123" s="211" t="s">
        <v>64</v>
      </c>
      <c r="M123" s="143"/>
      <c r="N123" s="211" t="s">
        <v>615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IFERROR(__xludf.DUMMYFUNCTION("FILTER('설정시트'!$D$7:$K$20,'설정시트'!$C$7:$C$20=I123)"),"주방/욕실")</f>
        <v>주방/욕실</v>
      </c>
      <c r="AC123" s="214" t="str">
        <f>IFERROR(__xludf.DUMMYFUNCTION("""COMPUTED_VALUE"""),"소모품")</f>
        <v>소모품</v>
      </c>
      <c r="AD123" s="214" t="str">
        <f>IFERROR(__xludf.DUMMYFUNCTION("""COMPUTED_VALUE"""),"기타")</f>
        <v>기타</v>
      </c>
      <c r="AE123" s="214"/>
      <c r="AF123" s="214"/>
      <c r="AG123" s="214"/>
      <c r="AH123" s="214"/>
      <c r="AI123" s="214"/>
    </row>
    <row r="124">
      <c r="H124" s="208">
        <v>45803.0</v>
      </c>
      <c r="I124" s="217" t="s">
        <v>31</v>
      </c>
      <c r="J124" s="217" t="s">
        <v>29</v>
      </c>
      <c r="K124" s="218">
        <v>1900.0</v>
      </c>
      <c r="L124" s="211" t="s">
        <v>64</v>
      </c>
      <c r="M124" s="143"/>
      <c r="N124" s="211" t="s">
        <v>616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IFERROR(__xludf.DUMMYFUNCTION("FILTER('설정시트'!$D$7:$K$20,'설정시트'!$C$7:$C$20=I124)"),"식재료비")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</row>
    <row r="125">
      <c r="H125" s="208">
        <v>45803.0</v>
      </c>
      <c r="I125" s="217" t="s">
        <v>52</v>
      </c>
      <c r="J125" s="217" t="s">
        <v>48</v>
      </c>
      <c r="K125" s="218">
        <v>100000.0</v>
      </c>
      <c r="L125" s="211" t="s">
        <v>61</v>
      </c>
      <c r="M125" s="143"/>
      <c r="N125" s="211" t="s">
        <v>617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IFERROR(__xludf.DUMMYFUNCTION("FILTER('설정시트'!$D$7:$K$20,'설정시트'!$C$7:$C$20=I125)"),"축의/부의금")</f>
        <v>축의/부의금</v>
      </c>
      <c r="AC125" s="214" t="str">
        <f>IFERROR(__xludf.DUMMYFUNCTION("""COMPUTED_VALUE"""),"생신/생일선물")</f>
        <v>생신/생일선물</v>
      </c>
      <c r="AD125" s="214" t="str">
        <f>IFERROR(__xludf.DUMMYFUNCTION("""COMPUTED_VALUE"""),"명절/어버이날")</f>
        <v>명절/어버이날</v>
      </c>
      <c r="AE125" s="214" t="str">
        <f>IFERROR(__xludf.DUMMYFUNCTION("""COMPUTED_VALUE"""),"여행")</f>
        <v>여행</v>
      </c>
      <c r="AF125" s="214" t="str">
        <f>IFERROR(__xludf.DUMMYFUNCTION("""COMPUTED_VALUE"""),"기타")</f>
        <v>기타</v>
      </c>
      <c r="AG125" s="214" t="str">
        <f>IFERROR(__xludf.DUMMYFUNCTION("""COMPUTED_VALUE"""),"출산")</f>
        <v>출산</v>
      </c>
      <c r="AH125" s="214"/>
      <c r="AI125" s="214"/>
    </row>
    <row r="126">
      <c r="H126" s="208">
        <v>45803.0</v>
      </c>
      <c r="I126" s="217" t="s">
        <v>21</v>
      </c>
      <c r="J126" s="217" t="s">
        <v>20</v>
      </c>
      <c r="K126" s="218">
        <v>20000.0</v>
      </c>
      <c r="L126" s="211" t="s">
        <v>62</v>
      </c>
      <c r="M126" s="143"/>
      <c r="N126" s="211" t="s">
        <v>618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IFERROR(__xludf.DUMMYFUNCTION("FILTER('설정시트'!$D$7:$K$20,'설정시트'!$C$7:$C$20=I126)"),"관리비")</f>
        <v>관리비</v>
      </c>
      <c r="AC126" s="214" t="str">
        <f>IFERROR(__xludf.DUMMYFUNCTION("""COMPUTED_VALUE"""),"대출이자")</f>
        <v>대출이자</v>
      </c>
      <c r="AD126" s="214" t="str">
        <f>IFERROR(__xludf.DUMMYFUNCTION("""COMPUTED_VALUE"""),"통신비")</f>
        <v>통신비</v>
      </c>
      <c r="AE126" s="214" t="str">
        <f>IFERROR(__xludf.DUMMYFUNCTION("""COMPUTED_VALUE"""),"보험료")</f>
        <v>보험료</v>
      </c>
      <c r="AF126" s="214" t="str">
        <f>IFERROR(__xludf.DUMMYFUNCTION("""COMPUTED_VALUE"""),"곗돈")</f>
        <v>곗돈</v>
      </c>
      <c r="AG126" s="214"/>
      <c r="AH126" s="214"/>
      <c r="AI126" s="214"/>
    </row>
    <row r="127">
      <c r="H127" s="208">
        <v>45804.0</v>
      </c>
      <c r="I127" s="217" t="s">
        <v>38</v>
      </c>
      <c r="J127" s="217" t="s">
        <v>34</v>
      </c>
      <c r="K127" s="218">
        <v>4942.0</v>
      </c>
      <c r="L127" s="211" t="s">
        <v>64</v>
      </c>
      <c r="M127" s="143"/>
      <c r="N127" s="211" t="s">
        <v>280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IFERROR(__xludf.DUMMYFUNCTION("FILTER('설정시트'!$D$7:$K$20,'설정시트'!$C$7:$C$20=I127)"),"의류/잡화")</f>
        <v>의류/잡화</v>
      </c>
      <c r="AC127" s="214" t="str">
        <f>IFERROR(__xludf.DUMMYFUNCTION("""COMPUTED_VALUE"""),"OTT")</f>
        <v>OTT</v>
      </c>
      <c r="AD127" s="214" t="str">
        <f>IFERROR(__xludf.DUMMYFUNCTION("""COMPUTED_VALUE"""),"문화생활")</f>
        <v>문화생활</v>
      </c>
      <c r="AE127" s="214" t="str">
        <f>IFERROR(__xludf.DUMMYFUNCTION("""COMPUTED_VALUE"""),"자기계발")</f>
        <v>자기계발</v>
      </c>
      <c r="AF127" s="214" t="str">
        <f>IFERROR(__xludf.DUMMYFUNCTION("""COMPUTED_VALUE"""),"미용")</f>
        <v>미용</v>
      </c>
      <c r="AG127" s="214"/>
      <c r="AH127" s="214" t="str">
        <f>IFERROR(__xludf.DUMMYFUNCTION("""COMPUTED_VALUE"""),"기타")</f>
        <v>기타</v>
      </c>
      <c r="AI127" s="214"/>
    </row>
    <row r="128">
      <c r="H128" s="208">
        <v>45804.0</v>
      </c>
      <c r="I128" s="217" t="s">
        <v>21</v>
      </c>
      <c r="J128" s="217" t="s">
        <v>15</v>
      </c>
      <c r="K128" s="218">
        <v>367640.0</v>
      </c>
      <c r="L128" s="211" t="s">
        <v>64</v>
      </c>
      <c r="M128" s="143"/>
      <c r="N128" s="211" t="s">
        <v>619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IFERROR(__xludf.DUMMYFUNCTION("FILTER('설정시트'!$D$7:$K$20,'설정시트'!$C$7:$C$20=I128)"),"관리비")</f>
        <v>관리비</v>
      </c>
      <c r="AC128" s="214" t="str">
        <f>IFERROR(__xludf.DUMMYFUNCTION("""COMPUTED_VALUE"""),"대출이자")</f>
        <v>대출이자</v>
      </c>
      <c r="AD128" s="214" t="str">
        <f>IFERROR(__xludf.DUMMYFUNCTION("""COMPUTED_VALUE"""),"통신비")</f>
        <v>통신비</v>
      </c>
      <c r="AE128" s="214" t="str">
        <f>IFERROR(__xludf.DUMMYFUNCTION("""COMPUTED_VALUE"""),"보험료")</f>
        <v>보험료</v>
      </c>
      <c r="AF128" s="214" t="str">
        <f>IFERROR(__xludf.DUMMYFUNCTION("""COMPUTED_VALUE"""),"곗돈")</f>
        <v>곗돈</v>
      </c>
      <c r="AG128" s="214"/>
      <c r="AH128" s="214"/>
      <c r="AI128" s="214"/>
    </row>
    <row r="129">
      <c r="H129" s="208">
        <v>45803.0</v>
      </c>
      <c r="I129" s="217" t="s">
        <v>21</v>
      </c>
      <c r="J129" s="217" t="s">
        <v>19</v>
      </c>
      <c r="K129" s="218">
        <v>88010.0</v>
      </c>
      <c r="L129" s="211" t="s">
        <v>61</v>
      </c>
      <c r="M129" s="143"/>
      <c r="N129" s="211" t="s">
        <v>496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IFERROR(__xludf.DUMMYFUNCTION("FILTER('설정시트'!$D$7:$K$20,'설정시트'!$C$7:$C$20=I129)"),"관리비")</f>
        <v>관리비</v>
      </c>
      <c r="AC129" s="214" t="str">
        <f>IFERROR(__xludf.DUMMYFUNCTION("""COMPUTED_VALUE"""),"대출이자")</f>
        <v>대출이자</v>
      </c>
      <c r="AD129" s="214" t="str">
        <f>IFERROR(__xludf.DUMMYFUNCTION("""COMPUTED_VALUE"""),"통신비")</f>
        <v>통신비</v>
      </c>
      <c r="AE129" s="214" t="str">
        <f>IFERROR(__xludf.DUMMYFUNCTION("""COMPUTED_VALUE"""),"보험료")</f>
        <v>보험료</v>
      </c>
      <c r="AF129" s="214" t="str">
        <f>IFERROR(__xludf.DUMMYFUNCTION("""COMPUTED_VALUE"""),"곗돈")</f>
        <v>곗돈</v>
      </c>
      <c r="AG129" s="214"/>
      <c r="AH129" s="214"/>
      <c r="AI129" s="214"/>
    </row>
    <row r="130">
      <c r="H130" s="208">
        <v>45803.0</v>
      </c>
      <c r="I130" s="217" t="s">
        <v>9</v>
      </c>
      <c r="J130" s="217" t="s">
        <v>13</v>
      </c>
      <c r="K130" s="218">
        <v>100000.0</v>
      </c>
      <c r="L130" s="211" t="s">
        <v>62</v>
      </c>
      <c r="M130" s="143"/>
      <c r="N130" s="213"/>
      <c r="O130" s="212"/>
      <c r="P130" s="212"/>
      <c r="Q130" s="143"/>
      <c r="R130" s="213"/>
      <c r="S130" s="212"/>
      <c r="T130" s="145"/>
      <c r="AB130" s="214" t="str">
        <f>IFERROR(__xludf.DUMMYFUNCTION("FILTER('설정시트'!$D$7:$K$20,'설정시트'!$C$7:$C$20=I130)"),"주택청약")</f>
        <v>주택청약</v>
      </c>
      <c r="AC130" s="214" t="str">
        <f>IFERROR(__xludf.DUMMYFUNCTION("""COMPUTED_VALUE"""),"우리은행")</f>
        <v>우리은행</v>
      </c>
      <c r="AD130" s="214" t="str">
        <f>IFERROR(__xludf.DUMMYFUNCTION("""COMPUTED_VALUE"""),"케이뱅크")</f>
        <v>케이뱅크</v>
      </c>
      <c r="AE130" s="214" t="str">
        <f>IFERROR(__xludf.DUMMYFUNCTION("""COMPUTED_VALUE"""),"연금저축")</f>
        <v>연금저축</v>
      </c>
      <c r="AF130" s="214"/>
      <c r="AG130" s="214"/>
      <c r="AH130" s="214"/>
      <c r="AI130" s="214"/>
    </row>
    <row r="131">
      <c r="H131" s="208">
        <v>45808.0</v>
      </c>
      <c r="I131" s="217" t="s">
        <v>45</v>
      </c>
      <c r="J131" s="217" t="s">
        <v>43</v>
      </c>
      <c r="K131" s="218">
        <v>6400.0</v>
      </c>
      <c r="L131" s="211" t="s">
        <v>64</v>
      </c>
      <c r="M131" s="143"/>
      <c r="N131" s="211" t="s">
        <v>620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IFERROR(__xludf.DUMMYFUNCTION("FILTER('설정시트'!$D$7:$K$20,'설정시트'!$C$7:$C$20=I131)"),"약국")</f>
        <v>약국</v>
      </c>
      <c r="AC131" s="214" t="str">
        <f>IFERROR(__xludf.DUMMYFUNCTION("""COMPUTED_VALUE"""),"병원비")</f>
        <v>병원비</v>
      </c>
      <c r="AD131" s="214" t="str">
        <f>IFERROR(__xludf.DUMMYFUNCTION("""COMPUTED_VALUE"""),"영양제")</f>
        <v>영양제</v>
      </c>
      <c r="AE131" s="214" t="str">
        <f>IFERROR(__xludf.DUMMYFUNCTION("""COMPUTED_VALUE"""),"교통비")</f>
        <v>교통비</v>
      </c>
      <c r="AF131" s="214" t="str">
        <f>IFERROR(__xludf.DUMMYFUNCTION("""COMPUTED_VALUE"""),"주유비")</f>
        <v>주유비</v>
      </c>
      <c r="AG131" s="214"/>
      <c r="AH131" s="214" t="str">
        <f>IFERROR(__xludf.DUMMYFUNCTION("""COMPUTED_VALUE"""),"기타")</f>
        <v>기타</v>
      </c>
      <c r="AI131" s="214"/>
    </row>
    <row r="132">
      <c r="H132" s="208">
        <v>45808.0</v>
      </c>
      <c r="I132" s="217" t="s">
        <v>45</v>
      </c>
      <c r="J132" s="217" t="s">
        <v>43</v>
      </c>
      <c r="K132" s="218">
        <f>44800+9100</f>
        <v>53900</v>
      </c>
      <c r="L132" s="211" t="s">
        <v>64</v>
      </c>
      <c r="M132" s="143"/>
      <c r="N132" s="211" t="s">
        <v>621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IFERROR(__xludf.DUMMYFUNCTION("FILTER('설정시트'!$D$7:$K$20,'설정시트'!$C$7:$C$20=I132)"),"약국")</f>
        <v>약국</v>
      </c>
      <c r="AC132" s="214" t="str">
        <f>IFERROR(__xludf.DUMMYFUNCTION("""COMPUTED_VALUE"""),"병원비")</f>
        <v>병원비</v>
      </c>
      <c r="AD132" s="214" t="str">
        <f>IFERROR(__xludf.DUMMYFUNCTION("""COMPUTED_VALUE"""),"영양제")</f>
        <v>영양제</v>
      </c>
      <c r="AE132" s="214" t="str">
        <f>IFERROR(__xludf.DUMMYFUNCTION("""COMPUTED_VALUE"""),"교통비")</f>
        <v>교통비</v>
      </c>
      <c r="AF132" s="214" t="str">
        <f>IFERROR(__xludf.DUMMYFUNCTION("""COMPUTED_VALUE"""),"주유비")</f>
        <v>주유비</v>
      </c>
      <c r="AG132" s="214"/>
      <c r="AH132" s="214" t="str">
        <f>IFERROR(__xludf.DUMMYFUNCTION("""COMPUTED_VALUE"""),"기타")</f>
        <v>기타</v>
      </c>
      <c r="AI132" s="214"/>
    </row>
    <row r="133">
      <c r="H133" s="208">
        <v>45808.0</v>
      </c>
      <c r="I133" s="217" t="s">
        <v>3</v>
      </c>
      <c r="J133" s="217" t="s">
        <v>8</v>
      </c>
      <c r="K133" s="218">
        <v>100000.0</v>
      </c>
      <c r="L133" s="211"/>
      <c r="M133" s="143"/>
      <c r="N133" s="211" t="s">
        <v>622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IFERROR(__xludf.DUMMYFUNCTION("FILTER('설정시트'!$D$7:$K$20,'설정시트'!$C$7:$C$20=I133)"),"🍪 월급")</f>
        <v>🍪 월급</v>
      </c>
      <c r="AC133" s="214" t="str">
        <f>IFERROR(__xludf.DUMMYFUNCTION("""COMPUTED_VALUE"""),"🍪 부수입")</f>
        <v>🍪 부수입</v>
      </c>
      <c r="AD133" s="214" t="str">
        <f>IFERROR(__xludf.DUMMYFUNCTION("""COMPUTED_VALUE"""),"🐻 월급")</f>
        <v>🐻 월급</v>
      </c>
      <c r="AE133" s="214" t="str">
        <f>IFERROR(__xludf.DUMMYFUNCTION("""COMPUTED_VALUE"""),"🐻 부수입")</f>
        <v>🐻 부수입</v>
      </c>
      <c r="AF133" s="214" t="str">
        <f>IFERROR(__xludf.DUMMYFUNCTION("""COMPUTED_VALUE"""),"기타")</f>
        <v>기타</v>
      </c>
      <c r="AG133" s="214"/>
      <c r="AH133" s="214"/>
      <c r="AI133" s="214"/>
    </row>
    <row r="134">
      <c r="H134" s="208">
        <v>45800.0</v>
      </c>
      <c r="I134" s="217" t="s">
        <v>3</v>
      </c>
      <c r="J134" s="217" t="s">
        <v>4</v>
      </c>
      <c r="K134" s="218">
        <v>3305170.0</v>
      </c>
      <c r="L134" s="211"/>
      <c r="M134" s="143"/>
      <c r="N134" s="211" t="s">
        <v>623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IFERROR(__xludf.DUMMYFUNCTION("FILTER('설정시트'!$D$7:$K$20,'설정시트'!$C$7:$C$20=I134)"),"🍪 월급")</f>
        <v>🍪 월급</v>
      </c>
      <c r="AC134" s="214" t="str">
        <f>IFERROR(__xludf.DUMMYFUNCTION("""COMPUTED_VALUE"""),"🍪 부수입")</f>
        <v>🍪 부수입</v>
      </c>
      <c r="AD134" s="214" t="str">
        <f>IFERROR(__xludf.DUMMYFUNCTION("""COMPUTED_VALUE"""),"🐻 월급")</f>
        <v>🐻 월급</v>
      </c>
      <c r="AE134" s="214" t="str">
        <f>IFERROR(__xludf.DUMMYFUNCTION("""COMPUTED_VALUE"""),"🐻 부수입")</f>
        <v>🐻 부수입</v>
      </c>
      <c r="AF134" s="214" t="str">
        <f>IFERROR(__xludf.DUMMYFUNCTION("""COMPUTED_VALUE"""),"기타")</f>
        <v>기타</v>
      </c>
      <c r="AG134" s="214"/>
      <c r="AH134" s="214"/>
      <c r="AI134" s="214"/>
    </row>
    <row r="135">
      <c r="H135" s="208">
        <v>45798.0</v>
      </c>
      <c r="I135" s="217" t="s">
        <v>3</v>
      </c>
      <c r="J135" s="217" t="s">
        <v>8</v>
      </c>
      <c r="K135" s="218">
        <v>77000.0</v>
      </c>
      <c r="L135" s="211"/>
      <c r="M135" s="143"/>
      <c r="N135" s="211" t="s">
        <v>308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IFERROR(__xludf.DUMMYFUNCTION("FILTER('설정시트'!$D$7:$K$20,'설정시트'!$C$7:$C$20=I135)"),"🍪 월급")</f>
        <v>🍪 월급</v>
      </c>
      <c r="AC135" s="214" t="str">
        <f>IFERROR(__xludf.DUMMYFUNCTION("""COMPUTED_VALUE"""),"🍪 부수입")</f>
        <v>🍪 부수입</v>
      </c>
      <c r="AD135" s="214" t="str">
        <f>IFERROR(__xludf.DUMMYFUNCTION("""COMPUTED_VALUE"""),"🐻 월급")</f>
        <v>🐻 월급</v>
      </c>
      <c r="AE135" s="214" t="str">
        <f>IFERROR(__xludf.DUMMYFUNCTION("""COMPUTED_VALUE"""),"🐻 부수입")</f>
        <v>🐻 부수입</v>
      </c>
      <c r="AF135" s="214" t="str">
        <f>IFERROR(__xludf.DUMMYFUNCTION("""COMPUTED_VALUE"""),"기타")</f>
        <v>기타</v>
      </c>
      <c r="AG135" s="214"/>
      <c r="AH135" s="214"/>
      <c r="AI135" s="214"/>
    </row>
    <row r="136">
      <c r="H136" s="208">
        <v>45803.0</v>
      </c>
      <c r="I136" s="217" t="s">
        <v>3</v>
      </c>
      <c r="J136" s="217" t="s">
        <v>8</v>
      </c>
      <c r="K136" s="218">
        <v>89100.0</v>
      </c>
      <c r="L136" s="211"/>
      <c r="M136" s="143"/>
      <c r="N136" s="211" t="s">
        <v>294</v>
      </c>
      <c r="O136" s="212"/>
      <c r="P136" s="212"/>
      <c r="Q136" s="143"/>
      <c r="R136" s="213"/>
      <c r="S136" s="212"/>
      <c r="T136" s="145"/>
      <c r="AB136" s="214" t="str">
        <f>IFERROR(__xludf.DUMMYFUNCTION("FILTER('설정시트'!$D$7:$K$20,'설정시트'!$C$7:$C$20=I136)"),"🍪 월급")</f>
        <v>🍪 월급</v>
      </c>
      <c r="AC136" s="214" t="str">
        <f>IFERROR(__xludf.DUMMYFUNCTION("""COMPUTED_VALUE"""),"🍪 부수입")</f>
        <v>🍪 부수입</v>
      </c>
      <c r="AD136" s="214" t="str">
        <f>IFERROR(__xludf.DUMMYFUNCTION("""COMPUTED_VALUE"""),"🐻 월급")</f>
        <v>🐻 월급</v>
      </c>
      <c r="AE136" s="214" t="str">
        <f>IFERROR(__xludf.DUMMYFUNCTION("""COMPUTED_VALUE"""),"🐻 부수입")</f>
        <v>🐻 부수입</v>
      </c>
      <c r="AF136" s="214" t="str">
        <f>IFERROR(__xludf.DUMMYFUNCTION("""COMPUTED_VALUE"""),"기타")</f>
        <v>기타</v>
      </c>
      <c r="AG136" s="214"/>
      <c r="AH136" s="214"/>
      <c r="AI136" s="214"/>
    </row>
    <row r="137">
      <c r="H137" s="208">
        <v>45806.0</v>
      </c>
      <c r="I137" s="217" t="s">
        <v>3</v>
      </c>
      <c r="J137" s="217" t="s">
        <v>8</v>
      </c>
      <c r="K137" s="218">
        <v>171940.0</v>
      </c>
      <c r="L137" s="211"/>
      <c r="M137" s="143"/>
      <c r="N137" s="211" t="s">
        <v>294</v>
      </c>
      <c r="O137" s="212"/>
      <c r="P137" s="212"/>
      <c r="Q137" s="143"/>
      <c r="R137" s="213"/>
      <c r="S137" s="212"/>
      <c r="T137" s="145"/>
      <c r="AB137" s="214" t="str">
        <f>IFERROR(__xludf.DUMMYFUNCTION("FILTER('설정시트'!$D$7:$K$20,'설정시트'!$C$7:$C$20=I137)"),"🍪 월급")</f>
        <v>🍪 월급</v>
      </c>
      <c r="AC137" s="214" t="str">
        <f>IFERROR(__xludf.DUMMYFUNCTION("""COMPUTED_VALUE"""),"🍪 부수입")</f>
        <v>🍪 부수입</v>
      </c>
      <c r="AD137" s="214" t="str">
        <f>IFERROR(__xludf.DUMMYFUNCTION("""COMPUTED_VALUE"""),"🐻 월급")</f>
        <v>🐻 월급</v>
      </c>
      <c r="AE137" s="214" t="str">
        <f>IFERROR(__xludf.DUMMYFUNCTION("""COMPUTED_VALUE"""),"🐻 부수입")</f>
        <v>🐻 부수입</v>
      </c>
      <c r="AF137" s="214" t="str">
        <f>IFERROR(__xludf.DUMMYFUNCTION("""COMPUTED_VALUE"""),"기타")</f>
        <v>기타</v>
      </c>
      <c r="AG137" s="214"/>
      <c r="AH137" s="214"/>
      <c r="AI137" s="214"/>
    </row>
    <row r="138">
      <c r="H138" s="208"/>
      <c r="I138" s="217"/>
      <c r="J138" s="217"/>
      <c r="K138" s="218"/>
      <c r="L138" s="211"/>
      <c r="M138" s="143"/>
      <c r="N138" s="213"/>
      <c r="O138" s="212"/>
      <c r="P138" s="212"/>
      <c r="Q138" s="143"/>
      <c r="R138" s="213"/>
      <c r="S138" s="212"/>
      <c r="T138" s="145"/>
      <c r="AB138" s="214" t="str">
        <f>IFERROR(__xludf.DUMMYFUNCTION("FILTER('설정시트'!$D$7:$K$20,'설정시트'!$C$7:$C$20=I138)"),"#N/A")</f>
        <v>#N/A</v>
      </c>
      <c r="AC138" s="214"/>
      <c r="AD138" s="214"/>
      <c r="AE138" s="214"/>
      <c r="AF138" s="214"/>
      <c r="AG138" s="214"/>
      <c r="AH138" s="214"/>
      <c r="AI138" s="214"/>
    </row>
    <row r="139">
      <c r="H139" s="208"/>
      <c r="I139" s="217"/>
      <c r="J139" s="217"/>
      <c r="K139" s="218"/>
      <c r="L139" s="211"/>
      <c r="M139" s="143"/>
      <c r="N139" s="213"/>
      <c r="O139" s="212"/>
      <c r="P139" s="212"/>
      <c r="Q139" s="143"/>
      <c r="R139" s="213"/>
      <c r="S139" s="212"/>
      <c r="T139" s="145"/>
      <c r="AB139" s="214" t="str">
        <f>IFERROR(__xludf.DUMMYFUNCTION("FILTER('설정시트'!$D$7:$K$20,'설정시트'!$C$7:$C$20=I139)"),"#N/A")</f>
        <v>#N/A</v>
      </c>
      <c r="AC139" s="214"/>
      <c r="AD139" s="214"/>
      <c r="AE139" s="214"/>
      <c r="AF139" s="214"/>
      <c r="AG139" s="214"/>
      <c r="AH139" s="214"/>
      <c r="AI139" s="214"/>
    </row>
    <row r="140">
      <c r="H140" s="208"/>
      <c r="I140" s="217"/>
      <c r="J140" s="217"/>
      <c r="K140" s="218"/>
      <c r="L140" s="211"/>
      <c r="M140" s="143"/>
      <c r="N140" s="213"/>
      <c r="O140" s="212"/>
      <c r="P140" s="212"/>
      <c r="Q140" s="143"/>
      <c r="R140" s="213"/>
      <c r="S140" s="212"/>
      <c r="T140" s="145"/>
      <c r="AB140" s="214" t="str">
        <f>IFERROR(__xludf.DUMMYFUNCTION("FILTER('설정시트'!$D$7:$K$20,'설정시트'!$C$7:$C$20=I140)"),"#N/A")</f>
        <v>#N/A</v>
      </c>
      <c r="AC140" s="214"/>
      <c r="AD140" s="214"/>
      <c r="AE140" s="214"/>
      <c r="AF140" s="214"/>
      <c r="AG140" s="214"/>
      <c r="AH140" s="214"/>
      <c r="AI140" s="214"/>
    </row>
    <row r="141">
      <c r="H141" s="208"/>
      <c r="I141" s="217"/>
      <c r="J141" s="217"/>
      <c r="K141" s="218"/>
      <c r="L141" s="211"/>
      <c r="M141" s="143"/>
      <c r="N141" s="213"/>
      <c r="O141" s="212"/>
      <c r="P141" s="212"/>
      <c r="Q141" s="143"/>
      <c r="R141" s="213"/>
      <c r="S141" s="212"/>
      <c r="T141" s="145"/>
      <c r="AB141" s="214" t="str">
        <f>IFERROR(__xludf.DUMMYFUNCTION("FILTER('설정시트'!$D$7:$K$20,'설정시트'!$C$7:$C$20=I141)"),"#N/A")</f>
        <v>#N/A</v>
      </c>
      <c r="AC141" s="214"/>
      <c r="AD141" s="214"/>
      <c r="AE141" s="214"/>
      <c r="AF141" s="214"/>
      <c r="AG141" s="214"/>
      <c r="AH141" s="214"/>
      <c r="AI141" s="214"/>
    </row>
    <row r="142">
      <c r="H142" s="208"/>
      <c r="I142" s="217"/>
      <c r="J142" s="217"/>
      <c r="K142" s="218"/>
      <c r="L142" s="211"/>
      <c r="M142" s="143"/>
      <c r="N142" s="213"/>
      <c r="O142" s="212"/>
      <c r="P142" s="212"/>
      <c r="Q142" s="143"/>
      <c r="R142" s="213"/>
      <c r="S142" s="212"/>
      <c r="T142" s="145"/>
      <c r="AB142" s="214" t="str">
        <f>IFERROR(__xludf.DUMMYFUNCTION("FILTER('설정시트'!$D$7:$K$20,'설정시트'!$C$7:$C$20=I142)"),"#N/A")</f>
        <v>#N/A</v>
      </c>
      <c r="AC142" s="214"/>
      <c r="AD142" s="214"/>
      <c r="AE142" s="214"/>
      <c r="AF142" s="214"/>
      <c r="AG142" s="214"/>
      <c r="AH142" s="214"/>
      <c r="AI142" s="214"/>
    </row>
    <row r="143">
      <c r="H143" s="208"/>
      <c r="I143" s="217"/>
      <c r="J143" s="217"/>
      <c r="K143" s="218"/>
      <c r="L143" s="211"/>
      <c r="M143" s="143"/>
      <c r="N143" s="213"/>
      <c r="O143" s="212"/>
      <c r="P143" s="212"/>
      <c r="Q143" s="143"/>
      <c r="R143" s="213"/>
      <c r="S143" s="212"/>
      <c r="T143" s="145"/>
      <c r="AB143" s="214" t="str">
        <f>IFERROR(__xludf.DUMMYFUNCTION("FILTER('설정시트'!$D$7:$K$20,'설정시트'!$C$7:$C$20=I143)"),"#N/A")</f>
        <v>#N/A</v>
      </c>
      <c r="AC143" s="214"/>
      <c r="AD143" s="214"/>
      <c r="AE143" s="214"/>
      <c r="AF143" s="214"/>
      <c r="AG143" s="214"/>
      <c r="AH143" s="214"/>
      <c r="AI143" s="214"/>
    </row>
    <row r="144">
      <c r="H144" s="208"/>
      <c r="I144" s="217"/>
      <c r="J144" s="217"/>
      <c r="K144" s="218"/>
      <c r="L144" s="211"/>
      <c r="M144" s="143"/>
      <c r="N144" s="213"/>
      <c r="O144" s="212"/>
      <c r="P144" s="212"/>
      <c r="Q144" s="143"/>
      <c r="R144" s="213"/>
      <c r="S144" s="212"/>
      <c r="T144" s="145"/>
      <c r="AB144" s="214" t="str">
        <f>IFERROR(__xludf.DUMMYFUNCTION("FILTER('설정시트'!$D$7:$K$20,'설정시트'!$C$7:$C$20=I144)"),"#N/A")</f>
        <v>#N/A</v>
      </c>
      <c r="AC144" s="214"/>
      <c r="AD144" s="214"/>
      <c r="AE144" s="214"/>
      <c r="AF144" s="214"/>
      <c r="AG144" s="214"/>
      <c r="AH144" s="214"/>
      <c r="AI144" s="214"/>
    </row>
    <row r="145">
      <c r="H145" s="208"/>
      <c r="I145" s="217"/>
      <c r="J145" s="217"/>
      <c r="K145" s="218"/>
      <c r="L145" s="211"/>
      <c r="M145" s="143"/>
      <c r="N145" s="213"/>
      <c r="O145" s="212"/>
      <c r="P145" s="212"/>
      <c r="Q145" s="143"/>
      <c r="R145" s="213"/>
      <c r="S145" s="212"/>
      <c r="T145" s="145"/>
      <c r="AB145" s="214" t="str">
        <f>IFERROR(__xludf.DUMMYFUNCTION("FILTER('설정시트'!$D$7:$K$20,'설정시트'!$C$7:$C$20=I145)"),"#N/A")</f>
        <v>#N/A</v>
      </c>
      <c r="AC145" s="214"/>
      <c r="AD145" s="214"/>
      <c r="AE145" s="214"/>
      <c r="AF145" s="214"/>
      <c r="AG145" s="214"/>
      <c r="AH145" s="214"/>
      <c r="AI145" s="214"/>
    </row>
    <row r="146">
      <c r="H146" s="208"/>
      <c r="I146" s="217"/>
      <c r="J146" s="217"/>
      <c r="K146" s="218"/>
      <c r="L146" s="211"/>
      <c r="M146" s="143"/>
      <c r="N146" s="213"/>
      <c r="O146" s="212"/>
      <c r="P146" s="212"/>
      <c r="Q146" s="143"/>
      <c r="R146" s="213"/>
      <c r="S146" s="212"/>
      <c r="T146" s="145"/>
      <c r="AB146" s="214" t="str">
        <f>IFERROR(__xludf.DUMMYFUNCTION("FILTER('설정시트'!$D$7:$K$20,'설정시트'!$C$7:$C$20=I146)"),"#N/A")</f>
        <v>#N/A</v>
      </c>
      <c r="AC146" s="214"/>
      <c r="AD146" s="214"/>
      <c r="AE146" s="214"/>
      <c r="AF146" s="214"/>
      <c r="AG146" s="214"/>
      <c r="AH146" s="214"/>
      <c r="AI146" s="214"/>
    </row>
    <row r="147">
      <c r="H147" s="208"/>
      <c r="I147" s="217"/>
      <c r="J147" s="217"/>
      <c r="K147" s="218"/>
      <c r="L147" s="211"/>
      <c r="M147" s="143"/>
      <c r="N147" s="213"/>
      <c r="O147" s="212"/>
      <c r="P147" s="212"/>
      <c r="Q147" s="143"/>
      <c r="R147" s="213"/>
      <c r="S147" s="212"/>
      <c r="T147" s="145"/>
      <c r="AB147" s="214" t="str">
        <f>IFERROR(__xludf.DUMMYFUNCTION("FILTER('설정시트'!$D$7:$K$20,'설정시트'!$C$7:$C$20=I147)"),"#N/A")</f>
        <v>#N/A</v>
      </c>
      <c r="AC147" s="214"/>
      <c r="AD147" s="214"/>
      <c r="AE147" s="214"/>
      <c r="AF147" s="214"/>
      <c r="AG147" s="214"/>
      <c r="AH147" s="214"/>
      <c r="AI147" s="214"/>
    </row>
    <row r="148">
      <c r="H148" s="208"/>
      <c r="I148" s="217"/>
      <c r="J148" s="217"/>
      <c r="K148" s="218"/>
      <c r="L148" s="211"/>
      <c r="M148" s="143"/>
      <c r="N148" s="213"/>
      <c r="O148" s="212"/>
      <c r="P148" s="212"/>
      <c r="Q148" s="143"/>
      <c r="R148" s="213"/>
      <c r="S148" s="212"/>
      <c r="T148" s="145"/>
      <c r="AB148" s="214" t="str">
        <f>IFERROR(__xludf.DUMMYFUNCTION("FILTER('설정시트'!$D$7:$K$20,'설정시트'!$C$7:$C$20=I148)"),"#N/A")</f>
        <v>#N/A</v>
      </c>
      <c r="AC148" s="214"/>
      <c r="AD148" s="214"/>
      <c r="AE148" s="214"/>
      <c r="AF148" s="214"/>
      <c r="AG148" s="214"/>
      <c r="AH148" s="214"/>
      <c r="AI148" s="214"/>
    </row>
    <row r="149">
      <c r="H149" s="208"/>
      <c r="I149" s="217"/>
      <c r="J149" s="217"/>
      <c r="K149" s="218"/>
      <c r="L149" s="211"/>
      <c r="M149" s="143"/>
      <c r="N149" s="213"/>
      <c r="O149" s="212"/>
      <c r="P149" s="212"/>
      <c r="Q149" s="143"/>
      <c r="R149" s="213"/>
      <c r="S149" s="212"/>
      <c r="T149" s="145"/>
      <c r="AB149" s="214" t="str">
        <f>IFERROR(__xludf.DUMMYFUNCTION("FILTER('설정시트'!$D$7:$K$20,'설정시트'!$C$7:$C$20=I149)"),"#N/A")</f>
        <v>#N/A</v>
      </c>
      <c r="AC149" s="214"/>
      <c r="AD149" s="214"/>
      <c r="AE149" s="214"/>
      <c r="AF149" s="214"/>
      <c r="AG149" s="214"/>
      <c r="AH149" s="214"/>
      <c r="AI149" s="214"/>
    </row>
    <row r="150">
      <c r="H150" s="208"/>
      <c r="I150" s="217"/>
      <c r="J150" s="217"/>
      <c r="K150" s="218"/>
      <c r="L150" s="211"/>
      <c r="M150" s="143"/>
      <c r="N150" s="213"/>
      <c r="O150" s="212"/>
      <c r="P150" s="212"/>
      <c r="Q150" s="143"/>
      <c r="R150" s="213"/>
      <c r="S150" s="212"/>
      <c r="T150" s="145"/>
      <c r="AB150" s="214" t="str">
        <f>IFERROR(__xludf.DUMMYFUNCTION("FILTER('설정시트'!$D$7:$K$20,'설정시트'!$C$7:$C$20=I150)"),"#N/A")</f>
        <v>#N/A</v>
      </c>
      <c r="AC150" s="214"/>
      <c r="AD150" s="214"/>
      <c r="AE150" s="214"/>
      <c r="AF150" s="214"/>
      <c r="AG150" s="214"/>
      <c r="AH150" s="214"/>
      <c r="AI150" s="214"/>
    </row>
    <row r="151">
      <c r="H151" s="221"/>
      <c r="I151" s="217"/>
      <c r="J151" s="217"/>
      <c r="K151" s="218"/>
      <c r="L151" s="211"/>
      <c r="M151" s="143"/>
      <c r="N151" s="213"/>
      <c r="O151" s="212"/>
      <c r="P151" s="212"/>
      <c r="Q151" s="143"/>
      <c r="R151" s="213"/>
      <c r="S151" s="212"/>
      <c r="T151" s="145"/>
      <c r="AB151" s="214" t="str">
        <f>IFERROR(__xludf.DUMMYFUNCTION("FILTER('설정시트'!$D$7:$K$20,'설정시트'!$C$7:$C$20=I151)"),"#N/A")</f>
        <v>#N/A</v>
      </c>
      <c r="AC151" s="214"/>
      <c r="AD151" s="214"/>
      <c r="AE151" s="214"/>
      <c r="AF151" s="214"/>
      <c r="AG151" s="214"/>
      <c r="AH151" s="214"/>
      <c r="AI151" s="214"/>
    </row>
    <row r="152">
      <c r="H152" s="221"/>
      <c r="I152" s="222"/>
      <c r="J152" s="217"/>
      <c r="K152" s="220"/>
      <c r="L152" s="213"/>
      <c r="M152" s="143"/>
      <c r="N152" s="213"/>
      <c r="O152" s="212"/>
      <c r="P152" s="212"/>
      <c r="Q152" s="143"/>
      <c r="R152" s="213"/>
      <c r="S152" s="212"/>
      <c r="T152" s="145"/>
      <c r="AB152" s="214" t="str">
        <f>IFERROR(__xludf.DUMMYFUNCTION("FILTER('설정시트'!$D$7:$K$20,'설정시트'!$C$7:$C$20=I152)"),"#N/A")</f>
        <v>#N/A</v>
      </c>
      <c r="AC152" s="214"/>
      <c r="AD152" s="214"/>
      <c r="AE152" s="214"/>
      <c r="AF152" s="214"/>
      <c r="AG152" s="214"/>
      <c r="AH152" s="214"/>
      <c r="AI152" s="214"/>
    </row>
    <row r="153">
      <c r="H153" s="221"/>
      <c r="I153" s="222"/>
      <c r="J153" s="217"/>
      <c r="K153" s="220"/>
      <c r="L153" s="213"/>
      <c r="M153" s="143"/>
      <c r="N153" s="213"/>
      <c r="O153" s="212"/>
      <c r="P153" s="212"/>
      <c r="Q153" s="143"/>
      <c r="R153" s="213"/>
      <c r="S153" s="212"/>
      <c r="T153" s="145"/>
      <c r="AB153" s="214" t="str">
        <f>IFERROR(__xludf.DUMMYFUNCTION("FILTER('설정시트'!$D$7:$K$20,'설정시트'!$C$7:$C$20=I153)"),"#N/A")</f>
        <v>#N/A</v>
      </c>
      <c r="AC153" s="214"/>
      <c r="AD153" s="214"/>
      <c r="AE153" s="214"/>
      <c r="AF153" s="214"/>
      <c r="AG153" s="214"/>
      <c r="AH153" s="214"/>
      <c r="AI153" s="214"/>
    </row>
    <row r="154">
      <c r="H154" s="221"/>
      <c r="I154" s="222"/>
      <c r="J154" s="217"/>
      <c r="K154" s="220"/>
      <c r="L154" s="213"/>
      <c r="M154" s="143"/>
      <c r="N154" s="213"/>
      <c r="O154" s="212"/>
      <c r="P154" s="212"/>
      <c r="Q154" s="143"/>
      <c r="R154" s="213"/>
      <c r="S154" s="212"/>
      <c r="T154" s="145"/>
      <c r="AB154" s="214" t="str">
        <f>IFERROR(__xludf.DUMMYFUNCTION("FILTER('설정시트'!$D$7:$K$20,'설정시트'!$C$7:$C$20=I154)"),"#N/A")</f>
        <v>#N/A</v>
      </c>
      <c r="AC154" s="214"/>
      <c r="AD154" s="214"/>
      <c r="AE154" s="214"/>
      <c r="AF154" s="214"/>
      <c r="AG154" s="214"/>
      <c r="AH154" s="214"/>
      <c r="AI154" s="214"/>
    </row>
    <row r="155">
      <c r="H155" s="221"/>
      <c r="I155" s="222"/>
      <c r="J155" s="217"/>
      <c r="K155" s="220"/>
      <c r="L155" s="213"/>
      <c r="M155" s="143"/>
      <c r="N155" s="213"/>
      <c r="O155" s="212"/>
      <c r="P155" s="212"/>
      <c r="Q155" s="143"/>
      <c r="R155" s="213"/>
      <c r="S155" s="212"/>
      <c r="T155" s="145"/>
      <c r="AB155" s="214" t="str">
        <f>IFERROR(__xludf.DUMMYFUNCTION("FILTER('설정시트'!$D$7:$K$20,'설정시트'!$C$7:$C$20=I155)"),"#N/A")</f>
        <v>#N/A</v>
      </c>
      <c r="AC155" s="214"/>
      <c r="AD155" s="214"/>
      <c r="AE155" s="214"/>
      <c r="AF155" s="214"/>
      <c r="AG155" s="214"/>
      <c r="AH155" s="214"/>
      <c r="AI155" s="214"/>
    </row>
    <row r="156">
      <c r="H156" s="221"/>
      <c r="I156" s="222"/>
      <c r="J156" s="217"/>
      <c r="K156" s="220"/>
      <c r="L156" s="213"/>
      <c r="M156" s="143"/>
      <c r="N156" s="213"/>
      <c r="O156" s="212"/>
      <c r="P156" s="212"/>
      <c r="Q156" s="143"/>
      <c r="R156" s="213"/>
      <c r="S156" s="212"/>
      <c r="T156" s="145"/>
      <c r="AB156" s="214" t="str">
        <f>IFERROR(__xludf.DUMMYFUNCTION("FILTER('설정시트'!$D$7:$K$20,'설정시트'!$C$7:$C$20=I156)"),"#N/A")</f>
        <v>#N/A</v>
      </c>
      <c r="AC156" s="214"/>
      <c r="AD156" s="214"/>
      <c r="AE156" s="214"/>
      <c r="AF156" s="214"/>
      <c r="AG156" s="214"/>
      <c r="AH156" s="214"/>
      <c r="AI156" s="214"/>
    </row>
    <row r="157">
      <c r="H157" s="221"/>
      <c r="I157" s="222"/>
      <c r="J157" s="217"/>
      <c r="K157" s="220"/>
      <c r="L157" s="213"/>
      <c r="M157" s="143"/>
      <c r="N157" s="213"/>
      <c r="O157" s="212"/>
      <c r="P157" s="212"/>
      <c r="Q157" s="143"/>
      <c r="R157" s="213"/>
      <c r="S157" s="212"/>
      <c r="T157" s="145"/>
      <c r="AB157" s="214" t="str">
        <f>IFERROR(__xludf.DUMMYFUNCTION("FILTER('설정시트'!$D$7:$K$20,'설정시트'!$C$7:$C$20=I157)"),"#N/A")</f>
        <v>#N/A</v>
      </c>
      <c r="AC157" s="214"/>
      <c r="AD157" s="214"/>
      <c r="AE157" s="214"/>
      <c r="AF157" s="214"/>
      <c r="AG157" s="214"/>
      <c r="AH157" s="214"/>
      <c r="AI157" s="214"/>
    </row>
    <row r="158">
      <c r="H158" s="221"/>
      <c r="I158" s="222"/>
      <c r="J158" s="217"/>
      <c r="K158" s="220"/>
      <c r="L158" s="213"/>
      <c r="M158" s="143"/>
      <c r="N158" s="213"/>
      <c r="O158" s="212"/>
      <c r="P158" s="212"/>
      <c r="Q158" s="143"/>
      <c r="R158" s="213"/>
      <c r="S158" s="212"/>
      <c r="T158" s="145"/>
      <c r="AB158" s="214" t="str">
        <f>IFERROR(__xludf.DUMMYFUNCTION("FILTER('설정시트'!$D$7:$K$20,'설정시트'!$C$7:$C$20=I158)"),"#N/A")</f>
        <v>#N/A</v>
      </c>
      <c r="AC158" s="214"/>
      <c r="AD158" s="214"/>
      <c r="AE158" s="214"/>
      <c r="AF158" s="214"/>
      <c r="AG158" s="214"/>
      <c r="AH158" s="214"/>
      <c r="AI158" s="214"/>
    </row>
    <row r="159">
      <c r="H159" s="221"/>
      <c r="I159" s="222"/>
      <c r="J159" s="217"/>
      <c r="K159" s="220"/>
      <c r="L159" s="213"/>
      <c r="M159" s="143"/>
      <c r="N159" s="213"/>
      <c r="O159" s="212"/>
      <c r="P159" s="212"/>
      <c r="Q159" s="143"/>
      <c r="R159" s="213"/>
      <c r="S159" s="212"/>
      <c r="T159" s="145"/>
      <c r="AB159" s="214" t="str">
        <f>IFERROR(__xludf.DUMMYFUNCTION("FILTER('설정시트'!$D$7:$K$20,'설정시트'!$C$7:$C$20=I159)"),"#N/A")</f>
        <v>#N/A</v>
      </c>
      <c r="AC159" s="214"/>
      <c r="AD159" s="214"/>
      <c r="AE159" s="214"/>
      <c r="AF159" s="214"/>
      <c r="AG159" s="214"/>
      <c r="AH159" s="214"/>
      <c r="AI159" s="214"/>
    </row>
    <row r="160">
      <c r="H160" s="221"/>
      <c r="I160" s="222"/>
      <c r="J160" s="217"/>
      <c r="K160" s="220"/>
      <c r="L160" s="213"/>
      <c r="M160" s="143"/>
      <c r="N160" s="213"/>
      <c r="O160" s="212"/>
      <c r="P160" s="212"/>
      <c r="Q160" s="143"/>
      <c r="R160" s="213"/>
      <c r="S160" s="212"/>
      <c r="T160" s="145"/>
      <c r="AB160" s="214" t="str">
        <f>IFERROR(__xludf.DUMMYFUNCTION("FILTER('설정시트'!$D$7:$K$20,'설정시트'!$C$7:$C$20=I160)"),"#N/A")</f>
        <v>#N/A</v>
      </c>
      <c r="AC160" s="214"/>
      <c r="AD160" s="214"/>
      <c r="AE160" s="214"/>
      <c r="AF160" s="214"/>
      <c r="AG160" s="214"/>
      <c r="AH160" s="214"/>
      <c r="AI160" s="214"/>
    </row>
    <row r="161">
      <c r="H161" s="221"/>
      <c r="I161" s="222"/>
      <c r="J161" s="217"/>
      <c r="K161" s="220"/>
      <c r="L161" s="213"/>
      <c r="M161" s="143"/>
      <c r="N161" s="213"/>
      <c r="O161" s="212"/>
      <c r="P161" s="212"/>
      <c r="Q161" s="143"/>
      <c r="R161" s="213"/>
      <c r="S161" s="212"/>
      <c r="T161" s="145"/>
      <c r="AB161" s="214" t="str">
        <f>IFERROR(__xludf.DUMMYFUNCTION("FILTER('설정시트'!$D$7:$K$20,'설정시트'!$C$7:$C$20=I161)"),"#N/A")</f>
        <v>#N/A</v>
      </c>
      <c r="AC161" s="214"/>
      <c r="AD161" s="214"/>
      <c r="AE161" s="214"/>
      <c r="AF161" s="214"/>
      <c r="AG161" s="214"/>
      <c r="AH161" s="214"/>
      <c r="AI161" s="214"/>
    </row>
    <row r="162">
      <c r="H162" s="221"/>
      <c r="I162" s="222"/>
      <c r="J162" s="217"/>
      <c r="K162" s="220"/>
      <c r="L162" s="213"/>
      <c r="M162" s="143"/>
      <c r="N162" s="213"/>
      <c r="O162" s="212"/>
      <c r="P162" s="212"/>
      <c r="Q162" s="143"/>
      <c r="R162" s="213"/>
      <c r="S162" s="212"/>
      <c r="T162" s="145"/>
      <c r="AB162" s="214" t="str">
        <f>IFERROR(__xludf.DUMMYFUNCTION("FILTER('설정시트'!$D$7:$K$20,'설정시트'!$C$7:$C$20=I162)"),"#N/A")</f>
        <v>#N/A</v>
      </c>
      <c r="AC162" s="214"/>
      <c r="AD162" s="214"/>
      <c r="AE162" s="214"/>
      <c r="AF162" s="214"/>
      <c r="AG162" s="214"/>
      <c r="AH162" s="214"/>
      <c r="AI162" s="214"/>
    </row>
    <row r="163">
      <c r="H163" s="221"/>
      <c r="I163" s="222"/>
      <c r="J163" s="217"/>
      <c r="K163" s="220"/>
      <c r="L163" s="213"/>
      <c r="M163" s="143"/>
      <c r="N163" s="213"/>
      <c r="O163" s="212"/>
      <c r="P163" s="212"/>
      <c r="Q163" s="143"/>
      <c r="R163" s="213"/>
      <c r="S163" s="212"/>
      <c r="T163" s="145"/>
      <c r="AB163" s="214" t="str">
        <f>IFERROR(__xludf.DUMMYFUNCTION("FILTER('설정시트'!$D$7:$K$20,'설정시트'!$C$7:$C$20=I163)"),"#N/A")</f>
        <v>#N/A</v>
      </c>
      <c r="AC163" s="214"/>
      <c r="AD163" s="214"/>
      <c r="AE163" s="214"/>
      <c r="AF163" s="214"/>
      <c r="AG163" s="214"/>
      <c r="AH163" s="214"/>
      <c r="AI163" s="214"/>
    </row>
    <row r="164">
      <c r="H164" s="221"/>
      <c r="I164" s="222"/>
      <c r="J164" s="217"/>
      <c r="K164" s="220"/>
      <c r="L164" s="213"/>
      <c r="M164" s="143"/>
      <c r="N164" s="213"/>
      <c r="O164" s="212"/>
      <c r="P164" s="212"/>
      <c r="Q164" s="143"/>
      <c r="R164" s="213"/>
      <c r="S164" s="212"/>
      <c r="T164" s="145"/>
      <c r="AB164" s="214" t="str">
        <f>IFERROR(__xludf.DUMMYFUNCTION("FILTER('설정시트'!$D$7:$K$20,'설정시트'!$C$7:$C$20=I164)"),"#N/A")</f>
        <v>#N/A</v>
      </c>
      <c r="AC164" s="214"/>
      <c r="AD164" s="214"/>
      <c r="AE164" s="214"/>
      <c r="AF164" s="214"/>
      <c r="AG164" s="214"/>
      <c r="AH164" s="214"/>
      <c r="AI164" s="214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IFERROR(__xludf.DUMMYFUNCTION("FILTER('설정시트'!$D$7:$K$20,'설정시트'!$C$7:$C$20=I165)"),"#N/A")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IFERROR(__xludf.DUMMYFUNCTION("FILTER('설정시트'!$D$7:$K$20,'설정시트'!$C$7:$C$20=I166)"),"#N/A")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IFERROR(__xludf.DUMMYFUNCTION("FILTER('설정시트'!$D$7:$K$20,'설정시트'!$C$7:$C$20=I167)"),"#N/A")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IFERROR(__xludf.DUMMYFUNCTION("FILTER('설정시트'!$D$7:$K$20,'설정시트'!$C$7:$C$20=I168)"),"#N/A")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IFERROR(__xludf.DUMMYFUNCTION("FILTER('설정시트'!$D$7:$K$20,'설정시트'!$C$7:$C$20=I169)"),"#N/A")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IFERROR(__xludf.DUMMYFUNCTION("FILTER('설정시트'!$D$7:$K$20,'설정시트'!$C$7:$C$20=I170)"),"#N/A")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IFERROR(__xludf.DUMMYFUNCTION("FILTER('설정시트'!$D$7:$K$20,'설정시트'!$C$7:$C$20=I171)"),"#N/A")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IFERROR(__xludf.DUMMYFUNCTION("FILTER('설정시트'!$D$7:$K$20,'설정시트'!$C$7:$C$20=I172)"),"#N/A")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IFERROR(__xludf.DUMMYFUNCTION("FILTER('설정시트'!$D$7:$K$20,'설정시트'!$C$7:$C$20=I173)"),"#N/A")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IFERROR(__xludf.DUMMYFUNCTION("FILTER('설정시트'!$D$7:$K$20,'설정시트'!$C$7:$C$20=I174)"),"#N/A")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IFERROR(__xludf.DUMMYFUNCTION("FILTER('설정시트'!$D$7:$K$20,'설정시트'!$C$7:$C$20=I175)"),"#N/A")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IFERROR(__xludf.DUMMYFUNCTION("FILTER('설정시트'!$D$7:$K$20,'설정시트'!$C$7:$C$20=I176)"),"#N/A")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IFERROR(__xludf.DUMMYFUNCTION("FILTER('설정시트'!$D$7:$K$20,'설정시트'!$C$7:$C$20=I177)"),"#N/A")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IFERROR(__xludf.DUMMYFUNCTION("FILTER('설정시트'!$D$7:$K$20,'설정시트'!$C$7:$C$20=I178)"),"#N/A")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IFERROR(__xludf.DUMMYFUNCTION("FILTER('설정시트'!$D$7:$K$20,'설정시트'!$C$7:$C$20=I179)"),"#N/A")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IFERROR(__xludf.DUMMYFUNCTION("FILTER('설정시트'!$D$7:$K$20,'설정시트'!$C$7:$C$20=I180)"),"#N/A")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IFERROR(__xludf.DUMMYFUNCTION("FILTER('설정시트'!$D$7:$K$20,'설정시트'!$C$7:$C$20=I181)"),"#N/A")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IFERROR(__xludf.DUMMYFUNCTION("FILTER('설정시트'!$D$7:$K$20,'설정시트'!$C$7:$C$20=I182)"),"#N/A")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IFERROR(__xludf.DUMMYFUNCTION("FILTER('설정시트'!$D$7:$K$20,'설정시트'!$C$7:$C$20=I183)"),"#N/A")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IFERROR(__xludf.DUMMYFUNCTION("FILTER('설정시트'!$D$7:$K$20,'설정시트'!$C$7:$C$20=I184)"),"#N/A")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IFERROR(__xludf.DUMMYFUNCTION("FILTER('설정시트'!$D$7:$K$20,'설정시트'!$C$7:$C$20=I185)"),"#N/A")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IFERROR(__xludf.DUMMYFUNCTION("FILTER('설정시트'!$D$7:$K$20,'설정시트'!$C$7:$C$20=I186)"),"#N/A")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IFERROR(__xludf.DUMMYFUNCTION("FILTER('설정시트'!$D$7:$K$20,'설정시트'!$C$7:$C$20=I187)"),"#N/A")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IFERROR(__xludf.DUMMYFUNCTION("FILTER('설정시트'!$D$7:$K$20,'설정시트'!$C$7:$C$20=I188)"),"#N/A")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IFERROR(__xludf.DUMMYFUNCTION("FILTER('설정시트'!$D$7:$K$20,'설정시트'!$C$7:$C$20=I189)"),"#N/A")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IFERROR(__xludf.DUMMYFUNCTION("FILTER('설정시트'!$D$7:$K$20,'설정시트'!$C$7:$C$20=I190)"),"#N/A")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IFERROR(__xludf.DUMMYFUNCTION("FILTER('설정시트'!$D$7:$K$20,'설정시트'!$C$7:$C$20=I191)"),"#N/A")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IFERROR(__xludf.DUMMYFUNCTION("FILTER('설정시트'!$D$7:$K$20,'설정시트'!$C$7:$C$20=I192)"),"#N/A")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IFERROR(__xludf.DUMMYFUNCTION("FILTER('설정시트'!$D$7:$K$20,'설정시트'!$C$7:$C$20=I193)"),"#N/A")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IFERROR(__xludf.DUMMYFUNCTION("FILTER('설정시트'!$D$7:$K$20,'설정시트'!$C$7:$C$20=I194)"),"#N/A")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IFERROR(__xludf.DUMMYFUNCTION("FILTER('설정시트'!$D$7:$K$20,'설정시트'!$C$7:$C$20=I195)"),"#N/A")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IFERROR(__xludf.DUMMYFUNCTION("FILTER('설정시트'!$D$7:$K$20,'설정시트'!$C$7:$C$20=I196)"),"#N/A")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IFERROR(__xludf.DUMMYFUNCTION("FILTER('설정시트'!$D$7:$K$20,'설정시트'!$C$7:$C$20=I197)"),"#N/A")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IFERROR(__xludf.DUMMYFUNCTION("FILTER('설정시트'!$D$7:$K$20,'설정시트'!$C$7:$C$20=I198)"),"#N/A")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IFERROR(__xludf.DUMMYFUNCTION("FILTER('설정시트'!$D$7:$K$20,'설정시트'!$C$7:$C$20=I199)"),"#N/A")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IFERROR(__xludf.DUMMYFUNCTION("FILTER('설정시트'!$D$7:$K$20,'설정시트'!$C$7:$C$20=I200)"),"#N/A")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IFERROR(__xludf.DUMMYFUNCTION("FILTER('설정시트'!$D$7:$K$20,'설정시트'!$C$7:$C$20=I201)"),"#N/A")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IFERROR(__xludf.DUMMYFUNCTION("FILTER('설정시트'!$D$7:$K$20,'설정시트'!$C$7:$C$20=I202)"),"#N/A")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IFERROR(__xludf.DUMMYFUNCTION("FILTER('설정시트'!$D$7:$K$20,'설정시트'!$C$7:$C$20=I203)"),"#N/A")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IFERROR(__xludf.DUMMYFUNCTION("FILTER('설정시트'!$D$7:$K$20,'설정시트'!$C$7:$C$20=I204)"),"#N/A")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IFERROR(__xludf.DUMMYFUNCTION("FILTER('설정시트'!$D$7:$K$20,'설정시트'!$C$7:$C$20=I205)"),"#N/A")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IFERROR(__xludf.DUMMYFUNCTION("FILTER('설정시트'!$D$7:$K$20,'설정시트'!$C$7:$C$20=I206)"),"#N/A")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IFERROR(__xludf.DUMMYFUNCTION("FILTER('설정시트'!$D$7:$K$20,'설정시트'!$C$7:$C$20=I207)"),"#N/A")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IFERROR(__xludf.DUMMYFUNCTION("FILTER('설정시트'!$D$7:$K$20,'설정시트'!$C$7:$C$20=I208)"),"#N/A")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IFERROR(__xludf.DUMMYFUNCTION("FILTER('설정시트'!$D$7:$K$20,'설정시트'!$C$7:$C$20=I209)"),"#N/A")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IFERROR(__xludf.DUMMYFUNCTION("FILTER('설정시트'!$D$7:$K$20,'설정시트'!$C$7:$C$20=I210)"),"#N/A")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IFERROR(__xludf.DUMMYFUNCTION("FILTER('설정시트'!$D$7:$K$20,'설정시트'!$C$7:$C$20=I211)"),"#N/A")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IFERROR(__xludf.DUMMYFUNCTION("FILTER('설정시트'!$D$7:$K$20,'설정시트'!$C$7:$C$20=I212)"),"#N/A")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IFERROR(__xludf.DUMMYFUNCTION("FILTER('설정시트'!$D$7:$K$20,'설정시트'!$C$7:$C$20=I213)"),"#N/A")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IFERROR(__xludf.DUMMYFUNCTION("FILTER('설정시트'!$D$7:$K$20,'설정시트'!$C$7:$C$20=I214)"),"#N/A")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IFERROR(__xludf.DUMMYFUNCTION("FILTER('설정시트'!$D$7:$K$20,'설정시트'!$C$7:$C$20=I215)"),"#N/A")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IFERROR(__xludf.DUMMYFUNCTION("FILTER('설정시트'!$D$7:$K$20,'설정시트'!$C$7:$C$20=I216)"),"#N/A")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IFERROR(__xludf.DUMMYFUNCTION("FILTER('설정시트'!$D$7:$K$20,'설정시트'!$C$7:$C$20=I217)"),"#N/A")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IFERROR(__xludf.DUMMYFUNCTION("FILTER('설정시트'!$D$7:$K$20,'설정시트'!$C$7:$C$20=I218)"),"#N/A")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IFERROR(__xludf.DUMMYFUNCTION("FILTER('설정시트'!$D$7:$K$20,'설정시트'!$C$7:$C$20=I219)"),"#N/A")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IFERROR(__xludf.DUMMYFUNCTION("FILTER('설정시트'!$D$7:$K$20,'설정시트'!$C$7:$C$20=I220)"),"#N/A")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IFERROR(__xludf.DUMMYFUNCTION("FILTER('설정시트'!$D$7:$K$20,'설정시트'!$C$7:$C$20=I221)"),"#N/A")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IFERROR(__xludf.DUMMYFUNCTION("FILTER('설정시트'!$D$7:$K$20,'설정시트'!$C$7:$C$20=I222)"),"#N/A")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IFERROR(__xludf.DUMMYFUNCTION("FILTER('설정시트'!$D$7:$K$20,'설정시트'!$C$7:$C$20=I223)"),"#N/A")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IFERROR(__xludf.DUMMYFUNCTION("FILTER('설정시트'!$D$7:$K$20,'설정시트'!$C$7:$C$20=I224)"),"#N/A")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IFERROR(__xludf.DUMMYFUNCTION("FILTER('설정시트'!$D$7:$K$20,'설정시트'!$C$7:$C$20=I225)"),"#N/A")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IFERROR(__xludf.DUMMYFUNCTION("FILTER('설정시트'!$D$7:$K$20,'설정시트'!$C$7:$C$20=I226)"),"#N/A")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IFERROR(__xludf.DUMMYFUNCTION("FILTER('설정시트'!$D$7:$K$20,'설정시트'!$C$7:$C$20=I227)"),"#N/A")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IFERROR(__xludf.DUMMYFUNCTION("FILTER('설정시트'!$D$7:$K$20,'설정시트'!$C$7:$C$20=I228)"),"#N/A")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IFERROR(__xludf.DUMMYFUNCTION("FILTER('설정시트'!$D$7:$K$20,'설정시트'!$C$7:$C$20=I229)"),"#N/A")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IFERROR(__xludf.DUMMYFUNCTION("FILTER('설정시트'!$D$7:$K$20,'설정시트'!$C$7:$C$20=I230)"),"#N/A")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IFERROR(__xludf.DUMMYFUNCTION("FILTER('설정시트'!$D$7:$K$20,'설정시트'!$C$7:$C$20=I231)"),"#N/A")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IFERROR(__xludf.DUMMYFUNCTION("FILTER('설정시트'!$D$7:$K$20,'설정시트'!$C$7:$C$20=I232)"),"#N/A")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IFERROR(__xludf.DUMMYFUNCTION("FILTER('설정시트'!$D$7:$K$20,'설정시트'!$C$7:$C$20=I233)"),"#N/A")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IFERROR(__xludf.DUMMYFUNCTION("FILTER('설정시트'!$D$7:$K$20,'설정시트'!$C$7:$C$20=I234)"),"#N/A")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IFERROR(__xludf.DUMMYFUNCTION("FILTER('설정시트'!$D$7:$K$20,'설정시트'!$C$7:$C$20=I235)"),"#N/A")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IFERROR(__xludf.DUMMYFUNCTION("FILTER('설정시트'!$D$7:$K$20,'설정시트'!$C$7:$C$20=I236)"),"#N/A")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IFERROR(__xludf.DUMMYFUNCTION("FILTER('설정시트'!$D$7:$K$20,'설정시트'!$C$7:$C$20=I237)"),"#N/A")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IFERROR(__xludf.DUMMYFUNCTION("FILTER('설정시트'!$D$7:$K$20,'설정시트'!$C$7:$C$20=I238)"),"#N/A")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IFERROR(__xludf.DUMMYFUNCTION("FILTER('설정시트'!$D$7:$K$20,'설정시트'!$C$7:$C$20=I239)"),"#N/A")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IFERROR(__xludf.DUMMYFUNCTION("FILTER('설정시트'!$D$7:$K$20,'설정시트'!$C$7:$C$20=I240)"),"#N/A")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IFERROR(__xludf.DUMMYFUNCTION("FILTER('설정시트'!$D$7:$K$20,'설정시트'!$C$7:$C$20=I241)"),"#N/A")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IFERROR(__xludf.DUMMYFUNCTION("FILTER('설정시트'!$D$7:$K$20,'설정시트'!$C$7:$C$20=I242)"),"#N/A")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IFERROR(__xludf.DUMMYFUNCTION("FILTER('설정시트'!$D$7:$K$20,'설정시트'!$C$7:$C$20=I243)"),"#N/A")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IFERROR(__xludf.DUMMYFUNCTION("FILTER('설정시트'!$D$7:$K$20,'설정시트'!$C$7:$C$20=I244)"),"#N/A")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IFERROR(__xludf.DUMMYFUNCTION("FILTER('설정시트'!$D$7:$K$20,'설정시트'!$C$7:$C$20=I245)"),"#N/A")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IFERROR(__xludf.DUMMYFUNCTION("FILTER('설정시트'!$D$7:$K$20,'설정시트'!$C$7:$C$20=I246)"),"#N/A")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IFERROR(__xludf.DUMMYFUNCTION("FILTER('설정시트'!$D$7:$K$20,'설정시트'!$C$7:$C$20=I247)"),"#N/A")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IFERROR(__xludf.DUMMYFUNCTION("FILTER('설정시트'!$D$7:$K$20,'설정시트'!$C$7:$C$20=I248)"),"#N/A")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IFERROR(__xludf.DUMMYFUNCTION("FILTER('설정시트'!$D$7:$K$20,'설정시트'!$C$7:$C$20=I249)"),"#N/A")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IFERROR(__xludf.DUMMYFUNCTION("FILTER('설정시트'!$D$7:$K$20,'설정시트'!$C$7:$C$20=I250)"),"#N/A")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IFERROR(__xludf.DUMMYFUNCTION("FILTER('설정시트'!$D$7:$K$20,'설정시트'!$C$7:$C$20=I251)"),"#N/A")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IFERROR(__xludf.DUMMYFUNCTION("FILTER('설정시트'!$D$7:$K$20,'설정시트'!$C$7:$C$20=I252)"),"#N/A")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IFERROR(__xludf.DUMMYFUNCTION("FILTER('설정시트'!$D$7:$K$20,'설정시트'!$C$7:$C$20=I253)"),"#N/A")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IFERROR(__xludf.DUMMYFUNCTION("FILTER('설정시트'!$D$7:$K$20,'설정시트'!$C$7:$C$20=I254)"),"#N/A")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IFERROR(__xludf.DUMMYFUNCTION("FILTER('설정시트'!$D$7:$K$20,'설정시트'!$C$7:$C$20=I255)"),"#N/A")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IFERROR(__xludf.DUMMYFUNCTION("FILTER('설정시트'!$D$7:$K$20,'설정시트'!$C$7:$C$20=I256)"),"#N/A")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IFERROR(__xludf.DUMMYFUNCTION("FILTER('설정시트'!$D$7:$K$20,'설정시트'!$C$7:$C$20=I257)"),"#N/A")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IFERROR(__xludf.DUMMYFUNCTION("FILTER('설정시트'!$D$7:$K$20,'설정시트'!$C$7:$C$20=I258)"),"#N/A")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IFERROR(__xludf.DUMMYFUNCTION("FILTER('설정시트'!$D$7:$K$20,'설정시트'!$C$7:$C$20=I259)"),"#N/A")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IFERROR(__xludf.DUMMYFUNCTION("FILTER('설정시트'!$D$7:$K$20,'설정시트'!$C$7:$C$20=I260)"),"#N/A")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IFERROR(__xludf.DUMMYFUNCTION("FILTER('설정시트'!$D$7:$K$20,'설정시트'!$C$7:$C$20=I261)"),"#N/A")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IFERROR(__xludf.DUMMYFUNCTION("FILTER('설정시트'!$D$7:$K$20,'설정시트'!$C$7:$C$20=I262)"),"#N/A")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IFERROR(__xludf.DUMMYFUNCTION("FILTER('설정시트'!$D$7:$K$20,'설정시트'!$C$7:$C$20=I263)"),"#N/A")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IFERROR(__xludf.DUMMYFUNCTION("FILTER('설정시트'!$D$7:$K$20,'설정시트'!$C$7:$C$20=I264)"),"#N/A")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IFERROR(__xludf.DUMMYFUNCTION("FILTER('설정시트'!$D$7:$K$20,'설정시트'!$C$7:$C$20=I265)"),"#N/A")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IFERROR(__xludf.DUMMYFUNCTION("FILTER('설정시트'!$D$7:$K$20,'설정시트'!$C$7:$C$20=I266)"),"#N/A")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IFERROR(__xludf.DUMMYFUNCTION("FILTER('설정시트'!$D$7:$K$20,'설정시트'!$C$7:$C$20=I267)"),"#N/A")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IFERROR(__xludf.DUMMYFUNCTION("FILTER('설정시트'!$D$7:$K$20,'설정시트'!$C$7:$C$20=I268)"),"#N/A")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IFERROR(__xludf.DUMMYFUNCTION("FILTER('설정시트'!$D$7:$K$20,'설정시트'!$C$7:$C$20=I269)"),"#N/A")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IFERROR(__xludf.DUMMYFUNCTION("FILTER('설정시트'!$D$7:$K$20,'설정시트'!$C$7:$C$20=I270)"),"#N/A")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IFERROR(__xludf.DUMMYFUNCTION("FILTER('설정시트'!$D$7:$K$20,'설정시트'!$C$7:$C$20=I271)"),"#N/A")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IFERROR(__xludf.DUMMYFUNCTION("FILTER('설정시트'!$D$7:$K$20,'설정시트'!$C$7:$C$20=I272)"),"#N/A")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IFERROR(__xludf.DUMMYFUNCTION("FILTER('설정시트'!$D$7:$K$20,'설정시트'!$C$7:$C$20=I273)"),"#N/A")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IFERROR(__xludf.DUMMYFUNCTION("FILTER('설정시트'!$D$7:$K$20,'설정시트'!$C$7:$C$20=I274)"),"#N/A")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IFERROR(__xludf.DUMMYFUNCTION("FILTER('설정시트'!$D$7:$K$20,'설정시트'!$C$7:$C$20=I275)"),"#N/A")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IFERROR(__xludf.DUMMYFUNCTION("FILTER('설정시트'!$D$7:$K$20,'설정시트'!$C$7:$C$20=I276)"),"#N/A")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IFERROR(__xludf.DUMMYFUNCTION("FILTER('설정시트'!$D$7:$K$20,'설정시트'!$C$7:$C$20=I277)"),"#N/A")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IFERROR(__xludf.DUMMYFUNCTION("FILTER('설정시트'!$D$7:$K$20,'설정시트'!$C$7:$C$20=I278)"),"#N/A")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IFERROR(__xludf.DUMMYFUNCTION("FILTER('설정시트'!$D$7:$K$20,'설정시트'!$C$7:$C$20=I279)"),"#N/A")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IFERROR(__xludf.DUMMYFUNCTION("FILTER('설정시트'!$D$7:$K$20,'설정시트'!$C$7:$C$20=I280)"),"#N/A")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IFERROR(__xludf.DUMMYFUNCTION("FILTER('설정시트'!$D$7:$K$20,'설정시트'!$C$7:$C$20=I281)"),"#N/A")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IFERROR(__xludf.DUMMYFUNCTION("FILTER('설정시트'!$D$7:$K$20,'설정시트'!$C$7:$C$20=I282)"),"#N/A")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IFERROR(__xludf.DUMMYFUNCTION("FILTER('설정시트'!$D$7:$K$20,'설정시트'!$C$7:$C$20=I283)"),"#N/A")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IFERROR(__xludf.DUMMYFUNCTION("FILTER('설정시트'!$D$7:$K$20,'설정시트'!$C$7:$C$20=I284)"),"#N/A")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IFERROR(__xludf.DUMMYFUNCTION("FILTER('설정시트'!$D$7:$K$20,'설정시트'!$C$7:$C$20=I285)"),"#N/A")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IFERROR(__xludf.DUMMYFUNCTION("FILTER('설정시트'!$D$7:$K$20,'설정시트'!$C$7:$C$20=I286)"),"#N/A")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IFERROR(__xludf.DUMMYFUNCTION("FILTER('설정시트'!$D$7:$K$20,'설정시트'!$C$7:$C$20=I287)"),"#N/A")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IFERROR(__xludf.DUMMYFUNCTION("FILTER('설정시트'!$D$7:$K$20,'설정시트'!$C$7:$C$20=I288)"),"#N/A")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IFERROR(__xludf.DUMMYFUNCTION("FILTER('설정시트'!$D$7:$K$20,'설정시트'!$C$7:$C$20=I289)"),"#N/A")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IFERROR(__xludf.DUMMYFUNCTION("FILTER('설정시트'!$D$7:$K$20,'설정시트'!$C$7:$C$20=I290)"),"#N/A")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IFERROR(__xludf.DUMMYFUNCTION("FILTER('설정시트'!$D$7:$K$20,'설정시트'!$C$7:$C$20=I291)"),"#N/A")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IFERROR(__xludf.DUMMYFUNCTION("FILTER('설정시트'!$D$7:$K$20,'설정시트'!$C$7:$C$20=I292)"),"#N/A")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IFERROR(__xludf.DUMMYFUNCTION("FILTER('설정시트'!$D$7:$K$20,'설정시트'!$C$7:$C$20=I293)"),"#N/A")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IFERROR(__xludf.DUMMYFUNCTION("FILTER('설정시트'!$D$7:$K$20,'설정시트'!$C$7:$C$20=I294)"),"#N/A")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IFERROR(__xludf.DUMMYFUNCTION("FILTER('설정시트'!$D$7:$K$20,'설정시트'!$C$7:$C$20=I295)"),"#N/A")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IFERROR(__xludf.DUMMYFUNCTION("FILTER('설정시트'!$D$7:$K$20,'설정시트'!$C$7:$C$20=I296)"),"#N/A")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IFERROR(__xludf.DUMMYFUNCTION("FILTER('설정시트'!$D$7:$K$20,'설정시트'!$C$7:$C$20=I297)"),"#N/A")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IFERROR(__xludf.DUMMYFUNCTION("FILTER('설정시트'!$D$7:$K$20,'설정시트'!$C$7:$C$20=I298)"),"#N/A")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IFERROR(__xludf.DUMMYFUNCTION("FILTER('설정시트'!$D$7:$K$20,'설정시트'!$C$7:$C$20=I299)"),"#N/A")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IFERROR(__xludf.DUMMYFUNCTION("FILTER('설정시트'!$D$7:$K$20,'설정시트'!$C$7:$C$20=I300)"),"#N/A")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IFERROR(__xludf.DUMMYFUNCTION("FILTER('설정시트'!$D$7:$K$20,'설정시트'!$C$7:$C$20=I301)"),"#N/A")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IFERROR(__xludf.DUMMYFUNCTION("FILTER('설정시트'!$D$7:$K$20,'설정시트'!$C$7:$C$20=I302)"),"#N/A")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IFERROR(__xludf.DUMMYFUNCTION("FILTER('설정시트'!$D$7:$K$20,'설정시트'!$C$7:$C$20=I303)"),"#N/A")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IFERROR(__xludf.DUMMYFUNCTION("FILTER('설정시트'!$D$7:$K$20,'설정시트'!$C$7:$C$20=I304)"),"#N/A")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IFERROR(__xludf.DUMMYFUNCTION("FILTER('설정시트'!$D$7:$K$20,'설정시트'!$C$7:$C$20=I305)"),"#N/A")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IFERROR(__xludf.DUMMYFUNCTION("FILTER('설정시트'!$D$7:$K$20,'설정시트'!$C$7:$C$20=I306)"),"#N/A")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IFERROR(__xludf.DUMMYFUNCTION("FILTER('설정시트'!$D$7:$K$20,'설정시트'!$C$7:$C$20=I307)"),"#N/A")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IFERROR(__xludf.DUMMYFUNCTION("FILTER('설정시트'!$D$7:$K$20,'설정시트'!$C$7:$C$20=I308)"),"#N/A")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IFERROR(__xludf.DUMMYFUNCTION("FILTER('설정시트'!$D$7:$K$20,'설정시트'!$C$7:$C$20=I309)"),"#N/A")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IFERROR(__xludf.DUMMYFUNCTION("FILTER('설정시트'!$D$7:$K$20,'설정시트'!$C$7:$C$20=I310)"),"#N/A")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IFERROR(__xludf.DUMMYFUNCTION("FILTER('설정시트'!$D$7:$K$20,'설정시트'!$C$7:$C$20=I311)"),"#N/A")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IFERROR(__xludf.DUMMYFUNCTION("FILTER('설정시트'!$D$7:$K$20,'설정시트'!$C$7:$C$20=I312)"),"#N/A")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IFERROR(__xludf.DUMMYFUNCTION("FILTER('설정시트'!$D$7:$K$20,'설정시트'!$C$7:$C$20=I313)"),"#N/A")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IFERROR(__xludf.DUMMYFUNCTION("FILTER('설정시트'!$D$7:$K$20,'설정시트'!$C$7:$C$20=I314)"),"#N/A")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IFERROR(__xludf.DUMMYFUNCTION("FILTER('설정시트'!$D$7:$K$20,'설정시트'!$C$7:$C$20=I315)"),"#N/A")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IFERROR(__xludf.DUMMYFUNCTION("FILTER('설정시트'!$D$7:$K$20,'설정시트'!$C$7:$C$20=I316)"),"#N/A")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IFERROR(__xludf.DUMMYFUNCTION("FILTER('설정시트'!$D$7:$K$20,'설정시트'!$C$7:$C$20=I317)"),"#N/A")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IFERROR(__xludf.DUMMYFUNCTION("FILTER('설정시트'!$D$7:$K$20,'설정시트'!$C$7:$C$20=I318)"),"#N/A")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IFERROR(__xludf.DUMMYFUNCTION("FILTER('설정시트'!$D$7:$K$20,'설정시트'!$C$7:$C$20=I319)"),"#N/A")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IFERROR(__xludf.DUMMYFUNCTION("FILTER('설정시트'!$D$7:$K$20,'설정시트'!$C$7:$C$20=I320)"),"#N/A")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IFERROR(__xludf.DUMMYFUNCTION("FILTER('설정시트'!$D$7:$K$20,'설정시트'!$C$7:$C$20=I321)"),"#N/A")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IFERROR(__xludf.DUMMYFUNCTION("FILTER('설정시트'!$D$7:$K$20,'설정시트'!$C$7:$C$20=I322)"),"#N/A")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IFERROR(__xludf.DUMMYFUNCTION("FILTER('설정시트'!$D$7:$K$20,'설정시트'!$C$7:$C$20=I323)"),"#N/A")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IFERROR(__xludf.DUMMYFUNCTION("FILTER('설정시트'!$D$7:$K$20,'설정시트'!$C$7:$C$20=I324)"),"#N/A")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IFERROR(__xludf.DUMMYFUNCTION("FILTER('설정시트'!$D$7:$K$20,'설정시트'!$C$7:$C$20=I325)"),"#N/A")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IFERROR(__xludf.DUMMYFUNCTION("FILTER('설정시트'!$D$7:$K$20,'설정시트'!$C$7:$C$20=I326)"),"#N/A")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IFERROR(__xludf.DUMMYFUNCTION("FILTER('설정시트'!$D$7:$K$20,'설정시트'!$C$7:$C$20=I327)"),"#N/A")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IFERROR(__xludf.DUMMYFUNCTION("FILTER('설정시트'!$D$7:$K$20,'설정시트'!$C$7:$C$20=I328)"),"#N/A")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IFERROR(__xludf.DUMMYFUNCTION("FILTER('설정시트'!$D$7:$K$20,'설정시트'!$C$7:$C$20=I329)"),"#N/A")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IFERROR(__xludf.DUMMYFUNCTION("FILTER('설정시트'!$D$7:$K$20,'설정시트'!$C$7:$C$20=I330)"),"#N/A")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IFERROR(__xludf.DUMMYFUNCTION("FILTER('설정시트'!$D$7:$K$20,'설정시트'!$C$7:$C$20=I331)"),"#N/A")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IFERROR(__xludf.DUMMYFUNCTION("FILTER('설정시트'!$D$7:$K$20,'설정시트'!$C$7:$C$20=I332)"),"#N/A")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IFERROR(__xludf.DUMMYFUNCTION("FILTER('설정시트'!$D$7:$K$20,'설정시트'!$C$7:$C$20=I333)"),"#N/A")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IFERROR(__xludf.DUMMYFUNCTION("FILTER('설정시트'!$D$7:$K$20,'설정시트'!$C$7:$C$20=I334)"),"#N/A")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IFERROR(__xludf.DUMMYFUNCTION("FILTER('설정시트'!$D$7:$K$20,'설정시트'!$C$7:$C$20=I335)"),"#N/A")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IFERROR(__xludf.DUMMYFUNCTION("FILTER('설정시트'!$D$7:$K$20,'설정시트'!$C$7:$C$20=I336)"),"#N/A")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IFERROR(__xludf.DUMMYFUNCTION("FILTER('설정시트'!$D$7:$K$20,'설정시트'!$C$7:$C$20=I337)"),"#N/A")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IFERROR(__xludf.DUMMYFUNCTION("FILTER('설정시트'!$D$7:$K$20,'설정시트'!$C$7:$C$20=I338)"),"#N/A")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IFERROR(__xludf.DUMMYFUNCTION("FILTER('설정시트'!$D$7:$K$20,'설정시트'!$C$7:$C$20=I339)"),"#N/A")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IFERROR(__xludf.DUMMYFUNCTION("FILTER('설정시트'!$D$7:$K$20,'설정시트'!$C$7:$C$20=I340)"),"#N/A")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IFERROR(__xludf.DUMMYFUNCTION("FILTER('설정시트'!$D$7:$K$20,'설정시트'!$C$7:$C$20=I341)"),"#N/A")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IFERROR(__xludf.DUMMYFUNCTION("FILTER('설정시트'!$D$7:$K$20,'설정시트'!$C$7:$C$20=I342)"),"#N/A")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IFERROR(__xludf.DUMMYFUNCTION("FILTER('설정시트'!$D$7:$K$20,'설정시트'!$C$7:$C$20=I343)"),"#N/A")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IFERROR(__xludf.DUMMYFUNCTION("FILTER('설정시트'!$D$7:$K$20,'설정시트'!$C$7:$C$20=I344)"),"#N/A")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IFERROR(__xludf.DUMMYFUNCTION("FILTER('설정시트'!$D$7:$K$20,'설정시트'!$C$7:$C$20=I345)"),"#N/A")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IFERROR(__xludf.DUMMYFUNCTION("FILTER('설정시트'!$D$7:$K$20,'설정시트'!$C$7:$C$20=I346)"),"#N/A")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IFERROR(__xludf.DUMMYFUNCTION("FILTER('설정시트'!$D$7:$K$20,'설정시트'!$C$7:$C$20=I347)"),"#N/A")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IFERROR(__xludf.DUMMYFUNCTION("FILTER('설정시트'!$D$7:$K$20,'설정시트'!$C$7:$C$20=I348)"),"#N/A")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IFERROR(__xludf.DUMMYFUNCTION("FILTER('설정시트'!$D$7:$K$20,'설정시트'!$C$7:$C$20=I349)"),"#N/A")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IFERROR(__xludf.DUMMYFUNCTION("FILTER('설정시트'!$D$7:$K$20,'설정시트'!$C$7:$C$20=I350)"),"#N/A")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IFERROR(__xludf.DUMMYFUNCTION("FILTER('설정시트'!$D$7:$K$20,'설정시트'!$C$7:$C$20=I351)"),"#N/A")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IFERROR(__xludf.DUMMYFUNCTION("FILTER('설정시트'!$D$7:$K$20,'설정시트'!$C$7:$C$20=I352)"),"#N/A")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IFERROR(__xludf.DUMMYFUNCTION("FILTER('설정시트'!$D$7:$K$20,'설정시트'!$C$7:$C$20=I353)"),"#N/A")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IFERROR(__xludf.DUMMYFUNCTION("FILTER('설정시트'!$D$7:$K$20,'설정시트'!$C$7:$C$20=I354)"),"#N/A")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IFERROR(__xludf.DUMMYFUNCTION("FILTER('설정시트'!$D$7:$K$20,'설정시트'!$C$7:$C$20=I355)"),"#N/A")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IFERROR(__xludf.DUMMYFUNCTION("FILTER('설정시트'!$D$7:$K$20,'설정시트'!$C$7:$C$20=I356)"),"#N/A")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IFERROR(__xludf.DUMMYFUNCTION("FILTER('설정시트'!$D$7:$K$20,'설정시트'!$C$7:$C$20=I357)"),"#N/A")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IFERROR(__xludf.DUMMYFUNCTION("FILTER('설정시트'!$D$7:$K$20,'설정시트'!$C$7:$C$20=I358)"),"#N/A")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IFERROR(__xludf.DUMMYFUNCTION("FILTER('설정시트'!$D$7:$K$20,'설정시트'!$C$7:$C$20=I359)"),"#N/A")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IFERROR(__xludf.DUMMYFUNCTION("FILTER('설정시트'!$D$7:$K$20,'설정시트'!$C$7:$C$20=I360)"),"#N/A")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IFERROR(__xludf.DUMMYFUNCTION("FILTER('설정시트'!$D$7:$K$20,'설정시트'!$C$7:$C$20=I361)"),"#N/A")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IFERROR(__xludf.DUMMYFUNCTION("FILTER('설정시트'!$D$7:$K$20,'설정시트'!$C$7:$C$20=I362)"),"#N/A")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IFERROR(__xludf.DUMMYFUNCTION("FILTER('설정시트'!$D$7:$K$20,'설정시트'!$C$7:$C$20=I363)"),"#N/A")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IFERROR(__xludf.DUMMYFUNCTION("FILTER('설정시트'!$D$7:$K$20,'설정시트'!$C$7:$C$20=I364)"),"#N/A")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IFERROR(__xludf.DUMMYFUNCTION("FILTER('설정시트'!$D$7:$K$20,'설정시트'!$C$7:$C$20=I365)"),"#N/A")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IFERROR(__xludf.DUMMYFUNCTION("FILTER('설정시트'!$D$7:$K$20,'설정시트'!$C$7:$C$20=I366)"),"#N/A")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IFERROR(__xludf.DUMMYFUNCTION("FILTER('설정시트'!$D$7:$K$20,'설정시트'!$C$7:$C$20=I367)"),"#N/A")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IFERROR(__xludf.DUMMYFUNCTION("FILTER('설정시트'!$D$7:$K$20,'설정시트'!$C$7:$C$20=I368)"),"#N/A")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IFERROR(__xludf.DUMMYFUNCTION("FILTER('설정시트'!$D$7:$K$20,'설정시트'!$C$7:$C$20=I369)"),"#N/A")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IFERROR(__xludf.DUMMYFUNCTION("FILTER('설정시트'!$D$7:$K$20,'설정시트'!$C$7:$C$20=I370)"),"#N/A")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IFERROR(__xludf.DUMMYFUNCTION("FILTER('설정시트'!$D$7:$K$20,'설정시트'!$C$7:$C$20=I371)"),"#N/A")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IFERROR(__xludf.DUMMYFUNCTION("FILTER('설정시트'!$D$7:$K$20,'설정시트'!$C$7:$C$20=I372)"),"#N/A")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IFERROR(__xludf.DUMMYFUNCTION("FILTER('설정시트'!$D$7:$K$20,'설정시트'!$C$7:$C$20=I373)"),"#N/A")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IFERROR(__xludf.DUMMYFUNCTION("FILTER('설정시트'!$D$7:$K$20,'설정시트'!$C$7:$C$20=I374)"),"#N/A")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IFERROR(__xludf.DUMMYFUNCTION("FILTER('설정시트'!$D$7:$K$20,'설정시트'!$C$7:$C$20=I375)"),"#N/A")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IFERROR(__xludf.DUMMYFUNCTION("FILTER('설정시트'!$D$7:$K$20,'설정시트'!$C$7:$C$20=I376)"),"#N/A")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IFERROR(__xludf.DUMMYFUNCTION("FILTER('설정시트'!$D$7:$K$20,'설정시트'!$C$7:$C$20=I377)"),"#N/A")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IFERROR(__xludf.DUMMYFUNCTION("FILTER('설정시트'!$D$7:$K$20,'설정시트'!$C$7:$C$20=I378)"),"#N/A")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IFERROR(__xludf.DUMMYFUNCTION("FILTER('설정시트'!$D$7:$K$20,'설정시트'!$C$7:$C$20=I379)"),"#N/A")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IFERROR(__xludf.DUMMYFUNCTION("FILTER('설정시트'!$D$7:$K$20,'설정시트'!$C$7:$C$20=I380)"),"#N/A")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IFERROR(__xludf.DUMMYFUNCTION("FILTER('설정시트'!$D$7:$K$20,'설정시트'!$C$7:$C$20=I381)"),"#N/A")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IFERROR(__xludf.DUMMYFUNCTION("FILTER('설정시트'!$D$7:$K$20,'설정시트'!$C$7:$C$20=I382)"),"#N/A")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IFERROR(__xludf.DUMMYFUNCTION("FILTER('설정시트'!$D$7:$K$20,'설정시트'!$C$7:$C$20=I383)"),"#N/A")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IFERROR(__xludf.DUMMYFUNCTION("FILTER('설정시트'!$D$7:$K$20,'설정시트'!$C$7:$C$20=I384)"),"#N/A")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IFERROR(__xludf.DUMMYFUNCTION("FILTER('설정시트'!$D$7:$K$20,'설정시트'!$C$7:$C$20=I385)"),"#N/A")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IFERROR(__xludf.DUMMYFUNCTION("FILTER('설정시트'!$D$7:$K$20,'설정시트'!$C$7:$C$20=I386)"),"#N/A")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IFERROR(__xludf.DUMMYFUNCTION("FILTER('설정시트'!$D$7:$K$20,'설정시트'!$C$7:$C$20=I387)"),"#N/A")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IFERROR(__xludf.DUMMYFUNCTION("FILTER('설정시트'!$D$7:$K$20,'설정시트'!$C$7:$C$20=I388)"),"#N/A")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IFERROR(__xludf.DUMMYFUNCTION("FILTER('설정시트'!$D$7:$K$20,'설정시트'!$C$7:$C$20=I389)"),"#N/A")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IFERROR(__xludf.DUMMYFUNCTION("FILTER('설정시트'!$D$7:$K$20,'설정시트'!$C$7:$C$20=I390)"),"#N/A")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IFERROR(__xludf.DUMMYFUNCTION("FILTER('설정시트'!$D$7:$K$20,'설정시트'!$C$7:$C$20=I391)"),"#N/A")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IFERROR(__xludf.DUMMYFUNCTION("FILTER('설정시트'!$D$7:$K$20,'설정시트'!$C$7:$C$20=I392)"),"#N/A")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IFERROR(__xludf.DUMMYFUNCTION("FILTER('설정시트'!$D$7:$K$20,'설정시트'!$C$7:$C$20=I393)"),"#N/A")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IFERROR(__xludf.DUMMYFUNCTION("FILTER('설정시트'!$D$7:$K$20,'설정시트'!$C$7:$C$20=I394)"),"#N/A")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IFERROR(__xludf.DUMMYFUNCTION("FILTER('설정시트'!$D$7:$K$20,'설정시트'!$C$7:$C$20=I395)"),"#N/A")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IFERROR(__xludf.DUMMYFUNCTION("FILTER('설정시트'!$D$7:$K$20,'설정시트'!$C$7:$C$20=I396)"),"#N/A")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IFERROR(__xludf.DUMMYFUNCTION("FILTER('설정시트'!$D$7:$K$20,'설정시트'!$C$7:$C$20=I397)"),"#N/A")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IFERROR(__xludf.DUMMYFUNCTION("FILTER('설정시트'!$D$7:$K$20,'설정시트'!$C$7:$C$20=I398)"),"#N/A")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IFERROR(__xludf.DUMMYFUNCTION("FILTER('설정시트'!$D$7:$K$20,'설정시트'!$C$7:$C$20=I399)"),"#N/A")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IFERROR(__xludf.DUMMYFUNCTION("FILTER('설정시트'!$D$7:$K$20,'설정시트'!$C$7:$C$20=I400)"),"#N/A")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IFERROR(__xludf.DUMMYFUNCTION("FILTER('설정시트'!$D$7:$K$20,'설정시트'!$C$7:$C$20=I401)"),"#N/A")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IFERROR(__xludf.DUMMYFUNCTION("FILTER('설정시트'!$D$7:$K$20,'설정시트'!$C$7:$C$20=I402)"),"#N/A")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IFERROR(__xludf.DUMMYFUNCTION("FILTER('설정시트'!$D$7:$K$20,'설정시트'!$C$7:$C$20=I403)"),"#N/A")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IFERROR(__xludf.DUMMYFUNCTION("FILTER('설정시트'!$D$7:$K$20,'설정시트'!$C$7:$C$20=I404)"),"#N/A")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IFERROR(__xludf.DUMMYFUNCTION("FILTER('설정시트'!$D$7:$K$20,'설정시트'!$C$7:$C$20=I405)"),"#N/A")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IFERROR(__xludf.DUMMYFUNCTION("FILTER('설정시트'!$D$7:$K$20,'설정시트'!$C$7:$C$20=I406)"),"#N/A")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IFERROR(__xludf.DUMMYFUNCTION("FILTER('설정시트'!$D$7:$K$20,'설정시트'!$C$7:$C$20=I407)"),"#N/A")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IFERROR(__xludf.DUMMYFUNCTION("FILTER('설정시트'!$D$7:$K$20,'설정시트'!$C$7:$C$20=I408)"),"#N/A")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IFERROR(__xludf.DUMMYFUNCTION("FILTER('설정시트'!$D$7:$K$20,'설정시트'!$C$7:$C$20=I409)"),"#N/A")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IFERROR(__xludf.DUMMYFUNCTION("FILTER('설정시트'!$D$7:$K$20,'설정시트'!$C$7:$C$20=I410)"),"#N/A")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IFERROR(__xludf.DUMMYFUNCTION("FILTER('설정시트'!$D$7:$K$20,'설정시트'!$C$7:$C$20=I411)"),"#N/A")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IFERROR(__xludf.DUMMYFUNCTION("FILTER('설정시트'!$D$7:$K$20,'설정시트'!$C$7:$C$20=I412)"),"#N/A")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IFERROR(__xludf.DUMMYFUNCTION("FILTER('설정시트'!$D$7:$K$20,'설정시트'!$C$7:$C$20=I413)"),"#N/A")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IFERROR(__xludf.DUMMYFUNCTION("FILTER('설정시트'!$D$7:$K$20,'설정시트'!$C$7:$C$20=I414)"),"#N/A")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IFERROR(__xludf.DUMMYFUNCTION("FILTER('설정시트'!$D$7:$K$20,'설정시트'!$C$7:$C$20=I415)"),"#N/A")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IFERROR(__xludf.DUMMYFUNCTION("FILTER('설정시트'!$D$7:$K$20,'설정시트'!$C$7:$C$20=I416)"),"#N/A")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IFERROR(__xludf.DUMMYFUNCTION("FILTER('설정시트'!$D$7:$K$20,'설정시트'!$C$7:$C$20=I417)"),"#N/A")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IFERROR(__xludf.DUMMYFUNCTION("FILTER('설정시트'!$D$7:$K$20,'설정시트'!$C$7:$C$20=I418)"),"#N/A")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IFERROR(__xludf.DUMMYFUNCTION("FILTER('설정시트'!$D$7:$K$20,'설정시트'!$C$7:$C$20=I419)"),"#N/A")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IFERROR(__xludf.DUMMYFUNCTION("FILTER('설정시트'!$D$7:$K$20,'설정시트'!$C$7:$C$20=I420)"),"#N/A")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IFERROR(__xludf.DUMMYFUNCTION("FILTER('설정시트'!$D$7:$K$20,'설정시트'!$C$7:$C$20=I421)"),"#N/A")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IFERROR(__xludf.DUMMYFUNCTION("FILTER('설정시트'!$D$7:$K$20,'설정시트'!$C$7:$C$20=I422)"),"#N/A")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IFERROR(__xludf.DUMMYFUNCTION("FILTER('설정시트'!$D$7:$K$20,'설정시트'!$C$7:$C$20=I423)"),"#N/A")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IFERROR(__xludf.DUMMYFUNCTION("FILTER('설정시트'!$D$7:$K$20,'설정시트'!$C$7:$C$20=I424)"),"#N/A")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IFERROR(__xludf.DUMMYFUNCTION("FILTER('설정시트'!$D$7:$K$20,'설정시트'!$C$7:$C$20=I425)"),"#N/A")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IFERROR(__xludf.DUMMYFUNCTION("FILTER('설정시트'!$D$7:$K$20,'설정시트'!$C$7:$C$20=I426)"),"#N/A")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IFERROR(__xludf.DUMMYFUNCTION("FILTER('설정시트'!$D$7:$K$20,'설정시트'!$C$7:$C$20=I427)"),"#N/A")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IFERROR(__xludf.DUMMYFUNCTION("FILTER('설정시트'!$D$7:$K$20,'설정시트'!$C$7:$C$20=I428)"),"#N/A")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IFERROR(__xludf.DUMMYFUNCTION("FILTER('설정시트'!$D$7:$K$20,'설정시트'!$C$7:$C$20=I429)"),"#N/A")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IFERROR(__xludf.DUMMYFUNCTION("FILTER('설정시트'!$D$7:$K$20,'설정시트'!$C$7:$C$20=I430)"),"#N/A")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IFERROR(__xludf.DUMMYFUNCTION("FILTER('설정시트'!$D$7:$K$20,'설정시트'!$C$7:$C$20=I431)"),"#N/A")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IFERROR(__xludf.DUMMYFUNCTION("FILTER('설정시트'!$D$7:$K$20,'설정시트'!$C$7:$C$20=I432)"),"#N/A")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IFERROR(__xludf.DUMMYFUNCTION("FILTER('설정시트'!$D$7:$K$20,'설정시트'!$C$7:$C$20=I433)"),"#N/A")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IFERROR(__xludf.DUMMYFUNCTION("FILTER('설정시트'!$D$7:$K$20,'설정시트'!$C$7:$C$20=I434)"),"#N/A")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IFERROR(__xludf.DUMMYFUNCTION("FILTER('설정시트'!$D$7:$K$20,'설정시트'!$C$7:$C$20=I435)"),"#N/A")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IFERROR(__xludf.DUMMYFUNCTION("FILTER('설정시트'!$D$7:$K$20,'설정시트'!$C$7:$C$20=I436)"),"#N/A")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IFERROR(__xludf.DUMMYFUNCTION("FILTER('설정시트'!$D$7:$K$20,'설정시트'!$C$7:$C$20=I437)"),"#N/A")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IFERROR(__xludf.DUMMYFUNCTION("FILTER('설정시트'!$D$7:$K$20,'설정시트'!$C$7:$C$20=I438)"),"#N/A")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IFERROR(__xludf.DUMMYFUNCTION("FILTER('설정시트'!$D$7:$K$20,'설정시트'!$C$7:$C$20=I439)"),"#N/A")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IFERROR(__xludf.DUMMYFUNCTION("FILTER('설정시트'!$D$7:$K$20,'설정시트'!$C$7:$C$20=I440)"),"#N/A")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IFERROR(__xludf.DUMMYFUNCTION("FILTER('설정시트'!$D$7:$K$20,'설정시트'!$C$7:$C$20=I441)"),"#N/A")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IFERROR(__xludf.DUMMYFUNCTION("FILTER('설정시트'!$D$7:$K$20,'설정시트'!$C$7:$C$20=I442)"),"#N/A")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IFERROR(__xludf.DUMMYFUNCTION("FILTER('설정시트'!$D$7:$K$20,'설정시트'!$C$7:$C$20=I443)"),"#N/A")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IFERROR(__xludf.DUMMYFUNCTION("FILTER('설정시트'!$D$7:$K$20,'설정시트'!$C$7:$C$20=I444)"),"#N/A")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IFERROR(__xludf.DUMMYFUNCTION("FILTER('설정시트'!$D$7:$K$20,'설정시트'!$C$7:$C$20=I445)"),"#N/A")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IFERROR(__xludf.DUMMYFUNCTION("FILTER('설정시트'!$D$7:$K$20,'설정시트'!$C$7:$C$20=I446)"),"#N/A")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IFERROR(__xludf.DUMMYFUNCTION("FILTER('설정시트'!$D$7:$K$20,'설정시트'!$C$7:$C$20=I447)"),"#N/A")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IFERROR(__xludf.DUMMYFUNCTION("FILTER('설정시트'!$D$7:$K$20,'설정시트'!$C$7:$C$20=I448)"),"#N/A")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IFERROR(__xludf.DUMMYFUNCTION("FILTER('설정시트'!$D$7:$K$20,'설정시트'!$C$7:$C$20=I449)"),"#N/A")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IFERROR(__xludf.DUMMYFUNCTION("FILTER('설정시트'!$D$7:$K$20,'설정시트'!$C$7:$C$20=I450)"),"#N/A")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IFERROR(__xludf.DUMMYFUNCTION("FILTER('설정시트'!$D$7:$K$20,'설정시트'!$C$7:$C$20=I451)"),"#N/A")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IFERROR(__xludf.DUMMYFUNCTION("FILTER('설정시트'!$D$7:$K$20,'설정시트'!$C$7:$C$20=I452)"),"#N/A")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IFERROR(__xludf.DUMMYFUNCTION("FILTER('설정시트'!$D$7:$K$20,'설정시트'!$C$7:$C$20=I453)"),"#N/A")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IFERROR(__xludf.DUMMYFUNCTION("FILTER('설정시트'!$D$7:$K$20,'설정시트'!$C$7:$C$20=I454)"),"#N/A")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IFERROR(__xludf.DUMMYFUNCTION("FILTER('설정시트'!$D$7:$K$20,'설정시트'!$C$7:$C$20=I455)"),"#N/A")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IFERROR(__xludf.DUMMYFUNCTION("FILTER('설정시트'!$D$7:$K$20,'설정시트'!$C$7:$C$20=I456)"),"#N/A")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IFERROR(__xludf.DUMMYFUNCTION("FILTER('설정시트'!$D$7:$K$20,'설정시트'!$C$7:$C$20=I457)"),"#N/A")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IFERROR(__xludf.DUMMYFUNCTION("FILTER('설정시트'!$D$7:$K$20,'설정시트'!$C$7:$C$20=I458)"),"#N/A")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IFERROR(__xludf.DUMMYFUNCTION("FILTER('설정시트'!$D$7:$K$20,'설정시트'!$C$7:$C$20=I459)"),"#N/A")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IFERROR(__xludf.DUMMYFUNCTION("FILTER('설정시트'!$D$7:$K$20,'설정시트'!$C$7:$C$20=I460)"),"#N/A")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IFERROR(__xludf.DUMMYFUNCTION("FILTER('설정시트'!$D$7:$K$20,'설정시트'!$C$7:$C$20=I461)"),"#N/A")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IFERROR(__xludf.DUMMYFUNCTION("FILTER('설정시트'!$D$7:$K$20,'설정시트'!$C$7:$C$20=I462)"),"#N/A")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IFERROR(__xludf.DUMMYFUNCTION("FILTER('설정시트'!$D$7:$K$20,'설정시트'!$C$7:$C$20=I463)"),"#N/A")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IFERROR(__xludf.DUMMYFUNCTION("FILTER('설정시트'!$D$7:$K$20,'설정시트'!$C$7:$C$20=I464)"),"#N/A")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IFERROR(__xludf.DUMMYFUNCTION("FILTER('설정시트'!$D$7:$K$20,'설정시트'!$C$7:$C$20=I465)"),"#N/A")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IFERROR(__xludf.DUMMYFUNCTION("FILTER('설정시트'!$D$7:$K$20,'설정시트'!$C$7:$C$20=I466)"),"#N/A")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IFERROR(__xludf.DUMMYFUNCTION("FILTER('설정시트'!$D$7:$K$20,'설정시트'!$C$7:$C$20=I467)"),"#N/A")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IFERROR(__xludf.DUMMYFUNCTION("FILTER('설정시트'!$D$7:$K$20,'설정시트'!$C$7:$C$20=I468)"),"#N/A")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IFERROR(__xludf.DUMMYFUNCTION("FILTER('설정시트'!$D$7:$K$20,'설정시트'!$C$7:$C$20=I469)"),"#N/A")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IFERROR(__xludf.DUMMYFUNCTION("FILTER('설정시트'!$D$7:$K$20,'설정시트'!$C$7:$C$20=I470)"),"#N/A")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IFERROR(__xludf.DUMMYFUNCTION("FILTER('설정시트'!$D$7:$K$20,'설정시트'!$C$7:$C$20=I471)"),"#N/A")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IFERROR(__xludf.DUMMYFUNCTION("FILTER('설정시트'!$D$7:$K$20,'설정시트'!$C$7:$C$20=I472)"),"#N/A")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IFERROR(__xludf.DUMMYFUNCTION("FILTER('설정시트'!$D$7:$K$20,'설정시트'!$C$7:$C$20=I473)"),"#N/A")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IFERROR(__xludf.DUMMYFUNCTION("FILTER('설정시트'!$D$7:$K$20,'설정시트'!$C$7:$C$20=I474)"),"#N/A")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IFERROR(__xludf.DUMMYFUNCTION("FILTER('설정시트'!$D$7:$K$20,'설정시트'!$C$7:$C$20=I475)"),"#N/A")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IFERROR(__xludf.DUMMYFUNCTION("FILTER('설정시트'!$D$7:$K$20,'설정시트'!$C$7:$C$20=I476)"),"#N/A")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IFERROR(__xludf.DUMMYFUNCTION("FILTER('설정시트'!$D$7:$K$20,'설정시트'!$C$7:$C$20=I477)"),"#N/A")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IFERROR(__xludf.DUMMYFUNCTION("FILTER('설정시트'!$D$7:$K$20,'설정시트'!$C$7:$C$20=I478)"),"#N/A")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IFERROR(__xludf.DUMMYFUNCTION("FILTER('설정시트'!$D$7:$K$20,'설정시트'!$C$7:$C$20=I479)"),"#N/A")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IFERROR(__xludf.DUMMYFUNCTION("FILTER('설정시트'!$D$7:$K$20,'설정시트'!$C$7:$C$20=I480)"),"#N/A")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IFERROR(__xludf.DUMMYFUNCTION("FILTER('설정시트'!$D$7:$K$20,'설정시트'!$C$7:$C$20=I481)"),"#N/A")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IFERROR(__xludf.DUMMYFUNCTION("FILTER('설정시트'!$D$7:$K$20,'설정시트'!$C$7:$C$20=I482)"),"#N/A")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IFERROR(__xludf.DUMMYFUNCTION("FILTER('설정시트'!$D$7:$K$20,'설정시트'!$C$7:$C$20=I483)"),"#N/A")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IFERROR(__xludf.DUMMYFUNCTION("FILTER('설정시트'!$D$7:$K$20,'설정시트'!$C$7:$C$20=I484)"),"#N/A")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IFERROR(__xludf.DUMMYFUNCTION("FILTER('설정시트'!$D$7:$K$20,'설정시트'!$C$7:$C$20=I485)"),"#N/A")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IFERROR(__xludf.DUMMYFUNCTION("FILTER('설정시트'!$D$7:$K$20,'설정시트'!$C$7:$C$20=I486)"),"#N/A")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IFERROR(__xludf.DUMMYFUNCTION("FILTER('설정시트'!$D$7:$K$20,'설정시트'!$C$7:$C$20=I487)"),"#N/A")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IFERROR(__xludf.DUMMYFUNCTION("FILTER('설정시트'!$D$7:$K$20,'설정시트'!$C$7:$C$20=I488)"),"#N/A")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IFERROR(__xludf.DUMMYFUNCTION("FILTER('설정시트'!$D$7:$K$20,'설정시트'!$C$7:$C$20=I489)"),"#N/A")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IFERROR(__xludf.DUMMYFUNCTION("FILTER('설정시트'!$D$7:$K$20,'설정시트'!$C$7:$C$20=I490)"),"#N/A")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IFERROR(__xludf.DUMMYFUNCTION("FILTER('설정시트'!$D$7:$K$20,'설정시트'!$C$7:$C$20=I491)"),"#N/A")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IFERROR(__xludf.DUMMYFUNCTION("FILTER('설정시트'!$D$7:$K$20,'설정시트'!$C$7:$C$20=I492)"),"#N/A")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IFERROR(__xludf.DUMMYFUNCTION("FILTER('설정시트'!$D$7:$K$20,'설정시트'!$C$7:$C$20=I493)"),"#N/A")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IFERROR(__xludf.DUMMYFUNCTION("FILTER('설정시트'!$D$7:$K$20,'설정시트'!$C$7:$C$20=I494)"),"#N/A")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IFERROR(__xludf.DUMMYFUNCTION("FILTER('설정시트'!$D$7:$K$20,'설정시트'!$C$7:$C$20=I495)"),"#N/A")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IFERROR(__xludf.DUMMYFUNCTION("FILTER('설정시트'!$D$7:$K$20,'설정시트'!$C$7:$C$20=I496)"),"#N/A")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IFERROR(__xludf.DUMMYFUNCTION("FILTER('설정시트'!$D$7:$K$20,'설정시트'!$C$7:$C$20=I497)"),"#N/A")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IFERROR(__xludf.DUMMYFUNCTION("FILTER('설정시트'!$D$7:$K$20,'설정시트'!$C$7:$C$20=I498)"),"#N/A")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IFERROR(__xludf.DUMMYFUNCTION("FILTER('설정시트'!$D$7:$K$20,'설정시트'!$C$7:$C$20=I499)"),"#N/A")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1"/>
      <c r="I500" s="222"/>
      <c r="J500" s="217"/>
      <c r="K500" s="220"/>
      <c r="L500" s="213"/>
      <c r="M500" s="143"/>
      <c r="N500" s="213"/>
      <c r="O500" s="212"/>
      <c r="P500" s="212"/>
      <c r="Q500" s="143"/>
      <c r="R500" s="213"/>
      <c r="S500" s="212"/>
      <c r="T500" s="145"/>
      <c r="AB500" s="214" t="str">
        <f>IFERROR(__xludf.DUMMYFUNCTION("FILTER('설정시트'!$D$7:$K$20,'설정시트'!$C$7:$C$20=I500)"),"#N/A")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  <row r="501">
      <c r="H501" s="223"/>
      <c r="I501" s="224"/>
      <c r="J501" s="225"/>
      <c r="K501" s="226"/>
      <c r="L501" s="227"/>
      <c r="M501" s="165"/>
      <c r="N501" s="227"/>
      <c r="O501" s="228"/>
      <c r="P501" s="228"/>
      <c r="Q501" s="165"/>
      <c r="R501" s="227"/>
      <c r="S501" s="228"/>
      <c r="T501" s="55"/>
      <c r="AB501" s="214" t="str">
        <f>IFERROR(__xludf.DUMMYFUNCTION("FILTER('설정시트'!$D$7:$K$20,'설정시트'!$C$7:$C$20=I501)"),"#N/A")</f>
        <v>#N/A</v>
      </c>
      <c r="AC501" s="214"/>
      <c r="AD501" s="214"/>
      <c r="AE501" s="214"/>
      <c r="AF501" s="214"/>
      <c r="AG501" s="214"/>
      <c r="AH501" s="214"/>
      <c r="AI501" s="214"/>
    </row>
  </sheetData>
  <customSheetViews>
    <customSheetView guid="{48029EEC-043B-4596-BD82-4885B5601D90}" filter="1" showAutoFilter="1">
      <autoFilter ref="$I$61:$L$501"/>
    </customSheetView>
    <customSheetView guid="{1306F103-82DB-4721-A081-DFC677B29403}" filter="1" showAutoFilter="1">
      <autoFilter ref="$H$61:$J$151"/>
    </customSheetView>
  </customSheetViews>
  <mergeCells count="1445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5:Q75"/>
    <mergeCell ref="R75:T75"/>
    <mergeCell ref="L73:M73"/>
    <mergeCell ref="N73:Q73"/>
    <mergeCell ref="R73:T73"/>
    <mergeCell ref="L74:M74"/>
    <mergeCell ref="N74:Q74"/>
    <mergeCell ref="R74:T74"/>
    <mergeCell ref="L75:M75"/>
    <mergeCell ref="N78:Q78"/>
    <mergeCell ref="R78:T78"/>
    <mergeCell ref="L76:M76"/>
    <mergeCell ref="N76:Q76"/>
    <mergeCell ref="R76:T76"/>
    <mergeCell ref="L77:M77"/>
    <mergeCell ref="N77:Q77"/>
    <mergeCell ref="R77:T77"/>
    <mergeCell ref="L78:M78"/>
    <mergeCell ref="N81:Q81"/>
    <mergeCell ref="R81:T81"/>
    <mergeCell ref="L79:M79"/>
    <mergeCell ref="N79:Q79"/>
    <mergeCell ref="R79:T79"/>
    <mergeCell ref="L80:M80"/>
    <mergeCell ref="N80:Q80"/>
    <mergeCell ref="R80:T80"/>
    <mergeCell ref="L81:M81"/>
    <mergeCell ref="N84:Q84"/>
    <mergeCell ref="R84:T84"/>
    <mergeCell ref="L82:M82"/>
    <mergeCell ref="N82:Q82"/>
    <mergeCell ref="R82:T82"/>
    <mergeCell ref="L83:M83"/>
    <mergeCell ref="N83:Q83"/>
    <mergeCell ref="R83:T83"/>
    <mergeCell ref="L84:M84"/>
    <mergeCell ref="N87:Q87"/>
    <mergeCell ref="R87:T87"/>
    <mergeCell ref="L85:M85"/>
    <mergeCell ref="N85:Q85"/>
    <mergeCell ref="R85:T85"/>
    <mergeCell ref="L86:M86"/>
    <mergeCell ref="N86:Q86"/>
    <mergeCell ref="R86:T86"/>
    <mergeCell ref="L87:M87"/>
    <mergeCell ref="N90:Q90"/>
    <mergeCell ref="R90:T90"/>
    <mergeCell ref="L88:M88"/>
    <mergeCell ref="N88:Q88"/>
    <mergeCell ref="R88:T88"/>
    <mergeCell ref="L89:M89"/>
    <mergeCell ref="N89:Q89"/>
    <mergeCell ref="R89:T89"/>
    <mergeCell ref="L90:M90"/>
    <mergeCell ref="N93:Q93"/>
    <mergeCell ref="R93:T93"/>
    <mergeCell ref="L91:M91"/>
    <mergeCell ref="N91:Q91"/>
    <mergeCell ref="R91:T91"/>
    <mergeCell ref="L92:M92"/>
    <mergeCell ref="N92:Q92"/>
    <mergeCell ref="R92:T92"/>
    <mergeCell ref="L93:M93"/>
    <mergeCell ref="N96:Q96"/>
    <mergeCell ref="R96:T96"/>
    <mergeCell ref="L94:M94"/>
    <mergeCell ref="N94:Q94"/>
    <mergeCell ref="R94:T94"/>
    <mergeCell ref="L95:M95"/>
    <mergeCell ref="N95:Q95"/>
    <mergeCell ref="R95:T95"/>
    <mergeCell ref="L96:M96"/>
    <mergeCell ref="N99:Q99"/>
    <mergeCell ref="R99:T99"/>
    <mergeCell ref="L97:M97"/>
    <mergeCell ref="N97:Q97"/>
    <mergeCell ref="R97:T97"/>
    <mergeCell ref="L98:M98"/>
    <mergeCell ref="N98:Q98"/>
    <mergeCell ref="R98:T98"/>
    <mergeCell ref="L99:M99"/>
    <mergeCell ref="N102:Q102"/>
    <mergeCell ref="R102:T102"/>
    <mergeCell ref="L100:M100"/>
    <mergeCell ref="N100:Q100"/>
    <mergeCell ref="R100:T100"/>
    <mergeCell ref="L101:M101"/>
    <mergeCell ref="N101:Q101"/>
    <mergeCell ref="R101:T101"/>
    <mergeCell ref="L102:M102"/>
    <mergeCell ref="N105:Q105"/>
    <mergeCell ref="R105:T105"/>
    <mergeCell ref="L103:M103"/>
    <mergeCell ref="N103:Q103"/>
    <mergeCell ref="R103:T103"/>
    <mergeCell ref="L104:M104"/>
    <mergeCell ref="N104:Q104"/>
    <mergeCell ref="R104:T104"/>
    <mergeCell ref="L105:M105"/>
    <mergeCell ref="N108:Q108"/>
    <mergeCell ref="R108:T108"/>
    <mergeCell ref="L106:M106"/>
    <mergeCell ref="N106:Q106"/>
    <mergeCell ref="R106:T106"/>
    <mergeCell ref="L107:M107"/>
    <mergeCell ref="N107:Q107"/>
    <mergeCell ref="R107:T107"/>
    <mergeCell ref="L108:M108"/>
    <mergeCell ref="N111:Q111"/>
    <mergeCell ref="R111:T111"/>
    <mergeCell ref="L109:M109"/>
    <mergeCell ref="N109:Q109"/>
    <mergeCell ref="R109:T109"/>
    <mergeCell ref="L110:M110"/>
    <mergeCell ref="N110:Q110"/>
    <mergeCell ref="R110:T110"/>
    <mergeCell ref="L111:M111"/>
    <mergeCell ref="N114:Q114"/>
    <mergeCell ref="R114:T114"/>
    <mergeCell ref="L112:M112"/>
    <mergeCell ref="N112:Q112"/>
    <mergeCell ref="R112:T112"/>
    <mergeCell ref="L113:M113"/>
    <mergeCell ref="N113:Q113"/>
    <mergeCell ref="R113:T113"/>
    <mergeCell ref="L114:M114"/>
    <mergeCell ref="N117:Q117"/>
    <mergeCell ref="R117:T117"/>
    <mergeCell ref="L115:M115"/>
    <mergeCell ref="N115:Q115"/>
    <mergeCell ref="R115:T115"/>
    <mergeCell ref="L116:M116"/>
    <mergeCell ref="N116:Q116"/>
    <mergeCell ref="R116:T116"/>
    <mergeCell ref="L117:M117"/>
    <mergeCell ref="N120:Q120"/>
    <mergeCell ref="R120:T120"/>
    <mergeCell ref="L118:M118"/>
    <mergeCell ref="N118:Q118"/>
    <mergeCell ref="R118:T118"/>
    <mergeCell ref="L119:M119"/>
    <mergeCell ref="N119:Q119"/>
    <mergeCell ref="R119:T119"/>
    <mergeCell ref="L120:M120"/>
    <mergeCell ref="N123:Q123"/>
    <mergeCell ref="R123:T123"/>
    <mergeCell ref="L121:M121"/>
    <mergeCell ref="N121:Q121"/>
    <mergeCell ref="R121:T121"/>
    <mergeCell ref="L122:M122"/>
    <mergeCell ref="N122:Q122"/>
    <mergeCell ref="R122:T122"/>
    <mergeCell ref="L123:M123"/>
    <mergeCell ref="N126:Q126"/>
    <mergeCell ref="R126:T126"/>
    <mergeCell ref="L124:M124"/>
    <mergeCell ref="N124:Q124"/>
    <mergeCell ref="R124:T124"/>
    <mergeCell ref="L125:M125"/>
    <mergeCell ref="N125:Q125"/>
    <mergeCell ref="R125:T125"/>
    <mergeCell ref="L126:M126"/>
    <mergeCell ref="N129:Q129"/>
    <mergeCell ref="R129:T129"/>
    <mergeCell ref="L127:M127"/>
    <mergeCell ref="N127:Q127"/>
    <mergeCell ref="R127:T127"/>
    <mergeCell ref="L128:M128"/>
    <mergeCell ref="N128:Q128"/>
    <mergeCell ref="R128:T128"/>
    <mergeCell ref="L129:M129"/>
    <mergeCell ref="N132:Q132"/>
    <mergeCell ref="R132:T132"/>
    <mergeCell ref="L130:M130"/>
    <mergeCell ref="N130:Q130"/>
    <mergeCell ref="R130:T130"/>
    <mergeCell ref="L131:M131"/>
    <mergeCell ref="N131:Q131"/>
    <mergeCell ref="R131:T131"/>
    <mergeCell ref="L132:M132"/>
    <mergeCell ref="N135:Q135"/>
    <mergeCell ref="R135:T135"/>
    <mergeCell ref="L133:M133"/>
    <mergeCell ref="N133:Q133"/>
    <mergeCell ref="R133:T133"/>
    <mergeCell ref="L134:M134"/>
    <mergeCell ref="N134:Q134"/>
    <mergeCell ref="R134:T134"/>
    <mergeCell ref="L135:M135"/>
    <mergeCell ref="N138:Q138"/>
    <mergeCell ref="R138:T138"/>
    <mergeCell ref="L136:M136"/>
    <mergeCell ref="N136:Q136"/>
    <mergeCell ref="R136:T136"/>
    <mergeCell ref="L137:M137"/>
    <mergeCell ref="N137:Q137"/>
    <mergeCell ref="R137:T137"/>
    <mergeCell ref="L138:M138"/>
    <mergeCell ref="N141:Q141"/>
    <mergeCell ref="R141:T141"/>
    <mergeCell ref="L139:M139"/>
    <mergeCell ref="N139:Q139"/>
    <mergeCell ref="R139:T139"/>
    <mergeCell ref="L140:M140"/>
    <mergeCell ref="N140:Q140"/>
    <mergeCell ref="R140:T140"/>
    <mergeCell ref="L141:M141"/>
    <mergeCell ref="N144:Q144"/>
    <mergeCell ref="R144:T144"/>
    <mergeCell ref="L142:M142"/>
    <mergeCell ref="N142:Q142"/>
    <mergeCell ref="R142:T142"/>
    <mergeCell ref="L143:M143"/>
    <mergeCell ref="N143:Q143"/>
    <mergeCell ref="R143:T143"/>
    <mergeCell ref="L144:M144"/>
    <mergeCell ref="N147:Q147"/>
    <mergeCell ref="R147:T147"/>
    <mergeCell ref="L145:M145"/>
    <mergeCell ref="N145:Q145"/>
    <mergeCell ref="R145:T145"/>
    <mergeCell ref="L146:M146"/>
    <mergeCell ref="N146:Q146"/>
    <mergeCell ref="R146:T146"/>
    <mergeCell ref="L147:M147"/>
    <mergeCell ref="N150:Q150"/>
    <mergeCell ref="R150:T150"/>
    <mergeCell ref="L148:M148"/>
    <mergeCell ref="N148:Q148"/>
    <mergeCell ref="R148:T148"/>
    <mergeCell ref="L149:M149"/>
    <mergeCell ref="N149:Q149"/>
    <mergeCell ref="R149:T149"/>
    <mergeCell ref="L150:M150"/>
    <mergeCell ref="N153:Q153"/>
    <mergeCell ref="R153:T153"/>
    <mergeCell ref="L151:M151"/>
    <mergeCell ref="N151:Q151"/>
    <mergeCell ref="R151:T151"/>
    <mergeCell ref="L152:M152"/>
    <mergeCell ref="N152:Q152"/>
    <mergeCell ref="R152:T152"/>
    <mergeCell ref="L153:M153"/>
    <mergeCell ref="N156:Q156"/>
    <mergeCell ref="R156:T156"/>
    <mergeCell ref="L154:M154"/>
    <mergeCell ref="N154:Q154"/>
    <mergeCell ref="R154:T154"/>
    <mergeCell ref="L155:M155"/>
    <mergeCell ref="N155:Q155"/>
    <mergeCell ref="R155:T155"/>
    <mergeCell ref="L156:M156"/>
    <mergeCell ref="N159:Q159"/>
    <mergeCell ref="R159:T159"/>
    <mergeCell ref="L157:M157"/>
    <mergeCell ref="N157:Q157"/>
    <mergeCell ref="R157:T157"/>
    <mergeCell ref="L158:M158"/>
    <mergeCell ref="N158:Q158"/>
    <mergeCell ref="R158:T158"/>
    <mergeCell ref="L159:M159"/>
    <mergeCell ref="N162:Q162"/>
    <mergeCell ref="R162:T162"/>
    <mergeCell ref="L160:M160"/>
    <mergeCell ref="N160:Q160"/>
    <mergeCell ref="R160:T160"/>
    <mergeCell ref="L161:M161"/>
    <mergeCell ref="N161:Q161"/>
    <mergeCell ref="R161:T161"/>
    <mergeCell ref="L162:M162"/>
    <mergeCell ref="N165:Q165"/>
    <mergeCell ref="R165:T165"/>
    <mergeCell ref="L163:M163"/>
    <mergeCell ref="N163:Q163"/>
    <mergeCell ref="R163:T163"/>
    <mergeCell ref="L164:M164"/>
    <mergeCell ref="N164:Q164"/>
    <mergeCell ref="R164:T164"/>
    <mergeCell ref="L165:M165"/>
    <mergeCell ref="N168:Q168"/>
    <mergeCell ref="R168:T168"/>
    <mergeCell ref="L166:M166"/>
    <mergeCell ref="N166:Q166"/>
    <mergeCell ref="R166:T166"/>
    <mergeCell ref="L167:M167"/>
    <mergeCell ref="N167:Q167"/>
    <mergeCell ref="R167:T167"/>
    <mergeCell ref="L168:M168"/>
    <mergeCell ref="N171:Q171"/>
    <mergeCell ref="R171:T171"/>
    <mergeCell ref="L169:M169"/>
    <mergeCell ref="N169:Q169"/>
    <mergeCell ref="R169:T169"/>
    <mergeCell ref="L170:M170"/>
    <mergeCell ref="N170:Q170"/>
    <mergeCell ref="R170:T170"/>
    <mergeCell ref="L171:M171"/>
    <mergeCell ref="N174:Q174"/>
    <mergeCell ref="R174:T174"/>
    <mergeCell ref="L172:M172"/>
    <mergeCell ref="N172:Q172"/>
    <mergeCell ref="R172:T172"/>
    <mergeCell ref="L173:M173"/>
    <mergeCell ref="N173:Q173"/>
    <mergeCell ref="R173:T173"/>
    <mergeCell ref="L174:M174"/>
    <mergeCell ref="N177:Q177"/>
    <mergeCell ref="R177:T177"/>
    <mergeCell ref="L175:M175"/>
    <mergeCell ref="N175:Q175"/>
    <mergeCell ref="R175:T175"/>
    <mergeCell ref="L176:M176"/>
    <mergeCell ref="N176:Q176"/>
    <mergeCell ref="R176:T176"/>
    <mergeCell ref="L177:M177"/>
    <mergeCell ref="N180:Q180"/>
    <mergeCell ref="R180:T180"/>
    <mergeCell ref="L178:M178"/>
    <mergeCell ref="N178:Q178"/>
    <mergeCell ref="R178:T178"/>
    <mergeCell ref="L179:M179"/>
    <mergeCell ref="N179:Q179"/>
    <mergeCell ref="R179:T179"/>
    <mergeCell ref="L180:M180"/>
    <mergeCell ref="N183:Q183"/>
    <mergeCell ref="R183:T183"/>
    <mergeCell ref="L181:M181"/>
    <mergeCell ref="N181:Q181"/>
    <mergeCell ref="R181:T181"/>
    <mergeCell ref="L182:M182"/>
    <mergeCell ref="N182:Q182"/>
    <mergeCell ref="R182:T182"/>
    <mergeCell ref="L183:M183"/>
    <mergeCell ref="N186:Q186"/>
    <mergeCell ref="R186:T186"/>
    <mergeCell ref="L184:M184"/>
    <mergeCell ref="N184:Q184"/>
    <mergeCell ref="R184:T184"/>
    <mergeCell ref="L185:M185"/>
    <mergeCell ref="N185:Q185"/>
    <mergeCell ref="R185:T185"/>
    <mergeCell ref="L186:M186"/>
    <mergeCell ref="N189:Q189"/>
    <mergeCell ref="R189:T189"/>
    <mergeCell ref="L187:M187"/>
    <mergeCell ref="N187:Q187"/>
    <mergeCell ref="R187:T187"/>
    <mergeCell ref="L188:M188"/>
    <mergeCell ref="N188:Q188"/>
    <mergeCell ref="R188:T188"/>
    <mergeCell ref="L189:M189"/>
    <mergeCell ref="N192:Q192"/>
    <mergeCell ref="R192:T192"/>
    <mergeCell ref="L190:M190"/>
    <mergeCell ref="N190:Q190"/>
    <mergeCell ref="R190:T190"/>
    <mergeCell ref="L191:M191"/>
    <mergeCell ref="N191:Q191"/>
    <mergeCell ref="R191:T191"/>
    <mergeCell ref="L192:M192"/>
    <mergeCell ref="N195:Q195"/>
    <mergeCell ref="R195:T195"/>
    <mergeCell ref="L193:M193"/>
    <mergeCell ref="N193:Q193"/>
    <mergeCell ref="R193:T193"/>
    <mergeCell ref="L194:M194"/>
    <mergeCell ref="N194:Q194"/>
    <mergeCell ref="R194:T194"/>
    <mergeCell ref="L195:M195"/>
    <mergeCell ref="N198:Q198"/>
    <mergeCell ref="R198:T198"/>
    <mergeCell ref="L196:M196"/>
    <mergeCell ref="N196:Q196"/>
    <mergeCell ref="R196:T196"/>
    <mergeCell ref="L197:M197"/>
    <mergeCell ref="N197:Q197"/>
    <mergeCell ref="R197:T197"/>
    <mergeCell ref="L198:M198"/>
    <mergeCell ref="N201:Q201"/>
    <mergeCell ref="R201:T201"/>
    <mergeCell ref="L199:M199"/>
    <mergeCell ref="N199:Q199"/>
    <mergeCell ref="R199:T199"/>
    <mergeCell ref="L200:M200"/>
    <mergeCell ref="N200:Q200"/>
    <mergeCell ref="R200:T200"/>
    <mergeCell ref="L201:M201"/>
    <mergeCell ref="N204:Q204"/>
    <mergeCell ref="R204:T204"/>
    <mergeCell ref="L202:M202"/>
    <mergeCell ref="N202:Q202"/>
    <mergeCell ref="R202:T202"/>
    <mergeCell ref="L203:M203"/>
    <mergeCell ref="N203:Q203"/>
    <mergeCell ref="R203:T203"/>
    <mergeCell ref="L204:M204"/>
    <mergeCell ref="N207:Q207"/>
    <mergeCell ref="R207:T207"/>
    <mergeCell ref="L205:M205"/>
    <mergeCell ref="N205:Q205"/>
    <mergeCell ref="R205:T205"/>
    <mergeCell ref="L206:M206"/>
    <mergeCell ref="N206:Q206"/>
    <mergeCell ref="R206:T206"/>
    <mergeCell ref="L207:M207"/>
    <mergeCell ref="N357:Q357"/>
    <mergeCell ref="R357:T357"/>
    <mergeCell ref="L355:M355"/>
    <mergeCell ref="N355:Q355"/>
    <mergeCell ref="R355:T355"/>
    <mergeCell ref="L356:M356"/>
    <mergeCell ref="N356:Q356"/>
    <mergeCell ref="R356:T356"/>
    <mergeCell ref="L357:M357"/>
    <mergeCell ref="N360:Q360"/>
    <mergeCell ref="R360:T360"/>
    <mergeCell ref="L358:M358"/>
    <mergeCell ref="N358:Q358"/>
    <mergeCell ref="R358:T358"/>
    <mergeCell ref="L359:M359"/>
    <mergeCell ref="N359:Q359"/>
    <mergeCell ref="R359:T359"/>
    <mergeCell ref="L360:M360"/>
    <mergeCell ref="N363:Q363"/>
    <mergeCell ref="R363:T363"/>
    <mergeCell ref="L361:M361"/>
    <mergeCell ref="N361:Q361"/>
    <mergeCell ref="R361:T361"/>
    <mergeCell ref="L362:M362"/>
    <mergeCell ref="N362:Q362"/>
    <mergeCell ref="R362:T362"/>
    <mergeCell ref="L363:M363"/>
    <mergeCell ref="N366:Q366"/>
    <mergeCell ref="R366:T366"/>
    <mergeCell ref="L364:M364"/>
    <mergeCell ref="N364:Q364"/>
    <mergeCell ref="R364:T364"/>
    <mergeCell ref="L365:M365"/>
    <mergeCell ref="N365:Q365"/>
    <mergeCell ref="R365:T365"/>
    <mergeCell ref="L366:M366"/>
    <mergeCell ref="N369:Q369"/>
    <mergeCell ref="R369:T369"/>
    <mergeCell ref="L367:M367"/>
    <mergeCell ref="N367:Q367"/>
    <mergeCell ref="R367:T367"/>
    <mergeCell ref="L368:M368"/>
    <mergeCell ref="N368:Q368"/>
    <mergeCell ref="R368:T368"/>
    <mergeCell ref="L369:M369"/>
    <mergeCell ref="N372:Q372"/>
    <mergeCell ref="R372:T372"/>
    <mergeCell ref="L370:M370"/>
    <mergeCell ref="N370:Q370"/>
    <mergeCell ref="R370:T370"/>
    <mergeCell ref="L371:M371"/>
    <mergeCell ref="N371:Q371"/>
    <mergeCell ref="R371:T371"/>
    <mergeCell ref="L372:M372"/>
    <mergeCell ref="N375:Q375"/>
    <mergeCell ref="R375:T375"/>
    <mergeCell ref="L373:M373"/>
    <mergeCell ref="N373:Q373"/>
    <mergeCell ref="R373:T373"/>
    <mergeCell ref="L374:M374"/>
    <mergeCell ref="N374:Q374"/>
    <mergeCell ref="R374:T374"/>
    <mergeCell ref="L375:M375"/>
    <mergeCell ref="N378:Q378"/>
    <mergeCell ref="R378:T378"/>
    <mergeCell ref="L376:M376"/>
    <mergeCell ref="N376:Q376"/>
    <mergeCell ref="R376:T376"/>
    <mergeCell ref="L377:M377"/>
    <mergeCell ref="N377:Q377"/>
    <mergeCell ref="R377:T377"/>
    <mergeCell ref="L378:M378"/>
    <mergeCell ref="N381:Q381"/>
    <mergeCell ref="R381:T381"/>
    <mergeCell ref="L379:M379"/>
    <mergeCell ref="N379:Q379"/>
    <mergeCell ref="R379:T379"/>
    <mergeCell ref="L380:M380"/>
    <mergeCell ref="N380:Q380"/>
    <mergeCell ref="R380:T380"/>
    <mergeCell ref="L381:M381"/>
    <mergeCell ref="N384:Q384"/>
    <mergeCell ref="R384:T384"/>
    <mergeCell ref="L382:M382"/>
    <mergeCell ref="N382:Q382"/>
    <mergeCell ref="R382:T382"/>
    <mergeCell ref="L383:M383"/>
    <mergeCell ref="N383:Q383"/>
    <mergeCell ref="R383:T383"/>
    <mergeCell ref="L384:M384"/>
    <mergeCell ref="N387:Q387"/>
    <mergeCell ref="R387:T387"/>
    <mergeCell ref="L385:M385"/>
    <mergeCell ref="N385:Q385"/>
    <mergeCell ref="R385:T385"/>
    <mergeCell ref="L386:M386"/>
    <mergeCell ref="N386:Q386"/>
    <mergeCell ref="R386:T386"/>
    <mergeCell ref="L387:M387"/>
    <mergeCell ref="N390:Q390"/>
    <mergeCell ref="R390:T390"/>
    <mergeCell ref="L388:M388"/>
    <mergeCell ref="N388:Q388"/>
    <mergeCell ref="R388:T388"/>
    <mergeCell ref="L389:M389"/>
    <mergeCell ref="N389:Q389"/>
    <mergeCell ref="R389:T389"/>
    <mergeCell ref="L390:M390"/>
    <mergeCell ref="N393:Q393"/>
    <mergeCell ref="R393:T393"/>
    <mergeCell ref="L391:M391"/>
    <mergeCell ref="N391:Q391"/>
    <mergeCell ref="R391:T391"/>
    <mergeCell ref="L392:M392"/>
    <mergeCell ref="N392:Q392"/>
    <mergeCell ref="R392:T392"/>
    <mergeCell ref="L393:M393"/>
    <mergeCell ref="N396:Q396"/>
    <mergeCell ref="R396:T396"/>
    <mergeCell ref="L394:M394"/>
    <mergeCell ref="N394:Q394"/>
    <mergeCell ref="R394:T394"/>
    <mergeCell ref="L395:M395"/>
    <mergeCell ref="N395:Q395"/>
    <mergeCell ref="R395:T395"/>
    <mergeCell ref="L396:M396"/>
    <mergeCell ref="N399:Q399"/>
    <mergeCell ref="R399:T399"/>
    <mergeCell ref="L397:M397"/>
    <mergeCell ref="N397:Q397"/>
    <mergeCell ref="R397:T397"/>
    <mergeCell ref="L398:M398"/>
    <mergeCell ref="N398:Q398"/>
    <mergeCell ref="R398:T398"/>
    <mergeCell ref="L399:M399"/>
    <mergeCell ref="N402:Q402"/>
    <mergeCell ref="R402:T402"/>
    <mergeCell ref="L400:M400"/>
    <mergeCell ref="N400:Q400"/>
    <mergeCell ref="R400:T400"/>
    <mergeCell ref="L401:M401"/>
    <mergeCell ref="N401:Q401"/>
    <mergeCell ref="R401:T401"/>
    <mergeCell ref="L402:M402"/>
    <mergeCell ref="N405:Q405"/>
    <mergeCell ref="R405:T405"/>
    <mergeCell ref="L403:M403"/>
    <mergeCell ref="N403:Q403"/>
    <mergeCell ref="R403:T403"/>
    <mergeCell ref="L404:M404"/>
    <mergeCell ref="N404:Q404"/>
    <mergeCell ref="R404:T404"/>
    <mergeCell ref="L405:M405"/>
    <mergeCell ref="N408:Q408"/>
    <mergeCell ref="R408:T408"/>
    <mergeCell ref="L406:M406"/>
    <mergeCell ref="N406:Q406"/>
    <mergeCell ref="R406:T406"/>
    <mergeCell ref="L407:M407"/>
    <mergeCell ref="N407:Q407"/>
    <mergeCell ref="R407:T407"/>
    <mergeCell ref="L408:M408"/>
    <mergeCell ref="N411:Q411"/>
    <mergeCell ref="R411:T411"/>
    <mergeCell ref="L409:M409"/>
    <mergeCell ref="N409:Q409"/>
    <mergeCell ref="R409:T409"/>
    <mergeCell ref="L410:M410"/>
    <mergeCell ref="N410:Q410"/>
    <mergeCell ref="R410:T410"/>
    <mergeCell ref="L411:M411"/>
    <mergeCell ref="N414:Q414"/>
    <mergeCell ref="R414:T414"/>
    <mergeCell ref="L412:M412"/>
    <mergeCell ref="N412:Q412"/>
    <mergeCell ref="R412:T412"/>
    <mergeCell ref="L413:M413"/>
    <mergeCell ref="N413:Q413"/>
    <mergeCell ref="R413:T413"/>
    <mergeCell ref="L414:M414"/>
    <mergeCell ref="N417:Q417"/>
    <mergeCell ref="R417:T417"/>
    <mergeCell ref="L415:M415"/>
    <mergeCell ref="N415:Q415"/>
    <mergeCell ref="R415:T415"/>
    <mergeCell ref="L416:M416"/>
    <mergeCell ref="N416:Q416"/>
    <mergeCell ref="R416:T416"/>
    <mergeCell ref="L417:M417"/>
    <mergeCell ref="N420:Q420"/>
    <mergeCell ref="R420:T420"/>
    <mergeCell ref="L418:M418"/>
    <mergeCell ref="N418:Q418"/>
    <mergeCell ref="R418:T418"/>
    <mergeCell ref="L419:M419"/>
    <mergeCell ref="N419:Q419"/>
    <mergeCell ref="R419:T419"/>
    <mergeCell ref="L420:M420"/>
    <mergeCell ref="N423:Q423"/>
    <mergeCell ref="R423:T423"/>
    <mergeCell ref="L421:M421"/>
    <mergeCell ref="N421:Q421"/>
    <mergeCell ref="R421:T421"/>
    <mergeCell ref="L422:M422"/>
    <mergeCell ref="N422:Q422"/>
    <mergeCell ref="R422:T422"/>
    <mergeCell ref="L423:M423"/>
    <mergeCell ref="N426:Q426"/>
    <mergeCell ref="R426:T426"/>
    <mergeCell ref="L424:M424"/>
    <mergeCell ref="N424:Q424"/>
    <mergeCell ref="R424:T424"/>
    <mergeCell ref="L425:M425"/>
    <mergeCell ref="N425:Q425"/>
    <mergeCell ref="R425:T425"/>
    <mergeCell ref="L426:M426"/>
    <mergeCell ref="N429:Q429"/>
    <mergeCell ref="R429:T429"/>
    <mergeCell ref="L427:M427"/>
    <mergeCell ref="N427:Q427"/>
    <mergeCell ref="R427:T427"/>
    <mergeCell ref="L428:M428"/>
    <mergeCell ref="N428:Q428"/>
    <mergeCell ref="R428:T428"/>
    <mergeCell ref="L429:M429"/>
    <mergeCell ref="N432:Q432"/>
    <mergeCell ref="R432:T432"/>
    <mergeCell ref="L430:M430"/>
    <mergeCell ref="N430:Q430"/>
    <mergeCell ref="R430:T430"/>
    <mergeCell ref="L431:M431"/>
    <mergeCell ref="N431:Q431"/>
    <mergeCell ref="R431:T431"/>
    <mergeCell ref="L432:M432"/>
    <mergeCell ref="N435:Q435"/>
    <mergeCell ref="R435:T435"/>
    <mergeCell ref="L433:M433"/>
    <mergeCell ref="N433:Q433"/>
    <mergeCell ref="R433:T433"/>
    <mergeCell ref="L434:M434"/>
    <mergeCell ref="N434:Q434"/>
    <mergeCell ref="R434:T434"/>
    <mergeCell ref="L435:M435"/>
    <mergeCell ref="N438:Q438"/>
    <mergeCell ref="R438:T438"/>
    <mergeCell ref="L436:M436"/>
    <mergeCell ref="N436:Q436"/>
    <mergeCell ref="R436:T436"/>
    <mergeCell ref="L437:M437"/>
    <mergeCell ref="N437:Q437"/>
    <mergeCell ref="R437:T437"/>
    <mergeCell ref="L438:M438"/>
    <mergeCell ref="N441:Q441"/>
    <mergeCell ref="R441:T441"/>
    <mergeCell ref="L439:M439"/>
    <mergeCell ref="N439:Q439"/>
    <mergeCell ref="R439:T439"/>
    <mergeCell ref="L440:M440"/>
    <mergeCell ref="N440:Q440"/>
    <mergeCell ref="R440:T440"/>
    <mergeCell ref="L441:M441"/>
    <mergeCell ref="N444:Q444"/>
    <mergeCell ref="R444:T444"/>
    <mergeCell ref="L442:M442"/>
    <mergeCell ref="N442:Q442"/>
    <mergeCell ref="R442:T442"/>
    <mergeCell ref="L443:M443"/>
    <mergeCell ref="N443:Q443"/>
    <mergeCell ref="R443:T443"/>
    <mergeCell ref="L444:M444"/>
    <mergeCell ref="N447:Q447"/>
    <mergeCell ref="R447:T447"/>
    <mergeCell ref="L445:M445"/>
    <mergeCell ref="N445:Q445"/>
    <mergeCell ref="R445:T445"/>
    <mergeCell ref="L446:M446"/>
    <mergeCell ref="N446:Q446"/>
    <mergeCell ref="R446:T446"/>
    <mergeCell ref="L447:M447"/>
    <mergeCell ref="N450:Q450"/>
    <mergeCell ref="R450:T450"/>
    <mergeCell ref="L448:M448"/>
    <mergeCell ref="N448:Q448"/>
    <mergeCell ref="R448:T448"/>
    <mergeCell ref="L449:M449"/>
    <mergeCell ref="N449:Q449"/>
    <mergeCell ref="R449:T449"/>
    <mergeCell ref="L450:M450"/>
    <mergeCell ref="N453:Q453"/>
    <mergeCell ref="R453:T453"/>
    <mergeCell ref="L451:M451"/>
    <mergeCell ref="N451:Q451"/>
    <mergeCell ref="R451:T451"/>
    <mergeCell ref="L452:M452"/>
    <mergeCell ref="N452:Q452"/>
    <mergeCell ref="R452:T452"/>
    <mergeCell ref="L453:M453"/>
    <mergeCell ref="N456:Q456"/>
    <mergeCell ref="R456:T456"/>
    <mergeCell ref="L454:M454"/>
    <mergeCell ref="N454:Q454"/>
    <mergeCell ref="R454:T454"/>
    <mergeCell ref="L455:M455"/>
    <mergeCell ref="N455:Q455"/>
    <mergeCell ref="R455:T455"/>
    <mergeCell ref="L456:M456"/>
    <mergeCell ref="N459:Q459"/>
    <mergeCell ref="R459:T459"/>
    <mergeCell ref="L457:M457"/>
    <mergeCell ref="N457:Q457"/>
    <mergeCell ref="R457:T457"/>
    <mergeCell ref="L458:M458"/>
    <mergeCell ref="N458:Q458"/>
    <mergeCell ref="R458:T458"/>
    <mergeCell ref="L459:M459"/>
    <mergeCell ref="L68:M68"/>
    <mergeCell ref="N68:Q68"/>
    <mergeCell ref="R68:T68"/>
    <mergeCell ref="N69:Q69"/>
    <mergeCell ref="R69:T69"/>
    <mergeCell ref="N70:Q70"/>
    <mergeCell ref="R70:T70"/>
    <mergeCell ref="L70:M70"/>
    <mergeCell ref="L71:M71"/>
    <mergeCell ref="N71:Q71"/>
    <mergeCell ref="R71:T71"/>
    <mergeCell ref="L72:M72"/>
    <mergeCell ref="N72:Q72"/>
    <mergeCell ref="R72:T72"/>
    <mergeCell ref="N483:Q483"/>
    <mergeCell ref="R483:T483"/>
    <mergeCell ref="L481:M481"/>
    <mergeCell ref="N481:Q481"/>
    <mergeCell ref="R481:T481"/>
    <mergeCell ref="L482:M482"/>
    <mergeCell ref="N482:Q482"/>
    <mergeCell ref="R482:T482"/>
    <mergeCell ref="L483:M483"/>
    <mergeCell ref="N486:Q486"/>
    <mergeCell ref="R486:T486"/>
    <mergeCell ref="L484:M484"/>
    <mergeCell ref="N484:Q484"/>
    <mergeCell ref="R484:T484"/>
    <mergeCell ref="L485:M485"/>
    <mergeCell ref="N485:Q485"/>
    <mergeCell ref="R485:T485"/>
    <mergeCell ref="L486:M486"/>
    <mergeCell ref="N489:Q489"/>
    <mergeCell ref="R489:T489"/>
    <mergeCell ref="L487:M487"/>
    <mergeCell ref="N487:Q487"/>
    <mergeCell ref="R487:T487"/>
    <mergeCell ref="L488:M488"/>
    <mergeCell ref="N488:Q488"/>
    <mergeCell ref="R488:T488"/>
    <mergeCell ref="L489:M489"/>
    <mergeCell ref="N492:Q492"/>
    <mergeCell ref="R492:T492"/>
    <mergeCell ref="L490:M490"/>
    <mergeCell ref="N490:Q490"/>
    <mergeCell ref="R490:T490"/>
    <mergeCell ref="L491:M491"/>
    <mergeCell ref="N491:Q491"/>
    <mergeCell ref="R491:T491"/>
    <mergeCell ref="L492:M492"/>
    <mergeCell ref="N495:Q495"/>
    <mergeCell ref="R495:T495"/>
    <mergeCell ref="L493:M493"/>
    <mergeCell ref="N493:Q493"/>
    <mergeCell ref="R493:T493"/>
    <mergeCell ref="L494:M494"/>
    <mergeCell ref="N494:Q494"/>
    <mergeCell ref="R494:T494"/>
    <mergeCell ref="L495:M495"/>
    <mergeCell ref="N498:Q498"/>
    <mergeCell ref="R498:T498"/>
    <mergeCell ref="L496:M496"/>
    <mergeCell ref="N496:Q496"/>
    <mergeCell ref="R496:T496"/>
    <mergeCell ref="L497:M497"/>
    <mergeCell ref="N497:Q497"/>
    <mergeCell ref="R497:T497"/>
    <mergeCell ref="L498:M498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N501:Q501"/>
    <mergeCell ref="R501:T501"/>
    <mergeCell ref="L499:M499"/>
    <mergeCell ref="N499:Q499"/>
    <mergeCell ref="R499:T499"/>
    <mergeCell ref="L500:M500"/>
    <mergeCell ref="N500:Q500"/>
    <mergeCell ref="R500:T500"/>
    <mergeCell ref="L501:M501"/>
    <mergeCell ref="N462:Q462"/>
    <mergeCell ref="R462:T462"/>
    <mergeCell ref="L460:M460"/>
    <mergeCell ref="N460:Q460"/>
    <mergeCell ref="R460:T460"/>
    <mergeCell ref="L461:M461"/>
    <mergeCell ref="N461:Q461"/>
    <mergeCell ref="R461:T461"/>
    <mergeCell ref="L462:M462"/>
    <mergeCell ref="N465:Q465"/>
    <mergeCell ref="R465:T465"/>
    <mergeCell ref="L463:M463"/>
    <mergeCell ref="N463:Q463"/>
    <mergeCell ref="R463:T463"/>
    <mergeCell ref="L464:M464"/>
    <mergeCell ref="N464:Q464"/>
    <mergeCell ref="R464:T464"/>
    <mergeCell ref="L465:M465"/>
    <mergeCell ref="N468:Q468"/>
    <mergeCell ref="R468:T468"/>
    <mergeCell ref="L466:M466"/>
    <mergeCell ref="N466:Q466"/>
    <mergeCell ref="R466:T466"/>
    <mergeCell ref="L467:M467"/>
    <mergeCell ref="N467:Q467"/>
    <mergeCell ref="R467:T467"/>
    <mergeCell ref="L468:M468"/>
    <mergeCell ref="N471:Q471"/>
    <mergeCell ref="R471:T471"/>
    <mergeCell ref="L469:M469"/>
    <mergeCell ref="N469:Q469"/>
    <mergeCell ref="R469:T469"/>
    <mergeCell ref="L470:M470"/>
    <mergeCell ref="N470:Q470"/>
    <mergeCell ref="R470:T470"/>
    <mergeCell ref="L471:M471"/>
    <mergeCell ref="N474:Q474"/>
    <mergeCell ref="R474:T474"/>
    <mergeCell ref="L472:M472"/>
    <mergeCell ref="N472:Q472"/>
    <mergeCell ref="R472:T472"/>
    <mergeCell ref="L473:M473"/>
    <mergeCell ref="N473:Q473"/>
    <mergeCell ref="R473:T473"/>
    <mergeCell ref="L474:M474"/>
    <mergeCell ref="N477:Q477"/>
    <mergeCell ref="R477:T477"/>
    <mergeCell ref="L475:M475"/>
    <mergeCell ref="N475:Q475"/>
    <mergeCell ref="R475:T475"/>
    <mergeCell ref="L476:M476"/>
    <mergeCell ref="N476:Q476"/>
    <mergeCell ref="R476:T476"/>
    <mergeCell ref="L477:M477"/>
    <mergeCell ref="N480:Q480"/>
    <mergeCell ref="R480:T480"/>
    <mergeCell ref="L478:M478"/>
    <mergeCell ref="N478:Q478"/>
    <mergeCell ref="R478:T478"/>
    <mergeCell ref="L479:M479"/>
    <mergeCell ref="N479:Q479"/>
    <mergeCell ref="R479:T479"/>
    <mergeCell ref="L480:M480"/>
    <mergeCell ref="N210:Q210"/>
    <mergeCell ref="R210:T210"/>
    <mergeCell ref="L208:M208"/>
    <mergeCell ref="N208:Q208"/>
    <mergeCell ref="R208:T208"/>
    <mergeCell ref="L209:M209"/>
    <mergeCell ref="N209:Q209"/>
    <mergeCell ref="R209:T209"/>
    <mergeCell ref="L210:M210"/>
    <mergeCell ref="N213:Q213"/>
    <mergeCell ref="R213:T213"/>
    <mergeCell ref="L211:M211"/>
    <mergeCell ref="N211:Q211"/>
    <mergeCell ref="R211:T211"/>
    <mergeCell ref="L212:M212"/>
    <mergeCell ref="N212:Q212"/>
    <mergeCell ref="R212:T212"/>
    <mergeCell ref="L213:M213"/>
    <mergeCell ref="N216:Q216"/>
    <mergeCell ref="R216:T216"/>
    <mergeCell ref="L214:M214"/>
    <mergeCell ref="N214:Q214"/>
    <mergeCell ref="R214:T214"/>
    <mergeCell ref="L215:M215"/>
    <mergeCell ref="N215:Q215"/>
    <mergeCell ref="R215:T215"/>
    <mergeCell ref="L216:M216"/>
    <mergeCell ref="N219:Q219"/>
    <mergeCell ref="R219:T219"/>
    <mergeCell ref="L217:M217"/>
    <mergeCell ref="N217:Q217"/>
    <mergeCell ref="R217:T217"/>
    <mergeCell ref="L218:M218"/>
    <mergeCell ref="N218:Q218"/>
    <mergeCell ref="R218:T218"/>
    <mergeCell ref="L219:M219"/>
    <mergeCell ref="N222:Q222"/>
    <mergeCell ref="R222:T222"/>
    <mergeCell ref="L220:M220"/>
    <mergeCell ref="N220:Q220"/>
    <mergeCell ref="R220:T220"/>
    <mergeCell ref="L221:M221"/>
    <mergeCell ref="N221:Q221"/>
    <mergeCell ref="R221:T221"/>
    <mergeCell ref="L222:M222"/>
    <mergeCell ref="N225:Q225"/>
    <mergeCell ref="R225:T225"/>
    <mergeCell ref="L223:M223"/>
    <mergeCell ref="N223:Q223"/>
    <mergeCell ref="R223:T223"/>
    <mergeCell ref="L224:M224"/>
    <mergeCell ref="N224:Q224"/>
    <mergeCell ref="R224:T224"/>
    <mergeCell ref="L225:M225"/>
    <mergeCell ref="N228:Q228"/>
    <mergeCell ref="R228:T228"/>
    <mergeCell ref="L226:M226"/>
    <mergeCell ref="N226:Q226"/>
    <mergeCell ref="R226:T226"/>
    <mergeCell ref="L227:M227"/>
    <mergeCell ref="N227:Q227"/>
    <mergeCell ref="R227:T227"/>
    <mergeCell ref="L228:M228"/>
    <mergeCell ref="N231:Q231"/>
    <mergeCell ref="R231:T231"/>
    <mergeCell ref="L229:M229"/>
    <mergeCell ref="N229:Q229"/>
    <mergeCell ref="R229:T229"/>
    <mergeCell ref="L230:M230"/>
    <mergeCell ref="N230:Q230"/>
    <mergeCell ref="R230:T230"/>
    <mergeCell ref="L231:M231"/>
    <mergeCell ref="N234:Q234"/>
    <mergeCell ref="R234:T234"/>
    <mergeCell ref="L232:M232"/>
    <mergeCell ref="N232:Q232"/>
    <mergeCell ref="R232:T232"/>
    <mergeCell ref="L233:M233"/>
    <mergeCell ref="N233:Q233"/>
    <mergeCell ref="R233:T233"/>
    <mergeCell ref="L234:M234"/>
    <mergeCell ref="N237:Q237"/>
    <mergeCell ref="R237:T237"/>
    <mergeCell ref="L235:M235"/>
    <mergeCell ref="N235:Q235"/>
    <mergeCell ref="R235:T235"/>
    <mergeCell ref="L236:M236"/>
    <mergeCell ref="N236:Q236"/>
    <mergeCell ref="R236:T236"/>
    <mergeCell ref="L237:M237"/>
    <mergeCell ref="N240:Q240"/>
    <mergeCell ref="R240:T240"/>
    <mergeCell ref="L238:M238"/>
    <mergeCell ref="N238:Q238"/>
    <mergeCell ref="R238:T238"/>
    <mergeCell ref="L239:M239"/>
    <mergeCell ref="N239:Q239"/>
    <mergeCell ref="R239:T239"/>
    <mergeCell ref="L240:M240"/>
    <mergeCell ref="N243:Q243"/>
    <mergeCell ref="R243:T243"/>
    <mergeCell ref="L241:M241"/>
    <mergeCell ref="N241:Q241"/>
    <mergeCell ref="R241:T241"/>
    <mergeCell ref="L242:M242"/>
    <mergeCell ref="N242:Q242"/>
    <mergeCell ref="R242:T242"/>
    <mergeCell ref="L243:M243"/>
    <mergeCell ref="N246:Q246"/>
    <mergeCell ref="R246:T246"/>
    <mergeCell ref="L244:M244"/>
    <mergeCell ref="N244:Q244"/>
    <mergeCell ref="R244:T244"/>
    <mergeCell ref="L245:M245"/>
    <mergeCell ref="N245:Q245"/>
    <mergeCell ref="R245:T245"/>
    <mergeCell ref="L246:M246"/>
    <mergeCell ref="N249:Q249"/>
    <mergeCell ref="R249:T249"/>
    <mergeCell ref="L247:M247"/>
    <mergeCell ref="N247:Q247"/>
    <mergeCell ref="R247:T247"/>
    <mergeCell ref="L248:M248"/>
    <mergeCell ref="N248:Q248"/>
    <mergeCell ref="R248:T248"/>
    <mergeCell ref="L249:M249"/>
    <mergeCell ref="N252:Q252"/>
    <mergeCell ref="R252:T252"/>
    <mergeCell ref="L250:M250"/>
    <mergeCell ref="N250:Q250"/>
    <mergeCell ref="R250:T250"/>
    <mergeCell ref="L251:M251"/>
    <mergeCell ref="N251:Q251"/>
    <mergeCell ref="R251:T251"/>
    <mergeCell ref="L252:M252"/>
    <mergeCell ref="N255:Q255"/>
    <mergeCell ref="R255:T255"/>
    <mergeCell ref="L253:M253"/>
    <mergeCell ref="N253:Q253"/>
    <mergeCell ref="R253:T253"/>
    <mergeCell ref="L254:M254"/>
    <mergeCell ref="N254:Q254"/>
    <mergeCell ref="R254:T254"/>
    <mergeCell ref="L255:M255"/>
    <mergeCell ref="N258:Q258"/>
    <mergeCell ref="R258:T258"/>
    <mergeCell ref="L256:M256"/>
    <mergeCell ref="N256:Q256"/>
    <mergeCell ref="R256:T256"/>
    <mergeCell ref="L257:M257"/>
    <mergeCell ref="N257:Q257"/>
    <mergeCell ref="R257:T257"/>
    <mergeCell ref="L258:M258"/>
    <mergeCell ref="N261:Q261"/>
    <mergeCell ref="R261:T261"/>
    <mergeCell ref="L259:M259"/>
    <mergeCell ref="N259:Q259"/>
    <mergeCell ref="R259:T259"/>
    <mergeCell ref="L260:M260"/>
    <mergeCell ref="N260:Q260"/>
    <mergeCell ref="R260:T260"/>
    <mergeCell ref="L261:M261"/>
    <mergeCell ref="N264:Q264"/>
    <mergeCell ref="R264:T264"/>
    <mergeCell ref="L262:M262"/>
    <mergeCell ref="N262:Q262"/>
    <mergeCell ref="R262:T262"/>
    <mergeCell ref="L263:M263"/>
    <mergeCell ref="N263:Q263"/>
    <mergeCell ref="R263:T263"/>
    <mergeCell ref="L264:M264"/>
    <mergeCell ref="N267:Q267"/>
    <mergeCell ref="R267:T267"/>
    <mergeCell ref="L265:M265"/>
    <mergeCell ref="N265:Q265"/>
    <mergeCell ref="R265:T265"/>
    <mergeCell ref="L266:M266"/>
    <mergeCell ref="N266:Q266"/>
    <mergeCell ref="R266:T266"/>
    <mergeCell ref="L267:M267"/>
    <mergeCell ref="N270:Q270"/>
    <mergeCell ref="R270:T270"/>
    <mergeCell ref="L268:M268"/>
    <mergeCell ref="N268:Q268"/>
    <mergeCell ref="R268:T268"/>
    <mergeCell ref="L269:M269"/>
    <mergeCell ref="N269:Q269"/>
    <mergeCell ref="R269:T269"/>
    <mergeCell ref="L270:M270"/>
    <mergeCell ref="N273:Q273"/>
    <mergeCell ref="R273:T273"/>
    <mergeCell ref="L271:M271"/>
    <mergeCell ref="N271:Q271"/>
    <mergeCell ref="R271:T271"/>
    <mergeCell ref="L272:M272"/>
    <mergeCell ref="N272:Q272"/>
    <mergeCell ref="R272:T272"/>
    <mergeCell ref="L273:M273"/>
    <mergeCell ref="N276:Q276"/>
    <mergeCell ref="R276:T276"/>
    <mergeCell ref="L274:M274"/>
    <mergeCell ref="N274:Q274"/>
    <mergeCell ref="R274:T274"/>
    <mergeCell ref="L275:M275"/>
    <mergeCell ref="N275:Q275"/>
    <mergeCell ref="R275:T275"/>
    <mergeCell ref="L276:M276"/>
    <mergeCell ref="N279:Q279"/>
    <mergeCell ref="R279:T279"/>
    <mergeCell ref="L277:M277"/>
    <mergeCell ref="N277:Q277"/>
    <mergeCell ref="R277:T277"/>
    <mergeCell ref="L278:M278"/>
    <mergeCell ref="N278:Q278"/>
    <mergeCell ref="R278:T278"/>
    <mergeCell ref="L279:M279"/>
    <mergeCell ref="N282:Q282"/>
    <mergeCell ref="R282:T282"/>
    <mergeCell ref="L280:M280"/>
    <mergeCell ref="N280:Q280"/>
    <mergeCell ref="R280:T280"/>
    <mergeCell ref="L281:M281"/>
    <mergeCell ref="N281:Q281"/>
    <mergeCell ref="R281:T281"/>
    <mergeCell ref="L282:M282"/>
    <mergeCell ref="N285:Q285"/>
    <mergeCell ref="R285:T285"/>
    <mergeCell ref="L283:M283"/>
    <mergeCell ref="N283:Q283"/>
    <mergeCell ref="R283:T283"/>
    <mergeCell ref="L284:M284"/>
    <mergeCell ref="N284:Q284"/>
    <mergeCell ref="R284:T284"/>
    <mergeCell ref="L285:M285"/>
    <mergeCell ref="N288:Q288"/>
    <mergeCell ref="R288:T288"/>
    <mergeCell ref="L286:M286"/>
    <mergeCell ref="N286:Q286"/>
    <mergeCell ref="R286:T286"/>
    <mergeCell ref="L287:M287"/>
    <mergeCell ref="N287:Q287"/>
    <mergeCell ref="R287:T287"/>
    <mergeCell ref="L288:M288"/>
    <mergeCell ref="N291:Q291"/>
    <mergeCell ref="R291:T291"/>
    <mergeCell ref="L289:M289"/>
    <mergeCell ref="N289:Q289"/>
    <mergeCell ref="R289:T289"/>
    <mergeCell ref="L290:M290"/>
    <mergeCell ref="N290:Q290"/>
    <mergeCell ref="R290:T290"/>
    <mergeCell ref="L291:M291"/>
    <mergeCell ref="N294:Q294"/>
    <mergeCell ref="R294:T294"/>
    <mergeCell ref="L292:M292"/>
    <mergeCell ref="N292:Q292"/>
    <mergeCell ref="R292:T292"/>
    <mergeCell ref="L293:M293"/>
    <mergeCell ref="N293:Q293"/>
    <mergeCell ref="R293:T293"/>
    <mergeCell ref="L294:M294"/>
    <mergeCell ref="N297:Q297"/>
    <mergeCell ref="R297:T297"/>
    <mergeCell ref="L295:M295"/>
    <mergeCell ref="N295:Q295"/>
    <mergeCell ref="R295:T295"/>
    <mergeCell ref="L296:M296"/>
    <mergeCell ref="N296:Q296"/>
    <mergeCell ref="R296:T296"/>
    <mergeCell ref="L297:M297"/>
    <mergeCell ref="N300:Q300"/>
    <mergeCell ref="R300:T300"/>
    <mergeCell ref="L298:M298"/>
    <mergeCell ref="N298:Q298"/>
    <mergeCell ref="R298:T298"/>
    <mergeCell ref="L299:M299"/>
    <mergeCell ref="N299:Q299"/>
    <mergeCell ref="R299:T299"/>
    <mergeCell ref="L300:M300"/>
    <mergeCell ref="N303:Q303"/>
    <mergeCell ref="R303:T303"/>
    <mergeCell ref="L301:M301"/>
    <mergeCell ref="N301:Q301"/>
    <mergeCell ref="R301:T301"/>
    <mergeCell ref="L302:M302"/>
    <mergeCell ref="N302:Q302"/>
    <mergeCell ref="R302:T302"/>
    <mergeCell ref="L303:M303"/>
    <mergeCell ref="N306:Q306"/>
    <mergeCell ref="R306:T306"/>
    <mergeCell ref="L304:M304"/>
    <mergeCell ref="N304:Q304"/>
    <mergeCell ref="R304:T304"/>
    <mergeCell ref="L305:M305"/>
    <mergeCell ref="N305:Q305"/>
    <mergeCell ref="R305:T305"/>
    <mergeCell ref="L306:M306"/>
    <mergeCell ref="N309:Q309"/>
    <mergeCell ref="R309:T309"/>
    <mergeCell ref="L307:M307"/>
    <mergeCell ref="N307:Q307"/>
    <mergeCell ref="R307:T307"/>
    <mergeCell ref="L308:M308"/>
    <mergeCell ref="N308:Q308"/>
    <mergeCell ref="R308:T308"/>
    <mergeCell ref="L309:M309"/>
    <mergeCell ref="N312:Q312"/>
    <mergeCell ref="R312:T312"/>
    <mergeCell ref="L310:M310"/>
    <mergeCell ref="N310:Q310"/>
    <mergeCell ref="R310:T310"/>
    <mergeCell ref="L311:M311"/>
    <mergeCell ref="N311:Q311"/>
    <mergeCell ref="R311:T311"/>
    <mergeCell ref="L312:M312"/>
    <mergeCell ref="N315:Q315"/>
    <mergeCell ref="R315:T315"/>
    <mergeCell ref="L313:M313"/>
    <mergeCell ref="N313:Q313"/>
    <mergeCell ref="R313:T313"/>
    <mergeCell ref="L314:M314"/>
    <mergeCell ref="N314:Q314"/>
    <mergeCell ref="R314:T314"/>
    <mergeCell ref="L315:M315"/>
    <mergeCell ref="N318:Q318"/>
    <mergeCell ref="R318:T318"/>
    <mergeCell ref="L316:M316"/>
    <mergeCell ref="N316:Q316"/>
    <mergeCell ref="R316:T316"/>
    <mergeCell ref="L317:M317"/>
    <mergeCell ref="N317:Q317"/>
    <mergeCell ref="R317:T317"/>
    <mergeCell ref="L318:M318"/>
    <mergeCell ref="N321:Q321"/>
    <mergeCell ref="R321:T321"/>
    <mergeCell ref="L319:M319"/>
    <mergeCell ref="N319:Q319"/>
    <mergeCell ref="R319:T319"/>
    <mergeCell ref="L320:M320"/>
    <mergeCell ref="N320:Q320"/>
    <mergeCell ref="R320:T320"/>
    <mergeCell ref="L321:M321"/>
    <mergeCell ref="N324:Q324"/>
    <mergeCell ref="R324:T324"/>
    <mergeCell ref="L322:M322"/>
    <mergeCell ref="N322:Q322"/>
    <mergeCell ref="R322:T322"/>
    <mergeCell ref="L323:M323"/>
    <mergeCell ref="N323:Q323"/>
    <mergeCell ref="R323:T323"/>
    <mergeCell ref="L324:M324"/>
    <mergeCell ref="N327:Q327"/>
    <mergeCell ref="R327:T327"/>
    <mergeCell ref="L325:M325"/>
    <mergeCell ref="N325:Q325"/>
    <mergeCell ref="R325:T325"/>
    <mergeCell ref="L326:M326"/>
    <mergeCell ref="N326:Q326"/>
    <mergeCell ref="R326:T326"/>
    <mergeCell ref="L327:M327"/>
    <mergeCell ref="N330:Q330"/>
    <mergeCell ref="R330:T330"/>
    <mergeCell ref="L328:M328"/>
    <mergeCell ref="N328:Q328"/>
    <mergeCell ref="R328:T328"/>
    <mergeCell ref="L329:M329"/>
    <mergeCell ref="N329:Q329"/>
    <mergeCell ref="R329:T329"/>
    <mergeCell ref="L330:M330"/>
    <mergeCell ref="N333:Q333"/>
    <mergeCell ref="R333:T333"/>
    <mergeCell ref="L331:M331"/>
    <mergeCell ref="N331:Q331"/>
    <mergeCell ref="R331:T331"/>
    <mergeCell ref="L332:M332"/>
    <mergeCell ref="N332:Q332"/>
    <mergeCell ref="R332:T332"/>
    <mergeCell ref="L333:M333"/>
    <mergeCell ref="N336:Q336"/>
    <mergeCell ref="R336:T336"/>
    <mergeCell ref="L334:M334"/>
    <mergeCell ref="N334:Q334"/>
    <mergeCell ref="R334:T334"/>
    <mergeCell ref="L335:M335"/>
    <mergeCell ref="N335:Q335"/>
    <mergeCell ref="R335:T335"/>
    <mergeCell ref="L336:M336"/>
    <mergeCell ref="N339:Q339"/>
    <mergeCell ref="R339:T339"/>
    <mergeCell ref="L337:M337"/>
    <mergeCell ref="N337:Q337"/>
    <mergeCell ref="R337:T337"/>
    <mergeCell ref="L338:M338"/>
    <mergeCell ref="N338:Q338"/>
    <mergeCell ref="R338:T338"/>
    <mergeCell ref="L339:M339"/>
    <mergeCell ref="N342:Q342"/>
    <mergeCell ref="R342:T342"/>
    <mergeCell ref="L340:M340"/>
    <mergeCell ref="N340:Q340"/>
    <mergeCell ref="R340:T340"/>
    <mergeCell ref="L341:M341"/>
    <mergeCell ref="N341:Q341"/>
    <mergeCell ref="R341:T341"/>
    <mergeCell ref="L342:M342"/>
    <mergeCell ref="N345:Q345"/>
    <mergeCell ref="R345:T345"/>
    <mergeCell ref="L343:M343"/>
    <mergeCell ref="N343:Q343"/>
    <mergeCell ref="R343:T343"/>
    <mergeCell ref="L344:M344"/>
    <mergeCell ref="N344:Q344"/>
    <mergeCell ref="R344:T344"/>
    <mergeCell ref="L345:M345"/>
    <mergeCell ref="N348:Q348"/>
    <mergeCell ref="R348:T348"/>
    <mergeCell ref="L346:M346"/>
    <mergeCell ref="N346:Q346"/>
    <mergeCell ref="R346:T346"/>
    <mergeCell ref="L347:M347"/>
    <mergeCell ref="N347:Q347"/>
    <mergeCell ref="R347:T347"/>
    <mergeCell ref="L348:M348"/>
    <mergeCell ref="N351:Q351"/>
    <mergeCell ref="R351:T351"/>
    <mergeCell ref="L349:M349"/>
    <mergeCell ref="N349:Q349"/>
    <mergeCell ref="R349:T349"/>
    <mergeCell ref="L350:M350"/>
    <mergeCell ref="N350:Q350"/>
    <mergeCell ref="R350:T350"/>
    <mergeCell ref="L351:M351"/>
    <mergeCell ref="N354:Q354"/>
    <mergeCell ref="R354:T354"/>
    <mergeCell ref="L352:M352"/>
    <mergeCell ref="N352:Q352"/>
    <mergeCell ref="R352:T352"/>
    <mergeCell ref="L353:M353"/>
    <mergeCell ref="N353:Q353"/>
    <mergeCell ref="R353:T353"/>
    <mergeCell ref="L354:M354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1">
    <cfRule type="expression" dxfId="7" priority="19" stopIfTrue="1">
      <formula>AND(H62="", I62&lt;&gt;"")</formula>
    </cfRule>
  </conditionalFormatting>
  <conditionalFormatting sqref="H62:H500">
    <cfRule type="expression" dxfId="7" priority="20" stopIfTrue="1">
      <formula>AND(H62="", I62&lt;&gt;"")</formula>
    </cfRule>
  </conditionalFormatting>
  <dataValidations>
    <dataValidation type="list" allowBlank="1" showErrorMessage="1" sqref="J63">
      <formula1>'5월'!$AB$63:$AI$63</formula1>
    </dataValidation>
    <dataValidation type="list" allowBlank="1" showErrorMessage="1" sqref="J361">
      <formula1>'5월'!$AB$361:$AI$361</formula1>
    </dataValidation>
    <dataValidation type="list" allowBlank="1" showErrorMessage="1" sqref="J346">
      <formula1>'5월'!$AB$346:$AI$346</formula1>
    </dataValidation>
    <dataValidation type="list" allowBlank="1" showErrorMessage="1" sqref="J257">
      <formula1>'5월'!$AB$257:$AI$257</formula1>
    </dataValidation>
    <dataValidation type="list" allowBlank="1" showErrorMessage="1" sqref="J252">
      <formula1>'5월'!$AB$252:$AI$252</formula1>
    </dataValidation>
    <dataValidation type="list" allowBlank="1" showErrorMessage="1" sqref="J143">
      <formula1>'5월'!$AB$143:$AI$143</formula1>
    </dataValidation>
    <dataValidation type="list" allowBlank="1" showErrorMessage="1" sqref="J381">
      <formula1>'5월'!$AB$381:$AI$381</formula1>
    </dataValidation>
    <dataValidation type="list" allowBlank="1" showErrorMessage="1" sqref="J148">
      <formula1>'5월'!$AB$148:$AI$148</formula1>
    </dataValidation>
    <dataValidation type="list" allowBlank="1" showErrorMessage="1" sqref="J455">
      <formula1>'5월'!$AB$455:$AI$455</formula1>
    </dataValidation>
    <dataValidation type="list" allowBlank="1" showErrorMessage="1" sqref="J92">
      <formula1>'5월'!$AB$92:$AI$92</formula1>
    </dataValidation>
    <dataValidation type="list" allowBlank="1" showErrorMessage="1" sqref="J450">
      <formula1>'5월'!$AB$450:$AI$450</formula1>
    </dataValidation>
    <dataValidation type="list" allowBlank="1" showErrorMessage="1" sqref="J232">
      <formula1>'5월'!$AB$232:$AI$232</formula1>
    </dataValidation>
    <dataValidation type="list" allowBlank="1" showErrorMessage="1" sqref="J326">
      <formula1>'5월'!$AB$326:$AI$326</formula1>
    </dataValidation>
    <dataValidation type="list" allowBlank="1" showErrorMessage="1" sqref="J435">
      <formula1>'5월'!$AB$435:$AI$435</formula1>
    </dataValidation>
    <dataValidation type="list" allowBlank="1" showErrorMessage="1" sqref="J490">
      <formula1>'5월'!$AB$490:$AI$490</formula1>
    </dataValidation>
    <dataValidation type="list" allowBlank="1" showErrorMessage="1" sqref="J341">
      <formula1>'5월'!$AB$341:$AI$341</formula1>
    </dataValidation>
    <dataValidation type="list" allowBlank="1" showErrorMessage="1" sqref="J217">
      <formula1>'5월'!$AB$217:$AI$217</formula1>
    </dataValidation>
    <dataValidation type="list" allowBlank="1" showErrorMessage="1" sqref="J183">
      <formula1>'5월'!$AB$183:$AI$183</formula1>
    </dataValidation>
    <dataValidation type="list" allowBlank="1" showErrorMessage="1" sqref="J199">
      <formula1>'5월'!$AB$199:$AI$199</formula1>
    </dataValidation>
    <dataValidation type="list" allowBlank="1" showErrorMessage="1" sqref="J77 J83">
      <formula1>'5월'!$AB$77:$AI$77</formula1>
    </dataValidation>
    <dataValidation type="list" allowBlank="1" showErrorMessage="1" sqref="J89">
      <formula1>'5월'!$AB$89:$AI$89</formula1>
    </dataValidation>
    <dataValidation type="list" allowBlank="1" showErrorMessage="1" sqref="J430">
      <formula1>'5월'!$AB$430:$AI$430</formula1>
    </dataValidation>
    <dataValidation type="list" allowBlank="1" showErrorMessage="1" sqref="J288">
      <formula1>'5월'!$AB$288:$AI$288</formula1>
    </dataValidation>
    <dataValidation type="list" allowBlank="1" showErrorMessage="1" sqref="J292">
      <formula1>'5월'!$AB$292:$AI$292</formula1>
    </dataValidation>
    <dataValidation type="list" allowBlank="1" showErrorMessage="1" sqref="J237">
      <formula1>'5월'!$AB$237:$AI$237</formula1>
    </dataValidation>
    <dataValidation type="list" allowBlank="1" showErrorMessage="1" sqref="J397">
      <formula1>'5월'!$AB$397:$AI$397</formula1>
    </dataValidation>
    <dataValidation type="list" allowBlank="1" showErrorMessage="1" sqref="J123">
      <formula1>'5월'!$AB$123:$AI$123</formula1>
    </dataValidation>
    <dataValidation type="list" allowBlank="1" showErrorMessage="1" sqref="J128">
      <formula1>'5월'!$AB$128:$AI$128</formula1>
    </dataValidation>
    <dataValidation type="list" allowBlank="1" showErrorMessage="1" sqref="J103">
      <formula1>'5월'!$AB$103:$AI$103</formula1>
    </dataValidation>
    <dataValidation type="list" allowBlank="1" showErrorMessage="1" sqref="J297">
      <formula1>'5월'!$AB$297:$AI$297</formula1>
    </dataValidation>
    <dataValidation type="list" allowBlank="1" showErrorMessage="1" sqref="J486">
      <formula1>'5월'!$AB$486:$AI$486</formula1>
    </dataValidation>
    <dataValidation type="list" allowBlank="1" showErrorMessage="1" sqref="J188">
      <formula1>'5월'!$AB$188:$AI$188</formula1>
    </dataValidation>
    <dataValidation type="list" allowBlank="1" showErrorMessage="1" sqref="J392">
      <formula1>'5월'!$AB$392:$AI$392</formula1>
    </dataValidation>
    <dataValidation type="list" allowBlank="1" showErrorMessage="1" sqref="J212">
      <formula1>'5월'!$AB$212:$AI$212</formula1>
    </dataValidation>
    <dataValidation type="list" allowBlank="1" showErrorMessage="1" sqref="J321">
      <formula1>'5월'!$AB$321:$AI$321</formula1>
    </dataValidation>
    <dataValidation type="list" allowBlank="1" showErrorMessage="1" sqref="J330">
      <formula1>'5월'!$AB$330:$AI$330</formula1>
    </dataValidation>
    <dataValidation type="list" allowBlank="1" showErrorMessage="1" sqref="J179">
      <formula1>'5월'!$AB$179:$AI$179</formula1>
    </dataValidation>
    <dataValidation type="list" allowBlank="1" showErrorMessage="1" sqref="J159">
      <formula1>'5월'!$AB$159:$AI$159</formula1>
    </dataValidation>
    <dataValidation type="list" allowBlank="1" showErrorMessage="1" sqref="J429">
      <formula1>'5월'!$AB$429:$AI$429</formula1>
    </dataValidation>
    <dataValidation type="list" allowBlank="1" showErrorMessage="1" sqref="J112">
      <formula1>'5월'!$AB$112:$AI$112</formula1>
    </dataValidation>
    <dataValidation type="list" allowBlank="1" showErrorMessage="1" sqref="J301">
      <formula1>'5월'!$AB$301:$AI$301</formula1>
    </dataValidation>
    <dataValidation type="list" allowBlank="1" showErrorMessage="1" sqref="J409">
      <formula1>'5월'!$AB$409:$AI$409</formula1>
    </dataValidation>
    <dataValidation type="list" allowBlank="1" showErrorMessage="1" sqref="J495">
      <formula1>'5월'!$AB$495:$AI$495</formula1>
    </dataValidation>
    <dataValidation type="list" allowBlank="1" showErrorMessage="1" sqref="J194">
      <formula1>'5월'!$AB$194:$AI$194</formula1>
    </dataValidation>
    <dataValidation type="list" allowBlank="1" showErrorMessage="1" sqref="J386">
      <formula1>'5월'!$AB$386:$AI$386</formula1>
    </dataValidation>
    <dataValidation type="list" allowBlank="1" showErrorMessage="1" sqref="J268">
      <formula1>'5월'!$AB$268:$AI$268</formula1>
    </dataValidation>
    <dataValidation type="list" allowBlank="1" showErrorMessage="1" sqref="J410">
      <formula1>'5월'!$AB$410:$AI$410</formula1>
    </dataValidation>
    <dataValidation type="list" allowBlank="1" showErrorMessage="1" sqref="J377">
      <formula1>'5월'!$AB$377:$AI$377</formula1>
    </dataValidation>
    <dataValidation type="list" allowBlank="1" showErrorMessage="1" sqref="J221">
      <formula1>'5월'!$AB$221:$AI$221</formula1>
    </dataValidation>
    <dataValidation type="list" allowBlank="1" showErrorMessage="1" sqref="J310">
      <formula1>'5월'!$AB$310:$AI$310</formula1>
    </dataValidation>
    <dataValidation type="list" allowBlank="1" showErrorMessage="1" sqref="J248">
      <formula1>'5월'!$AB$248:$AI$248</formula1>
    </dataValidation>
    <dataValidation type="list" allowBlank="1" showErrorMessage="1" sqref="J168">
      <formula1>'5월'!$AB$168:$AI$168</formula1>
    </dataValidation>
    <dataValidation type="list" allowBlank="1" showErrorMessage="1" sqref="J466">
      <formula1>'5월'!$AB$466:$AI$466</formula1>
    </dataValidation>
    <dataValidation type="list" allowBlank="1" showErrorMessage="1" sqref="J139">
      <formula1>'5월'!$AB$139:$AI$139</formula1>
    </dataValidation>
    <dataValidation type="list" allowBlank="1" showErrorMessage="1" sqref="J277">
      <formula1>'5월'!$AB$277:$AI$277</formula1>
    </dataValidation>
    <dataValidation type="list" allowBlank="1" showErrorMessage="1" sqref="J79">
      <formula1>'5월'!$AB$79:$AI$79</formula1>
    </dataValidation>
    <dataValidation type="list" allowBlank="1" showErrorMessage="1" sqref="J366">
      <formula1>'5월'!$AB$366:$AI$366</formula1>
    </dataValidation>
    <dataValidation type="list" allowBlank="1" showErrorMessage="1" sqref="J90">
      <formula1>'5월'!$AB$90:$AI$90</formula1>
    </dataValidation>
    <dataValidation type="list" allowBlank="1" showErrorMessage="1" sqref="J357">
      <formula1>'5월'!$AB$357:$AI$357</formula1>
    </dataValidation>
    <dataValidation type="list" allowBlank="1" showErrorMessage="1" sqref="J201">
      <formula1>'5월'!$AB$201:$AI$201</formula1>
    </dataValidation>
    <dataValidation type="list" allowBlank="1" showErrorMessage="1" sqref="J475">
      <formula1>'5월'!$AB$475:$AI$475</formula1>
    </dataValidation>
    <dataValidation type="list" allowBlank="1" showErrorMessage="1" sqref="J119">
      <formula1>'5월'!$AB$119:$AI$119</formula1>
    </dataValidation>
    <dataValidation type="list" allowBlank="1" showErrorMessage="1" sqref="J228">
      <formula1>'5월'!$AB$228:$AI$228</formula1>
    </dataValidation>
    <dataValidation type="list" allowBlank="1" showErrorMessage="1" sqref="J87">
      <formula1>'5월'!$AB$87:$AI$87</formula1>
    </dataValidation>
    <dataValidation type="list" allowBlank="1" showErrorMessage="1" sqref="J266">
      <formula1>'5월'!$AB$266:$AI$266</formula1>
    </dataValidation>
    <dataValidation type="list" allowBlank="1" showErrorMessage="1" sqref="J281">
      <formula1>'5월'!$AB$281:$AI$281</formula1>
    </dataValidation>
    <dataValidation type="list" allowBlank="1" showErrorMessage="1" sqref="J299">
      <formula1>'5월'!$AB$299:$AI$299</formula1>
    </dataValidation>
    <dataValidation type="list" allowBlank="1" showErrorMessage="1" sqref="J441">
      <formula1>'5월'!$AB$441:$AI$441</formula1>
    </dataValidation>
    <dataValidation type="list" allowBlank="1" showErrorMessage="1" sqref="J484">
      <formula1>'5월'!$AB$484:$AI$484</formula1>
    </dataValidation>
    <dataValidation type="list" allowBlank="1" showErrorMessage="1" sqref="J390">
      <formula1>'5월'!$AB$390:$AI$390</formula1>
    </dataValidation>
    <dataValidation type="list" allowBlank="1" showErrorMessage="1" sqref="J134">
      <formula1>'5월'!$AB$134:$AI$134</formula1>
    </dataValidation>
    <dataValidation type="list" allowBlank="1" showErrorMessage="1" sqref="J101">
      <formula1>'5월'!$AB$101:$AI$101</formula1>
    </dataValidation>
    <dataValidation type="list" allowBlank="1" showErrorMessage="1" sqref="J375">
      <formula1>'5월'!$AB$375:$AI$375</formula1>
    </dataValidation>
    <dataValidation type="list" allowBlank="1" showErrorMessage="1" sqref="J223">
      <formula1>'5월'!$AB$223:$AI$223</formula1>
    </dataValidation>
    <dataValidation type="list" allowBlank="1" showErrorMessage="1" sqref="J497">
      <formula1>'5월'!$AB$497:$AI$497</formula1>
    </dataValidation>
    <dataValidation type="list" allowBlank="1" showErrorMessage="1" sqref="J446">
      <formula1>'5월'!$AB$446:$AI$446</formula1>
    </dataValidation>
    <dataValidation type="list" allowBlank="1" showErrorMessage="1" sqref="J464">
      <formula1>'5월'!$AB$464:$AI$464</formula1>
    </dataValidation>
    <dataValidation type="list" allowBlank="1" showErrorMessage="1" sqref="J261">
      <formula1>'5월'!$AB$261:$AI$261</formula1>
    </dataValidation>
    <dataValidation type="list" allowBlank="1" showErrorMessage="1" sqref="J337">
      <formula1>'5월'!$AB$337:$AI$337</formula1>
    </dataValidation>
    <dataValidation type="list" allowBlank="1" showErrorMessage="1" sqref="J192">
      <formula1>'5월'!$AB$192:$AI$192</formula1>
    </dataValidation>
    <dataValidation type="list" allowBlank="1" showErrorMessage="1" sqref="J157">
      <formula1>'5월'!$AB$157:$AI$157</formula1>
    </dataValidation>
    <dataValidation type="list" allowBlank="1" showErrorMessage="1" sqref="J152">
      <formula1>'5월'!$AB$152:$AI$152</formula1>
    </dataValidation>
    <dataValidation type="list" allowBlank="1" showErrorMessage="1" sqref="J332">
      <formula1>'5월'!$AB$332:$AI$332</formula1>
    </dataValidation>
    <dataValidation type="list" allowBlank="1" showErrorMessage="1" sqref="J421">
      <formula1>'5월'!$AB$421:$AI$421</formula1>
    </dataValidation>
    <dataValidation type="list" allowBlank="1" showErrorMessage="1" sqref="J279">
      <formula1>'5월'!$AB$279:$AI$279</formula1>
    </dataValidation>
    <dataValidation type="list" allowBlank="1" showErrorMessage="1" sqref="J246">
      <formula1>'5월'!$AB$246:$AI$246</formula1>
    </dataValidation>
    <dataValidation type="list" allowBlank="1" showErrorMessage="1" sqref="J355">
      <formula1>'5월'!$AB$355:$AI$355</formula1>
    </dataValidation>
    <dataValidation type="list" allowBlank="1" showErrorMessage="1" sqref="J208">
      <formula1>'5월'!$AB$208:$AI$208</formula1>
    </dataValidation>
    <dataValidation type="list" allowBlank="1" showErrorMessage="1" sqref="J203">
      <formula1>'5월'!$AB$203:$AI$203</formula1>
    </dataValidation>
    <dataValidation type="list" allowBlank="1" showErrorMessage="1" sqref="J114">
      <formula1>'5월'!$AB$114:$AI$114</formula1>
    </dataValidation>
    <dataValidation type="list" allowBlank="1" showErrorMessage="1" sqref="J388">
      <formula1>'5월'!$AB$388:$AI$388</formula1>
    </dataValidation>
    <dataValidation type="list" allowBlank="1" showErrorMessage="1" sqref="J350">
      <formula1>'5월'!$AB$350:$AI$350</formula1>
    </dataValidation>
    <dataValidation type="list" allowBlank="1" showErrorMessage="1" sqref="J241">
      <formula1>'5월'!$AB$241:$AI$241</formula1>
    </dataValidation>
    <dataValidation type="list" allowBlank="1" showErrorMessage="1" sqref="J317">
      <formula1>'5월'!$AB$317:$AI$317</formula1>
    </dataValidation>
    <dataValidation type="list" allowBlank="1" showErrorMessage="1" sqref="J477">
      <formula1>'5월'!$AB$477:$AI$477</formula1>
    </dataValidation>
    <dataValidation type="list" allowBlank="1" showErrorMessage="1" sqref="J426">
      <formula1>'5월'!$AB$426:$AI$426</formula1>
    </dataValidation>
    <dataValidation type="list" allowBlank="1" showErrorMessage="1" sqref="J444">
      <formula1>'5월'!$AB$444:$AI$444</formula1>
    </dataValidation>
    <dataValidation type="list" allowBlank="1" showErrorMessage="1" sqref="J94">
      <formula1>'5월'!$AB$94:$AI$94</formula1>
    </dataValidation>
    <dataValidation type="list" allowBlank="1" showErrorMessage="1" sqref="J132">
      <formula1>'5월'!$AB$132:$AI$132</formula1>
    </dataValidation>
    <dataValidation type="list" allowBlank="1" showErrorMessage="1" sqref="J312">
      <formula1>'5월'!$AB$312:$AI$312</formula1>
    </dataValidation>
    <dataValidation type="list" allowBlank="1" showErrorMessage="1" sqref="J96">
      <formula1>'5월'!$AB$96:$AI$96</formula1>
    </dataValidation>
    <dataValidation type="list" allowBlank="1" showErrorMessage="1" sqref="J283">
      <formula1>'5월'!$AB$283:$AI$283</formula1>
    </dataValidation>
    <dataValidation type="list" allowBlank="1" showErrorMessage="1" sqref="J117">
      <formula1>'5월'!$AB$117:$AI$117</formula1>
    </dataValidation>
    <dataValidation type="list" allowBlank="1" showErrorMessage="1" sqref="J424">
      <formula1>'5월'!$AB$424:$AI$424</formula1>
    </dataValidation>
    <dataValidation type="list" allowBlank="1" showErrorMessage="1" sqref="J174">
      <formula1>'5월'!$AB$174:$AI$174</formula1>
    </dataValidation>
    <dataValidation type="list" allowBlank="1" showErrorMessage="1" sqref="J481">
      <formula1>'5월'!$AB$481:$AI$481</formula1>
    </dataValidation>
    <dataValidation type="list" allowBlank="1" showErrorMessage="1" sqref="J335">
      <formula1>'5월'!$AB$335:$AI$335</formula1>
    </dataValidation>
    <dataValidation type="list" allowBlank="1" showErrorMessage="1" sqref="J226">
      <formula1>'5월'!$AB$226:$AI$226</formula1>
    </dataValidation>
    <dataValidation type="list" allowBlank="1" showErrorMessage="1" sqref="J99">
      <formula1>'5월'!$AB$99:$AI$99</formula1>
    </dataValidation>
    <dataValidation type="list" allowBlank="1" showErrorMessage="1" sqref="J406">
      <formula1>'5월'!$AB$406:$AI$406</formula1>
    </dataValidation>
    <dataValidation type="list" allowBlank="1" showErrorMessage="1" sqref="J372">
      <formula1>'5월'!$AB$372:$AI$372</formula1>
    </dataValidation>
    <dataValidation type="list" allowBlank="1" showErrorMessage="1" sqref="J263">
      <formula1>'5월'!$AB$263:$AI$263</formula1>
    </dataValidation>
    <dataValidation type="list" allowBlank="1" showErrorMessage="1" sqref="J404">
      <formula1>'5월'!$AB$404:$AI$404</formula1>
    </dataValidation>
    <dataValidation type="list" allowBlank="1" showErrorMessage="1" sqref="J154">
      <formula1>'5월'!$AB$154:$AI$154</formula1>
    </dataValidation>
    <dataValidation type="list" allowBlank="1" showErrorMessage="1" sqref="J370">
      <formula1>'5월'!$AB$370:$AI$370</formula1>
    </dataValidation>
    <dataValidation type="list" allowBlank="1" showErrorMessage="1" sqref="J352">
      <formula1>'5월'!$AB$352:$AI$352</formula1>
    </dataValidation>
    <dataValidation type="list" allowBlank="1" showErrorMessage="1" sqref="J461">
      <formula1>'5월'!$AB$461:$AI$461</formula1>
    </dataValidation>
    <dataValidation type="list" allowBlank="1" showErrorMessage="1" sqref="J243">
      <formula1>'5월'!$AB$243:$AI$243</formula1>
    </dataValidation>
    <dataValidation type="list" allowBlank="1" showErrorMessage="1" sqref="J315">
      <formula1>'5월'!$AB$315:$AI$315</formula1>
    </dataValidation>
    <dataValidation type="list" allowBlank="1" showErrorMessage="1" sqref="J206">
      <formula1>'5월'!$AB$206:$AI$206</formula1>
    </dataValidation>
    <dataValidation type="list" allowBlank="1" showErrorMessage="1" sqref="J172">
      <formula1>'5월'!$AB$172:$AI$172</formula1>
    </dataValidation>
    <dataValidation type="list" allowBlank="1" showErrorMessage="1" sqref="J214">
      <formula1>'5월'!$AB$214:$AI$214</formula1>
    </dataValidation>
    <dataValidation type="list" allowBlank="1" showErrorMessage="1" sqref="J308">
      <formula1>'5월'!$AB$308:$AI$308</formula1>
    </dataValidation>
    <dataValidation type="list" allowBlank="1" showErrorMessage="1" sqref="J389">
      <formula1>'5월'!$AB$389:$AI$389</formula1>
    </dataValidation>
    <dataValidation type="list" allowBlank="1" showErrorMessage="1" sqref="J394">
      <formula1>'5월'!$AB$394:$AI$394</formula1>
    </dataValidation>
    <dataValidation type="list" allowBlank="1" showErrorMessage="1" sqref="J120">
      <formula1>'5월'!$AB$120:$AI$120</formula1>
    </dataValidation>
    <dataValidation type="list" allowBlank="1" showErrorMessage="1" sqref="J318">
      <formula1>'5월'!$AB$318:$AI$318</formula1>
    </dataValidation>
    <dataValidation type="list" allowBlank="1" showErrorMessage="1" sqref="J84">
      <formula1>'5월'!$AB$84:$AI$84</formula1>
    </dataValidation>
    <dataValidation type="list" allowBlank="1" showErrorMessage="1" sqref="J432">
      <formula1>'5월'!$AB$432:$AI$432</formula1>
    </dataValidation>
    <dataValidation type="list" allowBlank="1" showErrorMessage="1" sqref="J384">
      <formula1>'5월'!$AB$384:$AI$384</formula1>
    </dataValidation>
    <dataValidation type="list" allowBlank="1" showErrorMessage="1" sqref="J219">
      <formula1>'5월'!$AB$219:$AI$219</formula1>
    </dataValidation>
    <dataValidation type="list" allowBlank="1" showErrorMessage="1" sqref="J176">
      <formula1>'5월'!$AB$176:$AI$176</formula1>
    </dataValidation>
    <dataValidation type="list" allowBlank="1" showErrorMessage="1" sqref="J110">
      <formula1>'5월'!$AB$110:$AI$110</formula1>
    </dataValidation>
    <dataValidation type="list" allowBlank="1" showErrorMessage="1" sqref="J115">
      <formula1>'5월'!$AB$115:$AI$115</formula1>
    </dataValidation>
    <dataValidation type="list" allowBlank="1" showErrorMessage="1" sqref="J488">
      <formula1>'5월'!$AB$488:$AI$488</formula1>
    </dataValidation>
    <dataValidation type="list" allowBlank="1" showErrorMessage="1" sqref="J69">
      <formula1>'5월'!$AB$69:$AI$69</formula1>
    </dataValidation>
    <dataValidation type="list" allowBlank="1" showErrorMessage="1" sqref="J422">
      <formula1>'5월'!$AB$422:$AI$422</formula1>
    </dataValidation>
    <dataValidation type="list" allowBlank="1" showErrorMessage="1" sqref="J483">
      <formula1>'5월'!$AB$483:$AI$483</formula1>
    </dataValidation>
    <dataValidation type="list" allowBlank="1" showErrorMessage="1" sqref="J265">
      <formula1>'5월'!$AB$265:$AI$265</formula1>
    </dataValidation>
    <dataValidation type="list" allowBlank="1" showErrorMessage="1" sqref="J150">
      <formula1>'5월'!$AB$150:$AI$150</formula1>
    </dataValidation>
    <dataValidation type="list" allowBlank="1" showErrorMessage="1" sqref="J166">
      <formula1>'5월'!$AB$166:$AI$166</formula1>
    </dataValidation>
    <dataValidation type="list" allowBlank="1" showErrorMessage="1" sqref="J473">
      <formula1>'5월'!$AB$473:$AI$473</formula1>
    </dataValidation>
    <dataValidation type="list" allowBlank="1" showErrorMessage="1" sqref="J359">
      <formula1>'5월'!$AB$359:$AI$359</formula1>
    </dataValidation>
    <dataValidation type="list" allowBlank="1" showErrorMessage="1" sqref="J255">
      <formula1>'5월'!$AB$255:$AI$255</formula1>
    </dataValidation>
    <dataValidation type="list" allowBlank="1" showErrorMessage="1" sqref="J204">
      <formula1>'5월'!$AB$204:$AI$204</formula1>
    </dataValidation>
    <dataValidation type="list" allowBlank="1" showErrorMessage="1" sqref="J478">
      <formula1>'5월'!$AB$478:$AI$478</formula1>
    </dataValidation>
    <dataValidation type="list" allowBlank="1" showErrorMessage="1" sqref="J407">
      <formula1>'5월'!$AB$407:$AI$407</formula1>
    </dataValidation>
    <dataValidation type="list" allowBlank="1" showErrorMessage="1" sqref="J151">
      <formula1>'5월'!$AB$151:$AI$151</formula1>
    </dataValidation>
    <dataValidation type="list" allowBlank="1" showErrorMessage="1" sqref="J160">
      <formula1>'5월'!$AB$160:$AI$160</formula1>
    </dataValidation>
    <dataValidation type="list" allowBlank="1" showErrorMessage="1" sqref="J303">
      <formula1>'5월'!$AB$303:$AI$303</formula1>
    </dataValidation>
    <dataValidation type="list" allowBlank="1" showErrorMessage="1" sqref="J250">
      <formula1>'5월'!$AB$250:$AI$250</formula1>
    </dataValidation>
    <dataValidation type="list" allowBlank="1" showErrorMessage="1" sqref="J358">
      <formula1>'5월'!$AB$358:$AI$358</formula1>
    </dataValidation>
    <dataValidation type="list" allowBlank="1" showErrorMessage="1" sqref="J438">
      <formula1>'5월'!$AB$438:$AI$438</formula1>
    </dataValidation>
    <dataValidation type="list" allowBlank="1" showErrorMessage="1" sqref="J349">
      <formula1>'5월'!$AB$349:$AI$349</formula1>
    </dataValidation>
    <dataValidation type="list" allowBlank="1" showErrorMessage="1" sqref="J240">
      <formula1>'5월'!$AB$240:$AI$240</formula1>
    </dataValidation>
    <dataValidation type="list" allowBlank="1" showErrorMessage="1" sqref="J302">
      <formula1>'5월'!$AB$302:$AI$302</formula1>
    </dataValidation>
    <dataValidation type="list" allowBlank="1" showErrorMessage="1" sqref="J448">
      <formula1>'5월'!$AB$448:$AI$448</formula1>
    </dataValidation>
    <dataValidation type="list" allowBlank="1" showErrorMessage="1" sqref="J259">
      <formula1>'5월'!$AB$259:$AI$259</formula1>
    </dataValidation>
    <dataValidation type="list" allowBlank="1" showErrorMessage="1" sqref="J121">
      <formula1>'5월'!$AB$121:$AI$121</formula1>
    </dataValidation>
    <dataValidation type="list" allowBlank="1" showErrorMessage="1" sqref="J229">
      <formula1>'5월'!$AB$229:$AI$229</formula1>
    </dataValidation>
    <dataValidation type="list" allowBlank="1" showErrorMessage="1" sqref="J296">
      <formula1>'5월'!$AB$296:$AI$296</formula1>
    </dataValidation>
    <dataValidation type="list" allowBlank="1" showErrorMessage="1" sqref="J86">
      <formula1>'5월'!$AB$86:$AI$86</formula1>
    </dataValidation>
    <dataValidation type="list" allowBlank="1" showErrorMessage="1" sqref="J319">
      <formula1>'5월'!$AB$319:$AI$319</formula1>
    </dataValidation>
    <dataValidation type="list" allowBlank="1" showErrorMessage="1" sqref="J395">
      <formula1>'5월'!$AB$395:$AI$395</formula1>
    </dataValidation>
    <dataValidation type="list" allowBlank="1" showErrorMessage="1" sqref="J437">
      <formula1>'5월'!$AB$437:$AI$437</formula1>
    </dataValidation>
    <dataValidation type="list" allowBlank="1" showErrorMessage="1" sqref="J177">
      <formula1>'5월'!$AB$177:$AI$177</formula1>
    </dataValidation>
    <dataValidation type="list" allowBlank="1" showErrorMessage="1" sqref="J348">
      <formula1>'5월'!$AB$348:$AI$348</formula1>
    </dataValidation>
    <dataValidation type="list" allowBlank="1" showErrorMessage="1" sqref="J210">
      <formula1>'5월'!$AB$210:$AI$210</formula1>
    </dataValidation>
    <dataValidation type="list" allowBlank="1" showErrorMessage="1" sqref="J85">
      <formula1>'5월'!$AB$85:$AI$85</formula1>
    </dataValidation>
    <dataValidation type="list" allowBlank="1" showErrorMessage="1" sqref="J295">
      <formula1>'5월'!$AB$295:$AI$295</formula1>
    </dataValidation>
    <dataValidation type="list" allowBlank="1" showErrorMessage="1" sqref="J111">
      <formula1>'5월'!$AB$111:$AI$111</formula1>
    </dataValidation>
    <dataValidation type="list" allowBlank="1" showErrorMessage="1" sqref="J385">
      <formula1>'5월'!$AB$385:$AI$385</formula1>
    </dataValidation>
    <dataValidation type="list" allowBlank="1" showErrorMessage="1" sqref="J447">
      <formula1>'5월'!$AB$447:$AI$447</formula1>
    </dataValidation>
    <dataValidation type="list" allowBlank="1" showErrorMessage="1" sqref="J436">
      <formula1>'5월'!$AB$436:$AI$436</formula1>
    </dataValidation>
    <dataValidation type="list" allowBlank="1" showErrorMessage="1" sqref="J200">
      <formula1>'5월'!$AB$200:$AI$200</formula1>
    </dataValidation>
    <dataValidation type="list" allowBlank="1" showErrorMessage="1" sqref="J474">
      <formula1>'5월'!$AB$474:$AI$474</formula1>
    </dataValidation>
    <dataValidation type="list" allowBlank="1" showErrorMessage="1" sqref="J66">
      <formula1>'5월'!$AB$66:$AI$66</formula1>
    </dataValidation>
    <dataValidation type="list" allowBlank="1" showErrorMessage="1" sqref="J81">
      <formula1>'5월'!$AB$81:$AI$81</formula1>
    </dataValidation>
    <dataValidation type="list" allowBlank="1" showErrorMessage="1" sqref="J167">
      <formula1>'5월'!$AB$167:$AI$167</formula1>
    </dataValidation>
    <dataValidation type="list" allowBlank="1" showErrorMessage="1" sqref="J162">
      <formula1>'5월'!$AB$162:$AI$162</formula1>
    </dataValidation>
    <dataValidation type="list" allowBlank="1" showErrorMessage="1" sqref="J342">
      <formula1>'5월'!$AB$342:$AI$342</formula1>
    </dataValidation>
    <dataValidation type="list" allowBlank="1" showErrorMessage="1" sqref="J291">
      <formula1>'5월'!$AB$291:$AI$291</formula1>
    </dataValidation>
    <dataValidation type="list" allowBlank="1" showErrorMessage="1" sqref="J256">
      <formula1>'5월'!$AB$256:$AI$256</formula1>
    </dataValidation>
    <dataValidation type="list" allowBlank="1" showErrorMessage="1" sqref="J431">
      <formula1>'5월'!$AB$431:$AI$431</formula1>
    </dataValidation>
    <dataValidation type="list" allowBlank="1" showErrorMessage="1" sqref="J124">
      <formula1>'5월'!$AB$124:$AI$124</formula1>
    </dataValidation>
    <dataValidation type="list" allowBlank="1" showErrorMessage="1" sqref="J294">
      <formula1>'5월'!$AB$294:$AI$294</formula1>
    </dataValidation>
    <dataValidation type="list" allowBlank="1" showErrorMessage="1" sqref="J304">
      <formula1>'5월'!$AB$304:$AI$304</formula1>
    </dataValidation>
    <dataValidation type="list" allowBlank="1" showErrorMessage="1" sqref="J129">
      <formula1>'5월'!$AB$129:$AI$129</formula1>
    </dataValidation>
    <dataValidation type="list" allowBlank="1" showErrorMessage="1" sqref="J309">
      <formula1>'5월'!$AB$309:$AI$309</formula1>
    </dataValidation>
    <dataValidation type="list" allowBlank="1" showErrorMessage="1" sqref="J398">
      <formula1>'5월'!$AB$398:$AI$398</formula1>
    </dataValidation>
    <dataValidation type="list" allowBlank="1" showErrorMessage="1" sqref="J307">
      <formula1>'5월'!$AB$307:$AI$307</formula1>
    </dataValidation>
    <dataValidation type="list" allowBlank="1" showErrorMessage="1" sqref="J213">
      <formula1>'5월'!$AB$213:$AI$213</formula1>
    </dataValidation>
    <dataValidation type="list" allowBlank="1" showErrorMessage="1" sqref="J487">
      <formula1>'5월'!$AB$487:$AI$487</formula1>
    </dataValidation>
    <dataValidation type="list" allowBlank="1" showErrorMessage="1" sqref="J251">
      <formula1>'5월'!$AB$251:$AI$251</formula1>
    </dataValidation>
    <dataValidation type="list" allowBlank="1" showErrorMessage="1" sqref="J82">
      <formula1>'5월'!$AB$82:$AI$82</formula1>
    </dataValidation>
    <dataValidation type="list" allowBlank="1" showErrorMessage="1" sqref="J65">
      <formula1>'5월'!$AB$65:$AI$65</formula1>
    </dataValidation>
    <dataValidation type="list" allowBlank="1" showErrorMessage="1" sqref="J269">
      <formula1>'5월'!$AB$269:$AI$269</formula1>
    </dataValidation>
    <dataValidation type="list" allowBlank="1" showErrorMessage="1" sqref="J383">
      <formula1>'5월'!$AB$383:$AI$383</formula1>
    </dataValidation>
    <dataValidation type="list" allowBlank="1" showErrorMessage="1" sqref="J449">
      <formula1>'5월'!$AB$449:$AI$449</formula1>
    </dataValidation>
    <dataValidation type="list" allowBlank="1" showErrorMessage="1" sqref="J340">
      <formula1>'5월'!$AB$340:$AI$340</formula1>
    </dataValidation>
    <dataValidation type="list" allowBlank="1" showErrorMessage="1" sqref="J165">
      <formula1>'5월'!$AB$165:$AI$165</formula1>
    </dataValidation>
    <dataValidation type="list" allowBlank="1" showErrorMessage="1" sqref="J218">
      <formula1>'5월'!$AB$218:$AI$218</formula1>
    </dataValidation>
    <dataValidation type="list" allowBlank="1" showErrorMessage="1" sqref="J345">
      <formula1>'5월'!$AB$345:$AI$345</formula1>
    </dataValidation>
    <dataValidation type="list" allowBlank="1" showErrorMessage="1" sqref="J472">
      <formula1>'5월'!$AB$472:$AI$472</formula1>
    </dataValidation>
    <dataValidation type="list" allowBlank="1" showErrorMessage="1" sqref="J382">
      <formula1>'5월'!$AB$382:$AI$382</formula1>
    </dataValidation>
    <dataValidation type="list" allowBlank="1" showErrorMessage="1" sqref="J126">
      <formula1>'5월'!$AB$126:$AI$126</formula1>
    </dataValidation>
    <dataValidation type="list" allowBlank="1" showErrorMessage="1" sqref="J216">
      <formula1>'5월'!$AB$216:$AI$216</formula1>
    </dataValidation>
    <dataValidation type="list" allowBlank="1" showErrorMessage="1" sqref="J306">
      <formula1>'5월'!$AB$306:$AI$306</formula1>
    </dataValidation>
    <dataValidation type="list" allowBlank="1" showErrorMessage="1" sqref="J127">
      <formula1>'5월'!$AB$127:$AI$127</formula1>
    </dataValidation>
    <dataValidation type="list" allowBlank="1" showErrorMessage="1" sqref="J161">
      <formula1>'5월'!$AB$161:$AI$161</formula1>
    </dataValidation>
    <dataValidation type="list" allowBlank="1" showErrorMessage="1" sqref="J164">
      <formula1>'5월'!$AB$164:$AI$164</formula1>
    </dataValidation>
    <dataValidation type="list" allowBlank="1" showErrorMessage="1" sqref="J80">
      <formula1>'5월'!$AB$80:$AI$80</formula1>
    </dataValidation>
    <dataValidation type="list" allowBlank="1" showErrorMessage="1" sqref="J254">
      <formula1>'5월'!$AB$254:$AI$254</formula1>
    </dataValidation>
    <dataValidation type="list" allowBlank="1" showErrorMessage="1" sqref="J344">
      <formula1>'5월'!$AB$344:$AI$344</formula1>
    </dataValidation>
    <dataValidation type="list" allowBlank="1" showErrorMessage="1" sqref="J434">
      <formula1>'5월'!$AB$434:$AI$434</formula1>
    </dataValidation>
    <dataValidation type="list" allowBlank="1" showErrorMessage="1" sqref="J343">
      <formula1>'5월'!$AB$343:$AI$343</formula1>
    </dataValidation>
    <dataValidation type="list" allowBlank="1" showErrorMessage="1" sqref="J471">
      <formula1>'5월'!$AB$471:$AI$471</formula1>
    </dataValidation>
    <dataValidation type="list" allowBlank="1" showErrorMessage="1" sqref="J215">
      <formula1>'5월'!$AB$215:$AI$215</formula1>
    </dataValidation>
    <dataValidation type="list" allowBlank="1" showErrorMessage="1" sqref="J305">
      <formula1>'5월'!$AB$305:$AI$305</formula1>
    </dataValidation>
    <dataValidation type="list" allowBlank="1" showErrorMessage="1" sqref="J489">
      <formula1>'5월'!$AB$489:$AI$489</formula1>
    </dataValidation>
    <dataValidation type="list" allowBlank="1" showErrorMessage="1" sqref="J433">
      <formula1>'5월'!$AB$433:$AI$433</formula1>
    </dataValidation>
    <dataValidation type="list" allowBlank="1" showErrorMessage="1" sqref="J68">
      <formula1>'5월'!$AB$68:$AI$68</formula1>
    </dataValidation>
    <dataValidation type="list" allowBlank="1" showErrorMessage="1" sqref="J399">
      <formula1>'5월'!$AB$399:$AI$399</formula1>
    </dataValidation>
    <dataValidation type="list" allowBlank="1" showErrorMessage="1" sqref="J67">
      <formula1>'5월'!$AB$67:$AI$67</formula1>
    </dataValidation>
    <dataValidation type="list" allowBlank="1" showErrorMessage="1" sqref="J125">
      <formula1>'5월'!$AB$125:$AI$125</formula1>
    </dataValidation>
    <dataValidation type="list" allowBlank="1" showErrorMessage="1" sqref="J163">
      <formula1>'5월'!$AB$163:$AI$163</formula1>
    </dataValidation>
    <dataValidation type="list" allowBlank="1" showErrorMessage="1" sqref="J253">
      <formula1>'5월'!$AB$253:$AI$253</formula1>
    </dataValidation>
    <dataValidation type="list" allowBlank="1" showErrorMessage="1" sqref="J290">
      <formula1>'5월'!$AB$290:$AI$290</formula1>
    </dataValidation>
    <dataValidation type="list" allowBlank="1" showErrorMessage="1" sqref="J380">
      <formula1>'5월'!$AB$380:$AI$380</formula1>
    </dataValidation>
    <dataValidation type="list" allowBlank="1" showErrorMessage="1" sqref="J470">
      <formula1>'5월'!$AB$470:$AI$470</formula1>
    </dataValidation>
    <dataValidation type="list" allowBlank="1" showErrorMessage="1" sqref="J247">
      <formula1>'5월'!$AB$247:$AI$247</formula1>
    </dataValidation>
    <dataValidation type="list" allowBlank="1" showErrorMessage="1" sqref="J356">
      <formula1>'5월'!$AB$356:$AI$356</formula1>
    </dataValidation>
    <dataValidation type="list" allowBlank="1" showErrorMessage="1" sqref="J153">
      <formula1>'5월'!$AB$153:$AI$153</formula1>
    </dataValidation>
    <dataValidation type="list" allowBlank="1" showErrorMessage="1" sqref="J138">
      <formula1>'5월'!$AB$138:$AI$138</formula1>
    </dataValidation>
    <dataValidation type="list" allowBlank="1" showErrorMessage="1" sqref="J465">
      <formula1>'5월'!$AB$465:$AI$465</formula1>
    </dataValidation>
    <dataValidation type="list" allowBlank="1" showErrorMessage="1" sqref="J460">
      <formula1>'5월'!$AB$460:$AI$460</formula1>
    </dataValidation>
    <dataValidation type="list" allowBlank="1" showErrorMessage="1" sqref="J480">
      <formula1>'5월'!$AB$480:$AI$480</formula1>
    </dataValidation>
    <dataValidation type="list" allowBlank="1" showErrorMessage="1" sqref="J351">
      <formula1>'5월'!$AB$351:$AI$351</formula1>
    </dataValidation>
    <dataValidation type="list" allowBlank="1" showErrorMessage="1" sqref="J242">
      <formula1>'5월'!$AB$242:$AI$242</formula1>
    </dataValidation>
    <dataValidation type="list" allowBlank="1" showErrorMessage="1" sqref="J118">
      <formula1>'5월'!$AB$118:$AI$118</formula1>
    </dataValidation>
    <dataValidation type="list" allowBlank="1" showErrorMessage="1" sqref="J282">
      <formula1>'5월'!$AB$282:$AI$282</formula1>
    </dataValidation>
    <dataValidation type="list" allowBlank="1" showErrorMessage="1" sqref="J298">
      <formula1>'5월'!$AB$298:$AI$298</formula1>
    </dataValidation>
    <dataValidation type="list" allowBlank="1" showErrorMessage="1" sqref="J227">
      <formula1>'5월'!$AB$227:$AI$227</formula1>
    </dataValidation>
    <dataValidation type="list" allowBlank="1" showErrorMessage="1" sqref="J133">
      <formula1>'5월'!$AB$133:$AI$133</formula1>
    </dataValidation>
    <dataValidation type="list" allowBlank="1" showErrorMessage="1" sqref="J425">
      <formula1>'5월'!$AB$425:$AI$425</formula1>
    </dataValidation>
    <dataValidation type="list" allowBlank="1" showErrorMessage="1" sqref="J391">
      <formula1>'5월'!$AB$391:$AI$391</formula1>
    </dataValidation>
    <dataValidation type="list" allowBlank="1" showErrorMessage="1" sqref="J440">
      <formula1>'5월'!$AB$440:$AI$440</formula1>
    </dataValidation>
    <dataValidation type="list" allowBlank="1" showErrorMessage="1" sqref="J445">
      <formula1>'5월'!$AB$445:$AI$445</formula1>
    </dataValidation>
    <dataValidation type="list" allowBlank="1" showErrorMessage="1" sqref="J113">
      <formula1>'5월'!$AB$113:$AI$113</formula1>
    </dataValidation>
    <dataValidation type="list" allowBlank="1" showErrorMessage="1" sqref="J222">
      <formula1>'5월'!$AB$222:$AI$222</formula1>
    </dataValidation>
    <dataValidation type="list" allowBlank="1" showErrorMessage="1" sqref="J496">
      <formula1>'5월'!$AB$496:$AI$496</formula1>
    </dataValidation>
    <dataValidation type="list" allowBlank="1" showErrorMessage="1" sqref="J331">
      <formula1>'5월'!$AB$331:$AI$331</formula1>
    </dataValidation>
    <dataValidation type="list" allowBlank="1" showErrorMessage="1" sqref="J189">
      <formula1>'5월'!$AB$189:$AI$189</formula1>
    </dataValidation>
    <dataValidation type="list" allowBlank="1" showErrorMessage="1" sqref="J184">
      <formula1>'5월'!$AB$184:$AI$184</formula1>
    </dataValidation>
    <dataValidation type="list" allowBlank="1" showErrorMessage="1" sqref="J193">
      <formula1>'5월'!$AB$193:$AI$193</formula1>
    </dataValidation>
    <dataValidation type="list" allowBlank="1" showErrorMessage="1" sqref="J336">
      <formula1>'5월'!$AB$336:$AI$336</formula1>
    </dataValidation>
    <dataValidation type="list" allowBlank="1" showErrorMessage="1" sqref="J64">
      <formula1>'5월'!$AB$64:$AI$64</formula1>
    </dataValidation>
    <dataValidation type="list" allowBlank="1" showErrorMessage="1" sqref="J76">
      <formula1>'5월'!$AB$76:$AI$76</formula1>
    </dataValidation>
    <dataValidation type="list" allowBlank="1" showErrorMessage="1" sqref="J311">
      <formula1>'5월'!$AB$311:$AI$311</formula1>
    </dataValidation>
    <dataValidation type="list" allowBlank="1" showErrorMessage="1" sqref="J231">
      <formula1>'5월'!$AB$231:$AI$231</formula1>
    </dataValidation>
    <dataValidation type="list" allowBlank="1" showErrorMessage="1" sqref="J420">
      <formula1>'5월'!$AB$420:$AI$420</formula1>
    </dataValidation>
    <dataValidation type="list" allowBlank="1" showErrorMessage="1" sqref="J278">
      <formula1>'5월'!$AB$278:$AI$278</formula1>
    </dataValidation>
    <dataValidation type="list" allowBlank="1" showErrorMessage="1" sqref="J122">
      <formula1>'5월'!$AB$122:$AI$122</formula1>
    </dataValidation>
    <dataValidation type="list" allowBlank="1" showErrorMessage="1" sqref="J387">
      <formula1>'5월'!$AB$387:$AI$387</formula1>
    </dataValidation>
    <dataValidation type="list" allowBlank="1" showErrorMessage="1" sqref="J396">
      <formula1>'5월'!$AB$396:$AI$396</formula1>
    </dataValidation>
    <dataValidation type="list" allowBlank="1" showErrorMessage="1" sqref="J293">
      <formula1>'5월'!$AB$293:$AI$293</formula1>
    </dataValidation>
    <dataValidation type="list" allowBlank="1" showErrorMessage="1" sqref="J93">
      <formula1>'5월'!$AB$93:$AI$93</formula1>
    </dataValidation>
    <dataValidation type="list" allowBlank="1" showErrorMessage="1" sqref="J62">
      <formula1>'5월'!$AB$62:$AI$62</formula1>
    </dataValidation>
    <dataValidation type="list" allowBlank="1" showErrorMessage="1" sqref="J320">
      <formula1>'5월'!$AB$320:$AI$320</formula1>
    </dataValidation>
    <dataValidation type="list" allowBlank="1" showErrorMessage="1" sqref="J476">
      <formula1>'5월'!$AB$476:$AI$476</formula1>
    </dataValidation>
    <dataValidation type="list" allowBlank="1" showErrorMessage="1" sqref="J178">
      <formula1>'5월'!$AB$178:$AI$178</formula1>
    </dataValidation>
    <dataValidation type="list" allowBlank="1" showErrorMessage="1" sqref="J78">
      <formula1>'5월'!$AB$78:$AI$78</formula1>
    </dataValidation>
    <dataValidation type="list" allowBlank="1" showErrorMessage="1" sqref="J439">
      <formula1>'5월'!$AB$439:$AI$439</formula1>
    </dataValidation>
    <dataValidation type="list" allowBlank="1" showErrorMessage="1" sqref="J202">
      <formula1>'5월'!$AB$202:$AI$202</formula1>
    </dataValidation>
    <dataValidation type="list" allowBlank="1" showErrorMessage="1" sqref="J287">
      <formula1>'5월'!$AB$287:$AI$287</formula1>
    </dataValidation>
    <dataValidation type="list" allowBlank="1" showErrorMessage="1" sqref="J169">
      <formula1>'5월'!$AB$169:$AI$169</formula1>
    </dataValidation>
    <dataValidation type="list" allowBlank="1" showErrorMessage="1" sqref="J91">
      <formula1>'5월'!$AB$91:$AI$91</formula1>
    </dataValidation>
    <dataValidation type="list" allowBlank="1" showErrorMessage="1" sqref="J456">
      <formula1>'5월'!$AB$456:$AI$456</formula1>
    </dataValidation>
    <dataValidation type="list" allowBlank="1" showErrorMessage="1" sqref="J102">
      <formula1>'5월'!$AB$102:$AI$102</formula1>
    </dataValidation>
    <dataValidation type="list" allowBlank="1" showErrorMessage="1" sqref="J376">
      <formula1>'5월'!$AB$376:$AI$376</formula1>
    </dataValidation>
    <dataValidation type="list" allowBlank="1" showErrorMessage="1" sqref="J211">
      <formula1>'5월'!$AB$211:$AI$211</formula1>
    </dataValidation>
    <dataValidation type="list" allowBlank="1" showErrorMessage="1" sqref="J400">
      <formula1>'5월'!$AB$400:$AI$400</formula1>
    </dataValidation>
    <dataValidation type="list" allowBlank="1" showErrorMessage="1" sqref="J485">
      <formula1>'5월'!$AB$485:$AI$485</formula1>
    </dataValidation>
    <dataValidation type="list" allowBlank="1" showErrorMessage="1" sqref="J347">
      <formula1>'5월'!$AB$347:$AI$347</formula1>
    </dataValidation>
    <dataValidation type="list" allowBlank="1" showErrorMessage="1" sqref="J367">
      <formula1>'5월'!$AB$367:$AI$367</formula1>
    </dataValidation>
    <dataValidation type="list" allowBlank="1" showErrorMessage="1" sqref="J158">
      <formula1>'5월'!$AB$158:$AI$158</formula1>
    </dataValidation>
    <dataValidation type="list" allowBlank="1" showErrorMessage="1" sqref="J258">
      <formula1>'5월'!$AB$258:$AI$258</formula1>
    </dataValidation>
    <dataValidation type="list" allowBlank="1" showErrorMessage="1" sqref="J300">
      <formula1>'5월'!$AB$300:$AI$300</formula1>
    </dataValidation>
    <dataValidation type="list" allowBlank="1" showErrorMessage="1" sqref="J149">
      <formula1>'5월'!$AB$149:$AI$149</formula1>
    </dataValidation>
    <dataValidation type="list" allowBlank="1" showErrorMessage="1" sqref="J267">
      <formula1>'5월'!$AB$267:$AI$267</formula1>
    </dataValidation>
    <dataValidation type="list" allowBlank="1" showErrorMessage="1" sqref="J419">
      <formula1>'5월'!$AB$419:$AI$419</formula1>
    </dataValidation>
    <dataValidation type="list" allowBlank="1" showErrorMessage="1" sqref="J403">
      <formula1>'5월'!$AB$403:$AI$403</formula1>
    </dataValidation>
    <dataValidation type="list" allowBlank="1" showErrorMessage="1" sqref="J195">
      <formula1>'5월'!$AB$195:$AI$195</formula1>
    </dataValidation>
    <dataValidation type="list" allowBlank="1" showErrorMessage="1" sqref="J205">
      <formula1>'5월'!$AB$205:$AI$205</formula1>
    </dataValidation>
    <dataValidation type="list" allowBlank="1" showErrorMessage="1" sqref="J95">
      <formula1>'5월'!$AB$95:$AI$95</formula1>
    </dataValidation>
    <dataValidation type="list" allowBlank="1" showErrorMessage="1" sqref="J408">
      <formula1>'5월'!$AB$408:$AI$408</formula1>
    </dataValidation>
    <dataValidation type="list" allowBlank="1" showErrorMessage="1" sqref="J479">
      <formula1>'5월'!$AB$479:$AI$479</formula1>
    </dataValidation>
    <dataValidation type="list" allowBlank="1" showErrorMessage="1" sqref="J393">
      <formula1>'5월'!$AB$393:$AI$393</formula1>
    </dataValidation>
    <dataValidation type="list" allowBlank="1" showErrorMessage="1" sqref="J284">
      <formula1>'5월'!$AB$284:$AI$284</formula1>
    </dataValidation>
    <dataValidation type="list" allowBlank="1" showErrorMessage="1" sqref="J175">
      <formula1>'5월'!$AB$175:$AI$175</formula1>
    </dataValidation>
    <dataValidation type="list" allowBlank="1" showErrorMessage="1" sqref="J459">
      <formula1>'5월'!$AB$459:$AI$459</formula1>
    </dataValidation>
    <dataValidation type="list" allowBlank="1" showErrorMessage="1" sqref="J88">
      <formula1>'5월'!$AB$88:$AI$88</formula1>
    </dataValidation>
    <dataValidation type="list" allowBlank="1" showErrorMessage="1" sqref="J482">
      <formula1>'5월'!$AB$482:$AI$482</formula1>
    </dataValidation>
    <dataValidation type="list" allowBlank="1" showErrorMessage="1" sqref="J373">
      <formula1>'5월'!$AB$373:$AI$373</formula1>
    </dataValidation>
    <dataValidation type="list" allowBlank="1" showErrorMessage="1" sqref="J136:J137">
      <formula1>'5월'!$AB$136:$AI$136</formula1>
    </dataValidation>
    <dataValidation type="list" allowBlank="1" showErrorMessage="1" sqref="J264">
      <formula1>'5월'!$AB$264:$AI$264</formula1>
    </dataValidation>
    <dataValidation type="list" allowBlank="1" showErrorMessage="1" sqref="J405">
      <formula1>'5월'!$AB$405:$AI$405</formula1>
    </dataValidation>
    <dataValidation type="list" allowBlank="1" showErrorMessage="1" sqref="J155">
      <formula1>'5월'!$AB$155:$AI$155</formula1>
    </dataValidation>
    <dataValidation type="list" allowBlank="1" showErrorMessage="1" sqref="J245">
      <formula1>'5월'!$AB$245:$AI$245</formula1>
    </dataValidation>
    <dataValidation type="list" allowBlank="1" showErrorMessage="1" sqref="J354">
      <formula1>'5월'!$AB$354:$AI$354</formula1>
    </dataValidation>
    <dataValidation type="list" allowBlank="1" showErrorMessage="1" sqref="J170">
      <formula1>'5월'!$AB$170:$AI$170</formula1>
    </dataValidation>
    <dataValidation type="list" allowBlank="1" showErrorMessage="1" sqref="J260">
      <formula1>'5월'!$AB$260:$AI$260</formula1>
    </dataValidation>
    <dataValidation type="list" allowBlank="1" showErrorMessage="1" sqref="J334">
      <formula1>'5월'!$AB$334:$AI$334</formula1>
    </dataValidation>
    <dataValidation type="list" allowBlank="1" showErrorMessage="1" sqref="J316">
      <formula1>'5월'!$AB$316:$AI$316</formula1>
    </dataValidation>
    <dataValidation type="list" allowBlank="1" showErrorMessage="1" sqref="J462">
      <formula1>'5월'!$AB$462:$AI$462</formula1>
    </dataValidation>
    <dataValidation type="list" allowBlank="1" showErrorMessage="1" sqref="J353">
      <formula1>'5월'!$AB$353:$AI$353</formula1>
    </dataValidation>
    <dataValidation type="list" allowBlank="1" showErrorMessage="1" sqref="J443">
      <formula1>'5월'!$AB$443:$AI$443</formula1>
    </dataValidation>
    <dataValidation type="list" allowBlank="1" showErrorMessage="1" sqref="J207">
      <formula1>'5월'!$AB$207:$AI$207</formula1>
    </dataValidation>
    <dataValidation type="list" allowBlank="1" showErrorMessage="1" sqref="J171">
      <formula1>'5월'!$AB$171:$AI$171</formula1>
    </dataValidation>
    <dataValidation type="list" allowBlank="1" showErrorMessage="1" sqref="J173">
      <formula1>'5월'!$AB$173:$AI$173</formula1>
    </dataValidation>
    <dataValidation type="list" allowBlank="1" showErrorMessage="1" sqref="J135">
      <formula1>'5월'!$AB$135:$AI$135</formula1>
    </dataValidation>
    <dataValidation type="list" allowBlank="1" showErrorMessage="1" sqref="J423">
      <formula1>'5월'!$AB$423:$AI$423</formula1>
    </dataValidation>
    <dataValidation type="list" allowBlank="1" showErrorMessage="1" sqref="J499">
      <formula1>'5월'!$AB$499:$AI$499</formula1>
    </dataValidation>
    <dataValidation type="list" allowBlank="1" showErrorMessage="1" sqref="J244">
      <formula1>'5월'!$AB$244:$AI$244</formula1>
    </dataValidation>
    <dataValidation type="list" allowBlank="1" showErrorMessage="1" sqref="J98">
      <formula1>'5월'!$AB$98:$AI$98</formula1>
    </dataValidation>
    <dataValidation type="list" allowBlank="1" showErrorMessage="1" sqref="J190">
      <formula1>'5월'!$AB$190:$AI$190</formula1>
    </dataValidation>
    <dataValidation type="list" allowBlank="1" showErrorMessage="1" sqref="J314">
      <formula1>'5월'!$AB$314:$AI$314</formula1>
    </dataValidation>
    <dataValidation type="list" allowBlank="1" showErrorMessage="1" sqref="J280">
      <formula1>'5월'!$AB$280:$AI$280</formula1>
    </dataValidation>
    <dataValidation type="list" allowBlank="1" showErrorMessage="1" sqref="J371">
      <formula1>'5월'!$AB$371:$AI$371</formula1>
    </dataValidation>
    <dataValidation type="list" allowBlank="1" showErrorMessage="1" sqref="J225">
      <formula1>'5월'!$AB$225:$AI$225</formula1>
    </dataValidation>
    <dataValidation type="list" allowBlank="1" showErrorMessage="1" sqref="J333">
      <formula1>'5월'!$AB$333:$AI$333</formula1>
    </dataValidation>
    <dataValidation type="list" allowBlank="1" showErrorMessage="1" sqref="J442">
      <formula1>'5월'!$AB$442:$AI$442</formula1>
    </dataValidation>
    <dataValidation type="list" allowBlank="1" showErrorMessage="1" sqref="J97">
      <formula1>'5월'!$AB$97:$AI$97</formula1>
    </dataValidation>
    <dataValidation type="list" allowBlank="1" showErrorMessage="1" sqref="J116">
      <formula1>'5월'!$AB$116:$AI$116</formula1>
    </dataValidation>
    <dataValidation type="list" allowBlank="1" showErrorMessage="1" sqref="J262">
      <formula1>'5월'!$AB$262:$AI$262</formula1>
    </dataValidation>
    <dataValidation type="list" allowBlank="1" showErrorMessage="1" sqref="J186">
      <formula1>'5월'!$AB$186:$AI$186</formula1>
    </dataValidation>
    <dataValidation type="list" allowBlank="1" showErrorMessage="1" sqref="J417">
      <formula1>'5월'!$AB$417:$AI$417</formula1>
    </dataValidation>
    <dataValidation type="list" allowBlank="1" showErrorMessage="1" sqref="J191">
      <formula1>'5월'!$AB$191:$AI$191</formula1>
    </dataValidation>
    <dataValidation type="list" allowBlank="1" showErrorMessage="1" sqref="J323">
      <formula1>'5월'!$AB$323:$AI$323</formula1>
    </dataValidation>
    <dataValidation type="list" allowBlank="1" showErrorMessage="1" sqref="J285">
      <formula1>'5월'!$AB$285:$AI$285</formula1>
    </dataValidation>
    <dataValidation type="list" allowBlank="1" showErrorMessage="1" sqref="J313">
      <formula1>'5월'!$AB$313:$AI$313</formula1>
    </dataValidation>
    <dataValidation type="list" allowBlank="1" showErrorMessage="1" sqref="J498">
      <formula1>'5월'!$AB$498:$AI$498</formula1>
    </dataValidation>
    <dataValidation type="list" allowBlank="1" showErrorMessage="1" sqref="J209">
      <formula1>'5월'!$AB$209:$AI$209</formula1>
    </dataValidation>
    <dataValidation type="list" allowBlank="1" showErrorMessage="1" sqref="J105">
      <formula1>'5월'!$AB$105:$AI$105</formula1>
    </dataValidation>
    <dataValidation type="list" allowBlank="1" showErrorMessage="1" sqref="J379">
      <formula1>'5월'!$AB$379:$AI$379</formula1>
    </dataValidation>
    <dataValidation type="list" allowBlank="1" showErrorMessage="1" sqref="J224">
      <formula1>'5월'!$AB$224:$AI$224</formula1>
    </dataValidation>
    <dataValidation type="list" allowBlank="1" showErrorMessage="1" sqref="J493">
      <formula1>'5월'!$AB$493:$AI$493</formula1>
    </dataValidation>
    <dataValidation type="list" allowBlank="1" showErrorMessage="1" sqref="J427">
      <formula1>'5월'!$AB$427:$AI$427</formula1>
    </dataValidation>
    <dataValidation type="list" allowBlank="1" showErrorMessage="1" sqref="J71">
      <formula1>'5월'!$AB$71:$AI$71</formula1>
    </dataValidation>
    <dataValidation type="list" allowBlank="1" showErrorMessage="1" sqref="J328">
      <formula1>'5월'!$AB$328:$AI$328</formula1>
    </dataValidation>
    <dataValidation type="list" allowBlank="1" showErrorMessage="1" sqref="J275">
      <formula1>'5월'!$AB$275:$AI$275</formula1>
    </dataValidation>
    <dataValidation type="list" allowBlank="1" showErrorMessage="1" sqref="J70">
      <formula1>'5월'!$AB$70:$AI$70</formula1>
    </dataValidation>
    <dataValidation type="list" allowBlank="1" showErrorMessage="1" sqref="J468">
      <formula1>'5월'!$AB$468:$AI$468</formula1>
    </dataValidation>
    <dataValidation type="list" allowBlank="1" showErrorMessage="1" sqref="J374">
      <formula1>'5월'!$AB$374:$AI$374</formula1>
    </dataValidation>
    <dataValidation type="list" allowBlank="1" showErrorMessage="1" sqref="J501">
      <formula1>'5월'!$AB$501:$AI$501</formula1>
    </dataValidation>
    <dataValidation type="list" allowBlank="1" showErrorMessage="1" sqref="L62:L68 L69:M69 L70:L501">
      <formula1>'설정시트'!$D$23:$N$23</formula1>
    </dataValidation>
    <dataValidation type="list" allowBlank="1" showErrorMessage="1" sqref="J100">
      <formula1>'5월'!$AB$100:$AI$100</formula1>
    </dataValidation>
    <dataValidation type="list" allowBlank="1" showErrorMessage="1" sqref="J412">
      <formula1>'5월'!$AB$412:$AI$412</formula1>
    </dataValidation>
    <dataValidation type="list" allowBlank="1" showErrorMessage="1" sqref="J463">
      <formula1>'5월'!$AB$463:$AI$463</formula1>
    </dataValidation>
    <dataValidation type="list" allowBlank="1" showErrorMessage="1" sqref="J156">
      <formula1>'5월'!$AB$156:$AI$156</formula1>
    </dataValidation>
    <dataValidation type="list" allowBlank="1" showErrorMessage="1" sqref="J369">
      <formula1>'5월'!$AB$369:$AI$369</formula1>
    </dataValidation>
    <dataValidation type="list" allowBlank="1" showErrorMessage="1" sqref="J364">
      <formula1>'5월'!$AB$364:$AI$364</formula1>
    </dataValidation>
    <dataValidation type="list" allowBlank="1" showErrorMessage="1" sqref="J402">
      <formula1>'5월'!$AB$402:$AI$402</formula1>
    </dataValidation>
    <dataValidation type="list" allowBlank="1" showErrorMessage="1" sqref="J500">
      <formula1>'5월'!$AB$500:$AI$500</formula1>
    </dataValidation>
    <dataValidation type="list" allowBlank="1" showErrorMessage="1" sqref="J457">
      <formula1>'5월'!$AB$457:$AI$457</formula1>
    </dataValidation>
    <dataValidation type="list" allowBlank="1" showErrorMessage="1" sqref="J141">
      <formula1>'5월'!$AB$141:$AI$141</formula1>
    </dataValidation>
    <dataValidation type="list" allowBlank="1" showErrorMessage="1" sqref="J249">
      <formula1>'5월'!$AB$249:$AI$249</formula1>
    </dataValidation>
    <dataValidation type="list" allowBlank="1" showErrorMessage="1" sqref="J339">
      <formula1>'5월'!$AB$339:$AI$339</formula1>
    </dataValidation>
    <dataValidation type="list" allowBlank="1" showErrorMessage="1" sqref="J368">
      <formula1>'5월'!$AB$368:$AI$368</formula1>
    </dataValidation>
    <dataValidation type="list" allowBlank="1" showErrorMessage="1" sqref="J458">
      <formula1>'5월'!$AB$458:$AI$458</formula1>
    </dataValidation>
    <dataValidation type="list" allowBlank="1" showErrorMessage="1" sqref="J401">
      <formula1>'5월'!$AB$401:$AI$401</formula1>
    </dataValidation>
    <dataValidation type="list" allowBlank="1" showErrorMessage="1" sqref="J197">
      <formula1>'5월'!$AB$197:$AI$197</formula1>
    </dataValidation>
    <dataValidation type="list" allowBlank="1" showErrorMessage="1" sqref="J131">
      <formula1>'5월'!$AB$131:$AI$131</formula1>
    </dataValidation>
    <dataValidation type="list" allowBlank="1" showErrorMessage="1" sqref="J467">
      <formula1>'5월'!$AB$467:$AI$467</formula1>
    </dataValidation>
    <dataValidation type="list" allowBlank="1" showErrorMessage="1" sqref="J418">
      <formula1>'5월'!$AB$418:$AI$418</formula1>
    </dataValidation>
    <dataValidation type="list" allowBlank="1" showErrorMessage="1" sqref="J140">
      <formula1>'5월'!$AB$140:$AI$140</formula1>
    </dataValidation>
    <dataValidation type="list" allowBlank="1" showErrorMessage="1" sqref="J230">
      <formula1>'5월'!$AB$230:$AI$230</formula1>
    </dataValidation>
    <dataValidation type="list" allowBlank="1" showErrorMessage="1" sqref="J338">
      <formula1>'5월'!$AB$338:$AI$338</formula1>
    </dataValidation>
    <dataValidation type="list" allowBlank="1" showErrorMessage="1" sqref="J220">
      <formula1>'5월'!$AB$220:$AI$220</formula1>
    </dataValidation>
    <dataValidation type="list" allowBlank="1" showErrorMessage="1" sqref="J187">
      <formula1>'5월'!$AB$187:$AI$187</formula1>
    </dataValidation>
    <dataValidation type="list" allowBlank="1" showErrorMessage="1" sqref="J130">
      <formula1>'5월'!$AB$130:$AI$130</formula1>
    </dataValidation>
    <dataValidation type="list" allowBlank="1" showErrorMessage="1" sqref="J494">
      <formula1>'5월'!$AB$494:$AI$494</formula1>
    </dataValidation>
    <dataValidation type="list" allowBlank="1" showErrorMessage="1" sqref="J196">
      <formula1>'5월'!$AB$196:$AI$196</formula1>
    </dataValidation>
    <dataValidation type="list" allowBlank="1" showErrorMessage="1" sqref="J276">
      <formula1>'5월'!$AB$276:$AI$276</formula1>
    </dataValidation>
    <dataValidation type="list" allowBlank="1" showErrorMessage="1" sqref="J428">
      <formula1>'5월'!$AB$428:$AI$428</formula1>
    </dataValidation>
    <dataValidation type="list" allowBlank="1" showErrorMessage="1" sqref="J286">
      <formula1>'5월'!$AB$286:$AI$286</formula1>
    </dataValidation>
    <dataValidation type="list" allowBlank="1" showErrorMessage="1" sqref="J239">
      <formula1>'5월'!$AB$239:$AI$239</formula1>
    </dataValidation>
    <dataValidation type="list" allowBlank="1" showErrorMessage="1" sqref="J329">
      <formula1>'5월'!$AB$329:$AI$329</formula1>
    </dataValidation>
    <dataValidation type="list" allowBlank="1" showErrorMessage="1" sqref="J469">
      <formula1>'5월'!$AB$469:$AI$469</formula1>
    </dataValidation>
    <dataValidation type="list" allowBlank="1" showErrorMessage="1" sqref="J233">
      <formula1>'5월'!$AB$233:$AI$233</formula1>
    </dataValidation>
    <dataValidation type="list" allowBlank="1" showErrorMessage="1" sqref="J327">
      <formula1>'5월'!$AB$327:$AI$327</formula1>
    </dataValidation>
    <dataValidation type="list" allowBlank="1" showErrorMessage="1" sqref="J182">
      <formula1>'5월'!$AB$182:$AI$182</formula1>
    </dataValidation>
    <dataValidation type="list" allowBlank="1" showErrorMessage="1" sqref="J238">
      <formula1>'5월'!$AB$238:$AI$238</formula1>
    </dataValidation>
    <dataValidation type="list" allowBlank="1" showErrorMessage="1" sqref="J289">
      <formula1>'5월'!$AB$289:$AI$289</formula1>
    </dataValidation>
    <dataValidation type="list" allowBlank="1" showErrorMessage="1" sqref="J413">
      <formula1>'5월'!$AB$413:$AI$413</formula1>
    </dataValidation>
    <dataValidation type="list" allowBlank="1" showErrorMessage="1" sqref="J74">
      <formula1>'5월'!$AB$74:$AI$74</formula1>
    </dataValidation>
    <dataValidation type="list" allowBlank="1" showErrorMessage="1" sqref="J185">
      <formula1>'5월'!$AB$185:$AI$185</formula1>
    </dataValidation>
    <dataValidation type="list" allowBlank="1" showErrorMessage="1" sqref="J365">
      <formula1>'5월'!$AB$365:$AI$365</formula1>
    </dataValidation>
    <dataValidation type="list" allowBlank="1" showErrorMessage="1" sqref="J360">
      <formula1>'5월'!$AB$360:$AI$360</formula1>
    </dataValidation>
    <dataValidation type="list" allowBlank="1" showErrorMessage="1" sqref="J454">
      <formula1>'5월'!$AB$454:$AI$454</formula1>
    </dataValidation>
    <dataValidation type="list" allowBlank="1" showErrorMessage="1" sqref="J104">
      <formula1>'5월'!$AB$104:$AI$104</formula1>
    </dataValidation>
    <dataValidation type="list" allowBlank="1" showErrorMessage="1" sqref="J322">
      <formula1>'5월'!$AB$322:$AI$322</formula1>
    </dataValidation>
    <dataValidation type="list" allowBlank="1" showErrorMessage="1" sqref="J492">
      <formula1>'5월'!$AB$492:$AI$492</formula1>
    </dataValidation>
    <dataValidation type="list" allowBlank="1" showErrorMessage="1" sqref="J147">
      <formula1>'5월'!$AB$147:$AI$147</formula1>
    </dataValidation>
    <dataValidation type="list" allowBlank="1" showErrorMessage="1" sqref="J416">
      <formula1>'5월'!$AB$416:$AI$416</formula1>
    </dataValidation>
    <dataValidation type="list" allowBlank="1" showErrorMessage="1" sqref="J142">
      <formula1>'5월'!$AB$142:$AI$142</formula1>
    </dataValidation>
    <dataValidation type="list" allowBlank="1" showErrorMessage="1" sqref="J236">
      <formula1>'5월'!$AB$236:$AI$236</formula1>
    </dataValidation>
    <dataValidation type="list" allowBlank="1" showErrorMessage="1" sqref="J109">
      <formula1>'5월'!$AB$109:$AI$109</formula1>
    </dataValidation>
    <dataValidation type="list" allowBlank="1" showErrorMessage="1" sqref="J274">
      <formula1>'5월'!$AB$274:$AI$274</formula1>
    </dataValidation>
    <dataValidation type="list" allowBlank="1" showErrorMessage="1" sqref="J411">
      <formula1>'5월'!$AB$411:$AI$411</formula1>
    </dataValidation>
    <dataValidation type="list" allowBlank="1" showErrorMessage="1" sqref="J198">
      <formula1>'5월'!$AB$198:$AI$198</formula1>
    </dataValidation>
    <dataValidation type="list" allowBlank="1" showErrorMessage="1" sqref="J378">
      <formula1>'5월'!$AB$378:$AI$378</formula1>
    </dataValidation>
    <dataValidation type="list" allowBlank="1" showErrorMessage="1" sqref="J491">
      <formula1>'5월'!$AB$491:$AI$491</formula1>
    </dataValidation>
    <dataValidation type="list" allowBlank="1" showErrorMessage="1" sqref="J325">
      <formula1>'5월'!$AB$325:$AI$325</formula1>
    </dataValidation>
    <dataValidation type="list" allowBlank="1" showErrorMessage="1" sqref="J75">
      <formula1>'5월'!$AB$75:$AI$75</formula1>
    </dataValidation>
    <dataValidation type="list" allowBlank="1" showErrorMessage="1" sqref="J453">
      <formula1>'5월'!$AB$453:$AI$453</formula1>
    </dataValidation>
    <dataValidation type="list" allowBlank="1" showErrorMessage="1" sqref="J363">
      <formula1>'5월'!$AB$363:$AI$363</formula1>
    </dataValidation>
    <dataValidation type="list" allowBlank="1" showErrorMessage="1" sqref="J72">
      <formula1>'5월'!$AB$72:$AI$72</formula1>
    </dataValidation>
    <dataValidation type="list" allowBlank="1" showErrorMessage="1" sqref="J146">
      <formula1>'5월'!$AB$146:$AI$146</formula1>
    </dataValidation>
    <dataValidation type="list" allowBlank="1" showErrorMessage="1" sqref="J180">
      <formula1>'5월'!$AB$180:$AI$180</formula1>
    </dataValidation>
    <dataValidation type="list" allowBlank="1" showErrorMessage="1" sqref="J273">
      <formula1>'5월'!$AB$273:$AI$273</formula1>
    </dataValidation>
    <dataValidation type="list" allowBlank="1" showErrorMessage="1" sqref="J145">
      <formula1>'5월'!$AB$145:$AI$145</formula1>
    </dataValidation>
    <dataValidation type="list" allowBlank="1" showErrorMessage="1" sqref="J235">
      <formula1>'5월'!$AB$235:$AI$235</formula1>
    </dataValidation>
    <dataValidation type="list" allowBlank="1" showErrorMessage="1" sqref="J415">
      <formula1>'5월'!$AB$415:$AI$415</formula1>
    </dataValidation>
    <dataValidation type="list" allowBlank="1" showErrorMessage="1" sqref="J270">
      <formula1>'5월'!$AB$270:$AI$270</formula1>
    </dataValidation>
    <dataValidation type="list" allowBlank="1" showErrorMessage="1" sqref="J108">
      <formula1>'5월'!$AB$108:$AI$108</formula1>
    </dataValidation>
    <dataValidation type="list" allowBlank="1" showErrorMessage="1" sqref="J106">
      <formula1>'5월'!$AB$106:$AI$106</formula1>
    </dataValidation>
    <dataValidation type="list" allowBlank="1" showErrorMessage="1" sqref="J272">
      <formula1>'5월'!$AB$272:$AI$272</formula1>
    </dataValidation>
    <dataValidation type="list" allowBlank="1" showErrorMessage="1" sqref="J362">
      <formula1>'5월'!$AB$362:$AI$362</formula1>
    </dataValidation>
    <dataValidation type="list" allowBlank="1" showErrorMessage="1" sqref="J452">
      <formula1>'5월'!$AB$452:$AI$452</formula1>
    </dataValidation>
    <dataValidation type="list" allowBlank="1" showErrorMessage="1" sqref="J107">
      <formula1>'5월'!$AB$107:$AI$107</formula1>
    </dataValidation>
    <dataValidation type="list" allowBlank="1" showErrorMessage="1" sqref="J181">
      <formula1>'5월'!$AB$181:$AI$181</formula1>
    </dataValidation>
    <dataValidation type="list" allowBlank="1" showErrorMessage="1" sqref="J271">
      <formula1>'5월'!$AB$271:$AI$271</formula1>
    </dataValidation>
    <dataValidation type="list" allowBlank="1" showErrorMessage="1" sqref="J73">
      <formula1>'5월'!$AB$73:$AI$73</formula1>
    </dataValidation>
    <dataValidation type="list" allowBlank="1" showErrorMessage="1" sqref="J451">
      <formula1>'5월'!$AB$451:$AI$451</formula1>
    </dataValidation>
    <dataValidation type="list" allowBlank="1" showErrorMessage="1" sqref="I62:I501">
      <formula1>'설정시트'!$C$7:$C$20</formula1>
    </dataValidation>
    <dataValidation type="list" allowBlank="1" showErrorMessage="1" sqref="J144">
      <formula1>'5월'!$AB$144:$AI$144</formula1>
    </dataValidation>
    <dataValidation type="list" allowBlank="1" showErrorMessage="1" sqref="J234">
      <formula1>'5월'!$AB$234:$AI$234</formula1>
    </dataValidation>
    <dataValidation type="list" allowBlank="1" showErrorMessage="1" sqref="J324">
      <formula1>'5월'!$AB$324:$AI$324</formula1>
    </dataValidation>
    <dataValidation type="list" allowBlank="1" showErrorMessage="1" sqref="J414">
      <formula1>'5월'!$AB$414:$AI$414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6.0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45809</v>
      </c>
      <c r="S9" s="117">
        <f t="shared" ref="S9:X9" si="1">R9 + 1</f>
        <v>45810</v>
      </c>
      <c r="T9" s="118">
        <f t="shared" si="1"/>
        <v>45811</v>
      </c>
      <c r="U9" s="118">
        <f t="shared" si="1"/>
        <v>45812</v>
      </c>
      <c r="V9" s="118">
        <f t="shared" si="1"/>
        <v>45813</v>
      </c>
      <c r="W9" s="118">
        <f t="shared" si="1"/>
        <v>45814</v>
      </c>
      <c r="X9" s="119">
        <f t="shared" si="1"/>
        <v>45815</v>
      </c>
      <c r="Y9" s="120"/>
      <c r="AB9" s="121" t="str">
        <f>$H$25</f>
        <v>🍪고정비</v>
      </c>
      <c r="AC9" s="122">
        <f>$K$31</f>
        <v>170500</v>
      </c>
      <c r="AD9" s="123">
        <f t="shared" ref="AD9:AD20" si="4">_xlfn.RANK.EQ(AC9,$AB$9:$AC$20,0) + ROW(AB1)/10000</f>
        <v>8.0001</v>
      </c>
      <c r="AE9" s="123">
        <f t="shared" ref="AE9:AE20" si="5">SMALL($AD$9:$AD$20, ROW(AB1))</f>
        <v>1.0009</v>
      </c>
      <c r="AF9" s="123" t="str">
        <f t="shared" ref="AF9:AF20" si="6">INDEX($AB$9:$AB$20,MATCH(AE9,$AD$9:$AD$20,0))</f>
        <v>🍪기타</v>
      </c>
      <c r="AG9" s="122">
        <f t="shared" ref="AG9:AG20" si="7">INDEX($AC$9:$AC$20,MATCH(AE9,$AD$9:$AD$20,0))</f>
        <v>710011</v>
      </c>
    </row>
    <row r="10">
      <c r="E10" s="114" t="s">
        <v>55</v>
      </c>
      <c r="F10" s="115">
        <f t="shared" si="2"/>
        <v>120000</v>
      </c>
      <c r="R10" s="124">
        <f t="shared" ref="R10:X10" si="3">SUMIFS($K$62:$K$500,$H$62:$H$500,R9,$I$62:$I$500,"&lt;&gt;수입",$I$62:$I$500,"&lt;&gt;저축")</f>
        <v>320065</v>
      </c>
      <c r="S10" s="125">
        <f t="shared" si="3"/>
        <v>398497</v>
      </c>
      <c r="T10" s="126">
        <f t="shared" si="3"/>
        <v>86600</v>
      </c>
      <c r="U10" s="126">
        <f t="shared" si="3"/>
        <v>0</v>
      </c>
      <c r="V10" s="126">
        <f t="shared" si="3"/>
        <v>1900</v>
      </c>
      <c r="W10" s="126">
        <f t="shared" si="3"/>
        <v>0</v>
      </c>
      <c r="X10" s="126">
        <f t="shared" si="3"/>
        <v>40200</v>
      </c>
      <c r="Y10" s="126">
        <f>SUM(R10:X10)</f>
        <v>847262</v>
      </c>
      <c r="AB10" s="121" t="str">
        <f>$H$33</f>
        <v>🐻고정비</v>
      </c>
      <c r="AC10" s="122">
        <f>$K$39</f>
        <v>394120</v>
      </c>
      <c r="AD10" s="123">
        <f t="shared" si="4"/>
        <v>4.0002</v>
      </c>
      <c r="AE10" s="123">
        <f t="shared" si="5"/>
        <v>2.0005</v>
      </c>
      <c r="AF10" s="123" t="str">
        <f t="shared" si="6"/>
        <v>🍪식비</v>
      </c>
      <c r="AG10" s="122">
        <f t="shared" si="7"/>
        <v>676367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45816</v>
      </c>
      <c r="S11" s="128">
        <f t="shared" si="8"/>
        <v>45817</v>
      </c>
      <c r="T11" s="117">
        <f t="shared" si="8"/>
        <v>45818</v>
      </c>
      <c r="U11" s="117">
        <f t="shared" si="8"/>
        <v>45819</v>
      </c>
      <c r="V11" s="118">
        <f t="shared" si="8"/>
        <v>45820</v>
      </c>
      <c r="W11" s="129">
        <f t="shared" si="8"/>
        <v>45821</v>
      </c>
      <c r="X11" s="130">
        <f t="shared" si="8"/>
        <v>45822</v>
      </c>
      <c r="Y11" s="131"/>
      <c r="AB11" s="121" t="str">
        <f>$H$41</f>
        <v>🍪생필품</v>
      </c>
      <c r="AC11" s="122">
        <f>$K$47</f>
        <v>38859</v>
      </c>
      <c r="AD11" s="123">
        <f t="shared" si="4"/>
        <v>12.0003</v>
      </c>
      <c r="AE11" s="123">
        <f t="shared" si="5"/>
        <v>3.0004</v>
      </c>
      <c r="AF11" s="123" t="str">
        <f t="shared" si="6"/>
        <v>🐻생필품</v>
      </c>
      <c r="AG11" s="122">
        <f t="shared" si="7"/>
        <v>440000</v>
      </c>
    </row>
    <row r="12">
      <c r="C12" s="132" t="s">
        <v>136</v>
      </c>
      <c r="D12" s="133">
        <f>F33</f>
        <v>8399150</v>
      </c>
      <c r="E12" s="114" t="s">
        <v>57</v>
      </c>
      <c r="F12" s="115">
        <f t="shared" si="2"/>
        <v>986772</v>
      </c>
      <c r="R12" s="134">
        <f t="shared" ref="R12:X12" si="9">SUMIFS($K$62:$K$500,$H$62:$H$500,R11,$I$62:$I$500,"&lt;&gt;수입",$I$62:$I$500,"&lt;&gt;저축")</f>
        <v>37000</v>
      </c>
      <c r="S12" s="135">
        <f t="shared" si="9"/>
        <v>221160</v>
      </c>
      <c r="T12" s="136">
        <f t="shared" si="9"/>
        <v>65390</v>
      </c>
      <c r="U12" s="136">
        <f t="shared" si="9"/>
        <v>56600</v>
      </c>
      <c r="V12" s="134">
        <f t="shared" si="9"/>
        <v>27800</v>
      </c>
      <c r="W12" s="137">
        <f t="shared" si="9"/>
        <v>47430</v>
      </c>
      <c r="X12" s="137">
        <f t="shared" si="9"/>
        <v>214720</v>
      </c>
      <c r="Y12" s="137">
        <f>SUM(R12:X12)</f>
        <v>670100</v>
      </c>
      <c r="AB12" s="121" t="str">
        <f>$H$49</f>
        <v>🐻생필품</v>
      </c>
      <c r="AC12" s="122">
        <f>$K$55</f>
        <v>440000</v>
      </c>
      <c r="AD12" s="123">
        <f t="shared" si="4"/>
        <v>3.0004</v>
      </c>
      <c r="AE12" s="123">
        <f t="shared" si="5"/>
        <v>4.0002</v>
      </c>
      <c r="AF12" s="123" t="str">
        <f t="shared" si="6"/>
        <v>🐻고정비</v>
      </c>
      <c r="AG12" s="122">
        <f t="shared" si="7"/>
        <v>394120</v>
      </c>
    </row>
    <row r="13">
      <c r="C13" s="46"/>
      <c r="D13" s="138"/>
      <c r="E13" s="114" t="s">
        <v>58</v>
      </c>
      <c r="F13" s="115">
        <f t="shared" si="2"/>
        <v>644007</v>
      </c>
      <c r="I13" s="94"/>
      <c r="J13" s="94"/>
      <c r="R13" s="127">
        <f t="shared" ref="R13:X13" si="10">R11+7</f>
        <v>45823</v>
      </c>
      <c r="S13" s="128">
        <f t="shared" si="10"/>
        <v>45824</v>
      </c>
      <c r="T13" s="117">
        <f t="shared" si="10"/>
        <v>45825</v>
      </c>
      <c r="U13" s="117">
        <f t="shared" si="10"/>
        <v>45826</v>
      </c>
      <c r="V13" s="118">
        <f t="shared" si="10"/>
        <v>45827</v>
      </c>
      <c r="W13" s="129">
        <f t="shared" si="10"/>
        <v>45828</v>
      </c>
      <c r="X13" s="130">
        <f t="shared" si="10"/>
        <v>45829</v>
      </c>
      <c r="Y13" s="131"/>
      <c r="AB13" s="121" t="str">
        <f>$M$25</f>
        <v>🍪식비</v>
      </c>
      <c r="AC13" s="122">
        <f>$P$31</f>
        <v>676367</v>
      </c>
      <c r="AD13" s="123">
        <f t="shared" si="4"/>
        <v>2.0005</v>
      </c>
      <c r="AE13" s="123">
        <f t="shared" si="5"/>
        <v>5.0006</v>
      </c>
      <c r="AF13" s="123" t="str">
        <f t="shared" si="6"/>
        <v>🐻식비</v>
      </c>
      <c r="AG13" s="122">
        <f t="shared" si="7"/>
        <v>381520</v>
      </c>
    </row>
    <row r="14">
      <c r="C14" s="132" t="s">
        <v>137</v>
      </c>
      <c r="D14" s="133">
        <f>SUM($K$31+$K$39+$K$47+$K$55+$P$31+$P$39+$P$47+$P$55+X31+X39+X47+X55)</f>
        <v>3789696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447829</v>
      </c>
      <c r="S14" s="135">
        <f t="shared" si="11"/>
        <v>0</v>
      </c>
      <c r="T14" s="136">
        <f t="shared" si="11"/>
        <v>295317</v>
      </c>
      <c r="U14" s="136">
        <f t="shared" si="11"/>
        <v>203550</v>
      </c>
      <c r="V14" s="134">
        <f t="shared" si="11"/>
        <v>42700</v>
      </c>
      <c r="W14" s="137">
        <f t="shared" si="11"/>
        <v>105446</v>
      </c>
      <c r="X14" s="137">
        <f t="shared" si="11"/>
        <v>187880</v>
      </c>
      <c r="Y14" s="137">
        <f>SUM(R14:X14)</f>
        <v>1282722</v>
      </c>
      <c r="AB14" s="121" t="str">
        <f>$M$33</f>
        <v>🐻식비</v>
      </c>
      <c r="AC14" s="122">
        <f>$P$39</f>
        <v>381520</v>
      </c>
      <c r="AD14" s="123">
        <f t="shared" si="4"/>
        <v>5.0006</v>
      </c>
      <c r="AE14" s="123">
        <f t="shared" si="5"/>
        <v>6.0008</v>
      </c>
      <c r="AF14" s="123" t="str">
        <f t="shared" si="6"/>
        <v>🐻여가비</v>
      </c>
      <c r="AG14" s="122">
        <f t="shared" si="7"/>
        <v>293577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45830</v>
      </c>
      <c r="S15" s="128">
        <f t="shared" si="12"/>
        <v>45831</v>
      </c>
      <c r="T15" s="117">
        <f t="shared" si="12"/>
        <v>45832</v>
      </c>
      <c r="U15" s="117">
        <f t="shared" si="12"/>
        <v>45833</v>
      </c>
      <c r="V15" s="118">
        <f t="shared" si="12"/>
        <v>45834</v>
      </c>
      <c r="W15" s="129">
        <f t="shared" si="12"/>
        <v>45835</v>
      </c>
      <c r="X15" s="130">
        <f t="shared" si="12"/>
        <v>45836</v>
      </c>
      <c r="Y15" s="131"/>
      <c r="AB15" s="121" t="str">
        <f>$M$41</f>
        <v>🍪여가비</v>
      </c>
      <c r="AC15" s="122">
        <f>$P$47</f>
        <v>141217</v>
      </c>
      <c r="AD15" s="123">
        <f t="shared" si="4"/>
        <v>10.0007</v>
      </c>
      <c r="AE15" s="123">
        <f t="shared" si="5"/>
        <v>7.0012</v>
      </c>
      <c r="AF15" s="123" t="str">
        <f t="shared" si="6"/>
        <v>🐻 이벤트성</v>
      </c>
      <c r="AG15" s="122">
        <f t="shared" si="7"/>
        <v>281400</v>
      </c>
    </row>
    <row r="16">
      <c r="C16" s="132" t="s">
        <v>138</v>
      </c>
      <c r="D16" s="133">
        <f>F43</f>
        <v>100000</v>
      </c>
      <c r="E16" s="114" t="s">
        <v>61</v>
      </c>
      <c r="F16" s="115">
        <f t="shared" si="2"/>
        <v>191790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0</v>
      </c>
      <c r="S16" s="135">
        <f t="shared" si="13"/>
        <v>51841</v>
      </c>
      <c r="T16" s="136">
        <f t="shared" si="13"/>
        <v>263370</v>
      </c>
      <c r="U16" s="136">
        <f t="shared" si="13"/>
        <v>101790</v>
      </c>
      <c r="V16" s="134">
        <f t="shared" si="13"/>
        <v>233510</v>
      </c>
      <c r="W16" s="137">
        <f t="shared" si="13"/>
        <v>54200</v>
      </c>
      <c r="X16" s="137">
        <f t="shared" si="13"/>
        <v>0</v>
      </c>
      <c r="Y16" s="137">
        <f>SUM(R16:X16)</f>
        <v>704711</v>
      </c>
      <c r="AB16" s="121" t="str">
        <f>$M$49</f>
        <v>🐻여가비</v>
      </c>
      <c r="AC16" s="122">
        <f>$P$55</f>
        <v>293577</v>
      </c>
      <c r="AD16" s="123">
        <f t="shared" si="4"/>
        <v>6.0008</v>
      </c>
      <c r="AE16" s="123">
        <f t="shared" si="5"/>
        <v>8.0001</v>
      </c>
      <c r="AF16" s="123" t="str">
        <f t="shared" si="6"/>
        <v>🍪고정비</v>
      </c>
      <c r="AG16" s="122">
        <f t="shared" si="7"/>
        <v>170500</v>
      </c>
    </row>
    <row r="17">
      <c r="C17" s="46"/>
      <c r="D17" s="138"/>
      <c r="E17" s="114" t="s">
        <v>62</v>
      </c>
      <c r="F17" s="115">
        <f t="shared" si="2"/>
        <v>214000</v>
      </c>
      <c r="H17" s="142"/>
      <c r="I17" s="143"/>
      <c r="J17" s="144"/>
      <c r="K17" s="145"/>
      <c r="R17" s="127">
        <f t="shared" ref="R17:X17" si="14">R15+7</f>
        <v>45837</v>
      </c>
      <c r="S17" s="128">
        <f t="shared" si="14"/>
        <v>45838</v>
      </c>
      <c r="T17" s="117">
        <f t="shared" si="14"/>
        <v>45839</v>
      </c>
      <c r="U17" s="117">
        <f t="shared" si="14"/>
        <v>45840</v>
      </c>
      <c r="V17" s="118">
        <f t="shared" si="14"/>
        <v>45841</v>
      </c>
      <c r="W17" s="129">
        <f t="shared" si="14"/>
        <v>45842</v>
      </c>
      <c r="X17" s="130">
        <f t="shared" si="14"/>
        <v>45843</v>
      </c>
      <c r="Y17" s="131"/>
      <c r="AB17" s="121" t="str">
        <f>$R$25</f>
        <v>🍪기타</v>
      </c>
      <c r="AC17" s="122">
        <f>$X$31</f>
        <v>710011</v>
      </c>
      <c r="AD17" s="123">
        <f t="shared" si="4"/>
        <v>1.0009</v>
      </c>
      <c r="AE17" s="123">
        <f t="shared" si="5"/>
        <v>9.0011</v>
      </c>
      <c r="AF17" s="123" t="str">
        <f t="shared" si="6"/>
        <v>🍪이벤트성</v>
      </c>
      <c r="AG17" s="122">
        <f t="shared" si="7"/>
        <v>164125</v>
      </c>
    </row>
    <row r="18">
      <c r="C18" s="146" t="s">
        <v>140</v>
      </c>
      <c r="D18" s="147">
        <f>D12-D14-D16</f>
        <v>4509454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292701</v>
      </c>
      <c r="S18" s="148">
        <f t="shared" si="15"/>
        <v>86900</v>
      </c>
      <c r="T18" s="149">
        <f t="shared" si="15"/>
        <v>0</v>
      </c>
      <c r="U18" s="149">
        <f t="shared" si="15"/>
        <v>0</v>
      </c>
      <c r="V18" s="126">
        <f t="shared" si="15"/>
        <v>0</v>
      </c>
      <c r="W18" s="150">
        <f t="shared" si="15"/>
        <v>0</v>
      </c>
      <c r="X18" s="150">
        <f t="shared" si="15"/>
        <v>0</v>
      </c>
      <c r="Y18" s="150">
        <f>SUM(R18:X18)</f>
        <v>379601</v>
      </c>
      <c r="AB18" s="121" t="str">
        <f>$R$33</f>
        <v>🐻기타</v>
      </c>
      <c r="AC18" s="122">
        <f>$X$39</f>
        <v>98000</v>
      </c>
      <c r="AD18" s="123">
        <f t="shared" si="4"/>
        <v>11.001</v>
      </c>
      <c r="AE18" s="123">
        <f t="shared" si="5"/>
        <v>10.0007</v>
      </c>
      <c r="AF18" s="123" t="str">
        <f t="shared" si="6"/>
        <v>🍪여가비</v>
      </c>
      <c r="AG18" s="122">
        <f t="shared" si="7"/>
        <v>141217</v>
      </c>
    </row>
    <row r="19">
      <c r="C19" s="151" t="s">
        <v>141</v>
      </c>
      <c r="D19" s="152">
        <f>(D16+D18)/D12</f>
        <v>0.5488000571</v>
      </c>
      <c r="E19" s="114" t="s">
        <v>64</v>
      </c>
      <c r="F19" s="115">
        <f t="shared" si="2"/>
        <v>1727827</v>
      </c>
      <c r="H19" s="142"/>
      <c r="I19" s="143"/>
      <c r="J19" s="144"/>
      <c r="K19" s="145"/>
      <c r="R19" s="153">
        <f t="shared" ref="R19:X19" si="16">R17+7</f>
        <v>45844</v>
      </c>
      <c r="S19" s="154">
        <f t="shared" si="16"/>
        <v>45845</v>
      </c>
      <c r="T19" s="155">
        <f t="shared" si="16"/>
        <v>45846</v>
      </c>
      <c r="U19" s="155">
        <f t="shared" si="16"/>
        <v>45847</v>
      </c>
      <c r="V19" s="156">
        <f t="shared" si="16"/>
        <v>45848</v>
      </c>
      <c r="W19" s="157">
        <f t="shared" si="16"/>
        <v>45849</v>
      </c>
      <c r="X19" s="158">
        <f t="shared" si="16"/>
        <v>45850</v>
      </c>
      <c r="Y19" s="159"/>
      <c r="AB19" s="121" t="str">
        <f>$R$41</f>
        <v>🍪이벤트성</v>
      </c>
      <c r="AC19" s="122">
        <f>$X$47</f>
        <v>164125</v>
      </c>
      <c r="AD19" s="123">
        <f t="shared" si="4"/>
        <v>9.0011</v>
      </c>
      <c r="AE19" s="123">
        <f t="shared" si="5"/>
        <v>11.001</v>
      </c>
      <c r="AF19" s="123" t="str">
        <f t="shared" si="6"/>
        <v>🐻기타</v>
      </c>
      <c r="AG19" s="122">
        <f t="shared" si="7"/>
        <v>98000</v>
      </c>
    </row>
    <row r="20">
      <c r="C20" s="160" t="s">
        <v>142</v>
      </c>
      <c r="D20" s="161">
        <f>D18/D12</f>
        <v>0.5368940905</v>
      </c>
      <c r="E20" s="162" t="s">
        <v>65</v>
      </c>
      <c r="F20" s="163">
        <f>SUM($F$9:$F$19)</f>
        <v>3884396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281400</v>
      </c>
      <c r="AD20" s="123">
        <f t="shared" si="4"/>
        <v>7.0012</v>
      </c>
      <c r="AE20" s="123">
        <f t="shared" si="5"/>
        <v>12.0003</v>
      </c>
      <c r="AF20" s="123" t="str">
        <f t="shared" si="6"/>
        <v>🍪생필품</v>
      </c>
      <c r="AG20" s="122">
        <f t="shared" si="7"/>
        <v>38859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3304700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285056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9400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0</v>
      </c>
      <c r="M26" s="45"/>
      <c r="N26" s="41" t="s">
        <v>28</v>
      </c>
      <c r="O26" s="179"/>
      <c r="P26" s="115">
        <f t="shared" si="20"/>
        <v>106300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538510</v>
      </c>
      <c r="Y26" s="145"/>
    </row>
    <row r="27">
      <c r="C27" s="45"/>
      <c r="D27" s="41" t="s">
        <v>6</v>
      </c>
      <c r="E27" s="179"/>
      <c r="F27" s="115">
        <f t="shared" si="18"/>
        <v>4399920</v>
      </c>
      <c r="H27" s="45"/>
      <c r="I27" s="41" t="s">
        <v>17</v>
      </c>
      <c r="J27" s="179"/>
      <c r="K27" s="115">
        <f t="shared" si="19"/>
        <v>0</v>
      </c>
      <c r="M27" s="45"/>
      <c r="N27" s="41" t="s">
        <v>29</v>
      </c>
      <c r="O27" s="179"/>
      <c r="P27" s="115">
        <f t="shared" si="20"/>
        <v>54980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24741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70500</v>
      </c>
      <c r="M28" s="45"/>
      <c r="N28" s="41" t="s">
        <v>30</v>
      </c>
      <c r="O28" s="179"/>
      <c r="P28" s="115">
        <f t="shared" si="20"/>
        <v>230031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137360</v>
      </c>
      <c r="Y28" s="145"/>
    </row>
    <row r="29">
      <c r="C29" s="45"/>
      <c r="D29" s="41" t="s">
        <v>8</v>
      </c>
      <c r="E29" s="179"/>
      <c r="F29" s="115">
        <f t="shared" si="18"/>
        <v>694530</v>
      </c>
      <c r="H29" s="45"/>
      <c r="I29" s="41" t="s">
        <v>19</v>
      </c>
      <c r="J29" s="179"/>
      <c r="K29" s="115">
        <f t="shared" si="19"/>
        <v>100000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170500</v>
      </c>
      <c r="M31" s="187" t="str">
        <f>IF(M25=0,"","총"&amp;M25)</f>
        <v>총🍪식비</v>
      </c>
      <c r="N31" s="188"/>
      <c r="O31" s="175"/>
      <c r="P31" s="189">
        <f>SUM(P25:P30)</f>
        <v>676367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710011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170500</v>
      </c>
      <c r="M32" s="184"/>
      <c r="N32" s="191"/>
      <c r="O32" s="185"/>
      <c r="P32" s="193">
        <f>P31-O25</f>
        <v>676367</v>
      </c>
      <c r="R32" s="184"/>
      <c r="S32" s="191"/>
      <c r="T32" s="191"/>
      <c r="U32" s="191"/>
      <c r="V32" s="191"/>
      <c r="W32" s="185"/>
      <c r="X32" s="194">
        <f>X31-V25</f>
        <v>710011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8399150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253970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242220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0</v>
      </c>
      <c r="Y33" s="145"/>
    </row>
    <row r="34">
      <c r="C34" s="184"/>
      <c r="D34" s="191"/>
      <c r="E34" s="185"/>
      <c r="F34" s="195">
        <f>F33-E25</f>
        <v>8399150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70150</v>
      </c>
      <c r="M35" s="45"/>
      <c r="N35" s="41" t="s">
        <v>29</v>
      </c>
      <c r="O35" s="179"/>
      <c r="P35" s="115">
        <f t="shared" si="23"/>
        <v>26300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0</v>
      </c>
      <c r="M36" s="45"/>
      <c r="N36" s="41" t="s">
        <v>30</v>
      </c>
      <c r="O36" s="179"/>
      <c r="P36" s="115">
        <f t="shared" si="23"/>
        <v>111000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70000</v>
      </c>
      <c r="M37" s="45"/>
      <c r="N37" s="41" t="s">
        <v>8</v>
      </c>
      <c r="O37" s="179"/>
      <c r="P37" s="115">
        <f t="shared" si="23"/>
        <v>2000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98000</v>
      </c>
      <c r="Y37" s="145"/>
    </row>
    <row r="38">
      <c r="C38" s="45"/>
      <c r="D38" s="41" t="s">
        <v>13</v>
      </c>
      <c r="E38" s="179"/>
      <c r="F38" s="115">
        <f t="shared" si="25"/>
        <v>100000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394120</v>
      </c>
      <c r="M39" s="187" t="str">
        <f>IF(M33=0,"","총"&amp;M33)</f>
        <v>총🐻식비</v>
      </c>
      <c r="N39" s="188"/>
      <c r="O39" s="175"/>
      <c r="P39" s="189">
        <f>SUM(P33:P38)</f>
        <v>381520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98000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394120</v>
      </c>
      <c r="M40" s="184"/>
      <c r="N40" s="191"/>
      <c r="O40" s="185"/>
      <c r="P40" s="193">
        <f>P39-O33</f>
        <v>381520</v>
      </c>
      <c r="R40" s="184"/>
      <c r="S40" s="191"/>
      <c r="T40" s="191"/>
      <c r="U40" s="191"/>
      <c r="V40" s="191"/>
      <c r="W40" s="185"/>
      <c r="X40" s="194">
        <f>X39-V33</f>
        <v>98000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7829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8900</v>
      </c>
      <c r="M42" s="45"/>
      <c r="N42" s="41" t="s">
        <v>34</v>
      </c>
      <c r="O42" s="179"/>
      <c r="P42" s="115">
        <f t="shared" si="27"/>
        <v>1900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100000</v>
      </c>
      <c r="H43" s="45"/>
      <c r="I43" s="41" t="s">
        <v>8</v>
      </c>
      <c r="J43" s="179"/>
      <c r="K43" s="115">
        <f t="shared" si="26"/>
        <v>22130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100000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31175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139317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132950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38859</v>
      </c>
      <c r="M47" s="187" t="str">
        <f>IF(M41=0,"","총"&amp;M41)</f>
        <v>총🍪여가비</v>
      </c>
      <c r="N47" s="188"/>
      <c r="O47" s="175"/>
      <c r="P47" s="189">
        <f>SUM(P41:P46)</f>
        <v>141217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164125</v>
      </c>
      <c r="Y47" s="145"/>
    </row>
    <row r="48">
      <c r="H48" s="184"/>
      <c r="I48" s="191"/>
      <c r="J48" s="185"/>
      <c r="K48" s="193">
        <f>K47-J41</f>
        <v>38859</v>
      </c>
      <c r="M48" s="184"/>
      <c r="N48" s="191"/>
      <c r="O48" s="185"/>
      <c r="P48" s="193">
        <f>P47-O41</f>
        <v>141217</v>
      </c>
      <c r="R48" s="184"/>
      <c r="S48" s="191"/>
      <c r="T48" s="191"/>
      <c r="U48" s="191"/>
      <c r="V48" s="191"/>
      <c r="W48" s="185"/>
      <c r="X48" s="194">
        <f>X47-V41</f>
        <v>164125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440000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0</v>
      </c>
      <c r="Y49" s="145"/>
    </row>
    <row r="50">
      <c r="H50" s="45"/>
      <c r="I50" s="41" t="s">
        <v>24</v>
      </c>
      <c r="J50" s="179"/>
      <c r="K50" s="115">
        <f t="shared" si="29"/>
        <v>0</v>
      </c>
      <c r="M50" s="45"/>
      <c r="N50" s="41" t="s">
        <v>34</v>
      </c>
      <c r="O50" s="179"/>
      <c r="P50" s="115">
        <f t="shared" si="30"/>
        <v>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29000</v>
      </c>
      <c r="Y50" s="145"/>
    </row>
    <row r="51">
      <c r="H51" s="45"/>
      <c r="I51" s="41" t="s">
        <v>8</v>
      </c>
      <c r="J51" s="179"/>
      <c r="K51" s="115">
        <f t="shared" si="29"/>
        <v>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263577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242400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30000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10000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440000</v>
      </c>
      <c r="M55" s="187" t="str">
        <f>IF(M49=0,"","총"&amp;M49)</f>
        <v>총🐻여가비</v>
      </c>
      <c r="N55" s="188"/>
      <c r="O55" s="175"/>
      <c r="P55" s="189">
        <f>SUM(P49:P54)</f>
        <v>293577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281400</v>
      </c>
      <c r="Y55" s="145"/>
    </row>
    <row r="56">
      <c r="H56" s="196"/>
      <c r="I56" s="197"/>
      <c r="J56" s="198"/>
      <c r="K56" s="200">
        <f>K55-J49</f>
        <v>440000</v>
      </c>
      <c r="M56" s="196"/>
      <c r="N56" s="197"/>
      <c r="O56" s="198"/>
      <c r="P56" s="200">
        <f>P55-O49</f>
        <v>293577</v>
      </c>
      <c r="R56" s="196"/>
      <c r="S56" s="197"/>
      <c r="T56" s="197"/>
      <c r="U56" s="197"/>
      <c r="V56" s="197"/>
      <c r="W56" s="198"/>
      <c r="X56" s="201">
        <f>X55-V49</f>
        <v>281400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-3789696</v>
      </c>
      <c r="Y61" s="8"/>
    </row>
    <row r="62">
      <c r="H62" s="208">
        <v>45809.0</v>
      </c>
      <c r="I62" s="209" t="s">
        <v>31</v>
      </c>
      <c r="J62" s="209" t="s">
        <v>30</v>
      </c>
      <c r="K62" s="210">
        <v>37000.0</v>
      </c>
      <c r="L62" s="211" t="s">
        <v>64</v>
      </c>
      <c r="M62" s="143"/>
      <c r="N62" s="211" t="s">
        <v>624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IFERROR(__xludf.DUMMYFUNCTION("FILTER('설정시트'!$D$7:$L$20,'설정시트'!$C$7:$C$20=I62)"),"식재료비")</f>
        <v>식재료비</v>
      </c>
      <c r="AC62" s="214" t="str">
        <f>IFERROR(__xludf.DUMMYFUNCTION("""COMPUTED_VALUE"""),"회사점심")</f>
        <v>회사점심</v>
      </c>
      <c r="AD62" s="214" t="str">
        <f>IFERROR(__xludf.DUMMYFUNCTION("""COMPUTED_VALUE"""),"간식/카페")</f>
        <v>간식/카페</v>
      </c>
      <c r="AE62" s="214" t="str">
        <f>IFERROR(__xludf.DUMMYFUNCTION("""COMPUTED_VALUE"""),"외식/배달")</f>
        <v>외식/배달</v>
      </c>
      <c r="AF62" s="214" t="str">
        <f>IFERROR(__xludf.DUMMYFUNCTION("""COMPUTED_VALUE"""),"기타")</f>
        <v>기타</v>
      </c>
      <c r="AG62" s="214"/>
      <c r="AH62" s="214"/>
      <c r="AI62" s="214"/>
      <c r="AJ62" s="215"/>
    </row>
    <row r="63">
      <c r="H63" s="208">
        <v>45809.0</v>
      </c>
      <c r="I63" s="209" t="s">
        <v>52</v>
      </c>
      <c r="J63" s="209" t="s">
        <v>50</v>
      </c>
      <c r="K63" s="210">
        <v>31800.0</v>
      </c>
      <c r="L63" s="211" t="s">
        <v>64</v>
      </c>
      <c r="M63" s="143"/>
      <c r="N63" s="211" t="s">
        <v>625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IFERROR(__xludf.DUMMYFUNCTION("FILTER('설정시트'!$D$7:$L$20,'설정시트'!$C$7:$C$20=I63)"),"축의/부의금")</f>
        <v>축의/부의금</v>
      </c>
      <c r="AC63" s="214" t="str">
        <f>IFERROR(__xludf.DUMMYFUNCTION("""COMPUTED_VALUE"""),"생신/생일선물")</f>
        <v>생신/생일선물</v>
      </c>
      <c r="AD63" s="214" t="str">
        <f>IFERROR(__xludf.DUMMYFUNCTION("""COMPUTED_VALUE"""),"명절/어버이날")</f>
        <v>명절/어버이날</v>
      </c>
      <c r="AE63" s="214" t="str">
        <f>IFERROR(__xludf.DUMMYFUNCTION("""COMPUTED_VALUE"""),"여행")</f>
        <v>여행</v>
      </c>
      <c r="AF63" s="214" t="str">
        <f>IFERROR(__xludf.DUMMYFUNCTION("""COMPUTED_VALUE"""),"기타")</f>
        <v>기타</v>
      </c>
      <c r="AG63" s="214" t="str">
        <f>IFERROR(__xludf.DUMMYFUNCTION("""COMPUTED_VALUE"""),"출산")</f>
        <v>출산</v>
      </c>
      <c r="AH63" s="214"/>
      <c r="AI63" s="214"/>
      <c r="AJ63" s="215"/>
    </row>
    <row r="64">
      <c r="H64" s="208">
        <v>45809.0</v>
      </c>
      <c r="I64" s="209" t="s">
        <v>26</v>
      </c>
      <c r="J64" s="209" t="s">
        <v>27</v>
      </c>
      <c r="K64" s="210">
        <v>174490.0</v>
      </c>
      <c r="L64" s="211" t="s">
        <v>57</v>
      </c>
      <c r="M64" s="143"/>
      <c r="N64" s="211" t="s">
        <v>626</v>
      </c>
      <c r="O64" s="212"/>
      <c r="P64" s="212"/>
      <c r="Q64" s="143"/>
      <c r="R64" s="211"/>
      <c r="S64" s="212"/>
      <c r="T64" s="145"/>
      <c r="AB64" s="214" t="str">
        <f>IFERROR(__xludf.DUMMYFUNCTION("FILTER('설정시트'!$D$7:$L$20,'설정시트'!$C$7:$C$20=I64)"),"식재료비")</f>
        <v>식재료비</v>
      </c>
      <c r="AC64" s="214" t="str">
        <f>IFERROR(__xludf.DUMMYFUNCTION("""COMPUTED_VALUE"""),"회사점심")</f>
        <v>회사점심</v>
      </c>
      <c r="AD64" s="214" t="str">
        <f>IFERROR(__xludf.DUMMYFUNCTION("""COMPUTED_VALUE"""),"간식/카페")</f>
        <v>간식/카페</v>
      </c>
      <c r="AE64" s="214" t="str">
        <f>IFERROR(__xludf.DUMMYFUNCTION("""COMPUTED_VALUE"""),"외식/배달")</f>
        <v>외식/배달</v>
      </c>
      <c r="AF64" s="214" t="str">
        <f>IFERROR(__xludf.DUMMYFUNCTION("""COMPUTED_VALUE"""),"기타")</f>
        <v>기타</v>
      </c>
      <c r="AG64" s="214"/>
      <c r="AH64" s="214"/>
      <c r="AI64" s="214"/>
      <c r="AJ64" s="215"/>
    </row>
    <row r="65">
      <c r="H65" s="208">
        <v>45809.0</v>
      </c>
      <c r="I65" s="209" t="s">
        <v>46</v>
      </c>
      <c r="J65" s="209" t="s">
        <v>50</v>
      </c>
      <c r="K65" s="210">
        <v>27675.0</v>
      </c>
      <c r="L65" s="211" t="s">
        <v>57</v>
      </c>
      <c r="M65" s="143"/>
      <c r="N65" s="211" t="s">
        <v>627</v>
      </c>
      <c r="O65" s="212"/>
      <c r="P65" s="212"/>
      <c r="Q65" s="143"/>
      <c r="R65" s="211"/>
      <c r="S65" s="212"/>
      <c r="T65" s="145"/>
      <c r="AB65" s="214" t="str">
        <f>IFERROR(__xludf.DUMMYFUNCTION("FILTER('설정시트'!$D$7:$L$20,'설정시트'!$C$7:$C$20=I65)"),"축의/부의금")</f>
        <v>축의/부의금</v>
      </c>
      <c r="AC65" s="214" t="str">
        <f>IFERROR(__xludf.DUMMYFUNCTION("""COMPUTED_VALUE"""),"생신/생일선물")</f>
        <v>생신/생일선물</v>
      </c>
      <c r="AD65" s="214" t="str">
        <f>IFERROR(__xludf.DUMMYFUNCTION("""COMPUTED_VALUE"""),"명절/어버이날")</f>
        <v>명절/어버이날</v>
      </c>
      <c r="AE65" s="214" t="str">
        <f>IFERROR(__xludf.DUMMYFUNCTION("""COMPUTED_VALUE"""),"여행")</f>
        <v>여행</v>
      </c>
      <c r="AF65" s="214" t="str">
        <f>IFERROR(__xludf.DUMMYFUNCTION("""COMPUTED_VALUE"""),"기타")</f>
        <v>기타</v>
      </c>
      <c r="AG65" s="214" t="str">
        <f>IFERROR(__xludf.DUMMYFUNCTION("""COMPUTED_VALUE"""),"출산")</f>
        <v>출산</v>
      </c>
      <c r="AH65" s="214"/>
      <c r="AI65" s="214"/>
      <c r="AJ65" s="215"/>
    </row>
    <row r="66">
      <c r="H66" s="208">
        <v>45809.0</v>
      </c>
      <c r="I66" s="209" t="s">
        <v>26</v>
      </c>
      <c r="J66" s="209" t="s">
        <v>30</v>
      </c>
      <c r="K66" s="210">
        <v>23000.0</v>
      </c>
      <c r="L66" s="211" t="s">
        <v>57</v>
      </c>
      <c r="M66" s="143"/>
      <c r="N66" s="211" t="s">
        <v>152</v>
      </c>
      <c r="O66" s="212"/>
      <c r="P66" s="212"/>
      <c r="Q66" s="143"/>
      <c r="R66" s="211"/>
      <c r="S66" s="212"/>
      <c r="T66" s="145"/>
      <c r="AB66" s="214" t="str">
        <f>IFERROR(__xludf.DUMMYFUNCTION("FILTER('설정시트'!$D$7:$L$20,'설정시트'!$C$7:$C$20=I66)"),"식재료비")</f>
        <v>식재료비</v>
      </c>
      <c r="AC66" s="214" t="str">
        <f>IFERROR(__xludf.DUMMYFUNCTION("""COMPUTED_VALUE"""),"회사점심")</f>
        <v>회사점심</v>
      </c>
      <c r="AD66" s="214" t="str">
        <f>IFERROR(__xludf.DUMMYFUNCTION("""COMPUTED_VALUE"""),"간식/카페")</f>
        <v>간식/카페</v>
      </c>
      <c r="AE66" s="214" t="str">
        <f>IFERROR(__xludf.DUMMYFUNCTION("""COMPUTED_VALUE"""),"외식/배달")</f>
        <v>외식/배달</v>
      </c>
      <c r="AF66" s="214" t="str">
        <f>IFERROR(__xludf.DUMMYFUNCTION("""COMPUTED_VALUE"""),"기타")</f>
        <v>기타</v>
      </c>
      <c r="AG66" s="214"/>
      <c r="AH66" s="214"/>
      <c r="AI66" s="214"/>
      <c r="AJ66" s="215"/>
    </row>
    <row r="67">
      <c r="H67" s="208">
        <v>45809.0</v>
      </c>
      <c r="I67" s="209" t="s">
        <v>39</v>
      </c>
      <c r="J67" s="209" t="s">
        <v>40</v>
      </c>
      <c r="K67" s="210">
        <v>9400.0</v>
      </c>
      <c r="L67" s="211" t="s">
        <v>57</v>
      </c>
      <c r="M67" s="143"/>
      <c r="N67" s="211" t="s">
        <v>628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IFERROR(__xludf.DUMMYFUNCTION("FILTER('설정시트'!$D$7:$L$20,'설정시트'!$C$7:$C$20=I67)"),"약국")</f>
        <v>약국</v>
      </c>
      <c r="AC67" s="214" t="str">
        <f>IFERROR(__xludf.DUMMYFUNCTION("""COMPUTED_VALUE"""),"병원비")</f>
        <v>병원비</v>
      </c>
      <c r="AD67" s="214" t="str">
        <f>IFERROR(__xludf.DUMMYFUNCTION("""COMPUTED_VALUE"""),"영양제")</f>
        <v>영양제</v>
      </c>
      <c r="AE67" s="214" t="str">
        <f>IFERROR(__xludf.DUMMYFUNCTION("""COMPUTED_VALUE"""),"교통비")</f>
        <v>교통비</v>
      </c>
      <c r="AF67" s="214" t="str">
        <f>IFERROR(__xludf.DUMMYFUNCTION("""COMPUTED_VALUE"""),"주유비")</f>
        <v>주유비</v>
      </c>
      <c r="AG67" s="214"/>
      <c r="AH67" s="214" t="str">
        <f>IFERROR(__xludf.DUMMYFUNCTION("""COMPUTED_VALUE"""),"기타")</f>
        <v>기타</v>
      </c>
      <c r="AI67" s="214"/>
      <c r="AJ67" s="215"/>
    </row>
    <row r="68">
      <c r="H68" s="208">
        <v>45809.0</v>
      </c>
      <c r="I68" s="209" t="s">
        <v>39</v>
      </c>
      <c r="J68" s="209" t="s">
        <v>43</v>
      </c>
      <c r="K68" s="210">
        <f>2800+5900</f>
        <v>8700</v>
      </c>
      <c r="L68" s="211" t="s">
        <v>57</v>
      </c>
      <c r="M68" s="143"/>
      <c r="N68" s="211" t="s">
        <v>629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IFERROR(__xludf.DUMMYFUNCTION("FILTER('설정시트'!$D$7:$L$20,'설정시트'!$C$7:$C$20=I68)"),"약국")</f>
        <v>약국</v>
      </c>
      <c r="AC68" s="214" t="str">
        <f>IFERROR(__xludf.DUMMYFUNCTION("""COMPUTED_VALUE"""),"병원비")</f>
        <v>병원비</v>
      </c>
      <c r="AD68" s="214" t="str">
        <f>IFERROR(__xludf.DUMMYFUNCTION("""COMPUTED_VALUE"""),"영양제")</f>
        <v>영양제</v>
      </c>
      <c r="AE68" s="214" t="str">
        <f>IFERROR(__xludf.DUMMYFUNCTION("""COMPUTED_VALUE"""),"교통비")</f>
        <v>교통비</v>
      </c>
      <c r="AF68" s="214" t="str">
        <f>IFERROR(__xludf.DUMMYFUNCTION("""COMPUTED_VALUE"""),"주유비")</f>
        <v>주유비</v>
      </c>
      <c r="AG68" s="214"/>
      <c r="AH68" s="214" t="str">
        <f>IFERROR(__xludf.DUMMYFUNCTION("""COMPUTED_VALUE"""),"기타")</f>
        <v>기타</v>
      </c>
      <c r="AI68" s="214"/>
      <c r="AJ68" s="215"/>
    </row>
    <row r="69">
      <c r="H69" s="208">
        <v>45809.0</v>
      </c>
      <c r="I69" s="217" t="s">
        <v>46</v>
      </c>
      <c r="J69" s="217" t="s">
        <v>50</v>
      </c>
      <c r="K69" s="218">
        <v>3500.0</v>
      </c>
      <c r="L69" s="211" t="s">
        <v>58</v>
      </c>
      <c r="M69" s="143"/>
      <c r="N69" s="211" t="s">
        <v>630</v>
      </c>
      <c r="O69" s="212"/>
      <c r="P69" s="212"/>
      <c r="Q69" s="143"/>
      <c r="R69" s="211"/>
      <c r="S69" s="212"/>
      <c r="T69" s="145"/>
      <c r="AB69" s="214" t="str">
        <f>IFERROR(__xludf.DUMMYFUNCTION("FILTER('설정시트'!$D$7:$L$20,'설정시트'!$C$7:$C$20=I69)"),"축의/부의금")</f>
        <v>축의/부의금</v>
      </c>
      <c r="AC69" s="214" t="str">
        <f>IFERROR(__xludf.DUMMYFUNCTION("""COMPUTED_VALUE"""),"생신/생일선물")</f>
        <v>생신/생일선물</v>
      </c>
      <c r="AD69" s="214" t="str">
        <f>IFERROR(__xludf.DUMMYFUNCTION("""COMPUTED_VALUE"""),"명절/어버이날")</f>
        <v>명절/어버이날</v>
      </c>
      <c r="AE69" s="214" t="str">
        <f>IFERROR(__xludf.DUMMYFUNCTION("""COMPUTED_VALUE"""),"여행")</f>
        <v>여행</v>
      </c>
      <c r="AF69" s="214" t="str">
        <f>IFERROR(__xludf.DUMMYFUNCTION("""COMPUTED_VALUE"""),"기타")</f>
        <v>기타</v>
      </c>
      <c r="AG69" s="214" t="str">
        <f>IFERROR(__xludf.DUMMYFUNCTION("""COMPUTED_VALUE"""),"출산")</f>
        <v>출산</v>
      </c>
      <c r="AH69" s="214"/>
      <c r="AI69" s="214"/>
      <c r="AJ69" s="215"/>
    </row>
    <row r="70">
      <c r="H70" s="208">
        <v>45809.0</v>
      </c>
      <c r="I70" s="217" t="s">
        <v>26</v>
      </c>
      <c r="J70" s="217" t="s">
        <v>29</v>
      </c>
      <c r="K70" s="218">
        <v>4500.0</v>
      </c>
      <c r="L70" s="211" t="s">
        <v>58</v>
      </c>
      <c r="M70" s="143"/>
      <c r="N70" s="211" t="s">
        <v>159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IFERROR(__xludf.DUMMYFUNCTION("FILTER('설정시트'!$D$7:$L$20,'설정시트'!$C$7:$C$20=I70)"),"식재료비")</f>
        <v>식재료비</v>
      </c>
      <c r="AC70" s="214" t="str">
        <f>IFERROR(__xludf.DUMMYFUNCTION("""COMPUTED_VALUE"""),"회사점심")</f>
        <v>회사점심</v>
      </c>
      <c r="AD70" s="214" t="str">
        <f>IFERROR(__xludf.DUMMYFUNCTION("""COMPUTED_VALUE"""),"간식/카페")</f>
        <v>간식/카페</v>
      </c>
      <c r="AE70" s="214" t="str">
        <f>IFERROR(__xludf.DUMMYFUNCTION("""COMPUTED_VALUE"""),"외식/배달")</f>
        <v>외식/배달</v>
      </c>
      <c r="AF70" s="214" t="str">
        <f>IFERROR(__xludf.DUMMYFUNCTION("""COMPUTED_VALUE"""),"기타")</f>
        <v>기타</v>
      </c>
      <c r="AG70" s="214"/>
      <c r="AH70" s="214"/>
      <c r="AI70" s="214"/>
      <c r="AJ70" s="215"/>
    </row>
    <row r="71">
      <c r="H71" s="208">
        <v>45809.0</v>
      </c>
      <c r="I71" s="217" t="s">
        <v>3</v>
      </c>
      <c r="J71" s="217" t="s">
        <v>8</v>
      </c>
      <c r="K71" s="218">
        <v>150000.0</v>
      </c>
      <c r="L71" s="213"/>
      <c r="M71" s="143"/>
      <c r="N71" s="211" t="s">
        <v>308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IFERROR(__xludf.DUMMYFUNCTION("FILTER('설정시트'!$D$7:$L$20,'설정시트'!$C$7:$C$20=I71)"),"🍪 월급")</f>
        <v>🍪 월급</v>
      </c>
      <c r="AC71" s="214" t="str">
        <f>IFERROR(__xludf.DUMMYFUNCTION("""COMPUTED_VALUE"""),"🍪 부수입")</f>
        <v>🍪 부수입</v>
      </c>
      <c r="AD71" s="214" t="str">
        <f>IFERROR(__xludf.DUMMYFUNCTION("""COMPUTED_VALUE"""),"🐻 월급")</f>
        <v>🐻 월급</v>
      </c>
      <c r="AE71" s="214" t="str">
        <f>IFERROR(__xludf.DUMMYFUNCTION("""COMPUTED_VALUE"""),"🐻 부수입")</f>
        <v>🐻 부수입</v>
      </c>
      <c r="AF71" s="214" t="str">
        <f>IFERROR(__xludf.DUMMYFUNCTION("""COMPUTED_VALUE"""),"기타")</f>
        <v>기타</v>
      </c>
      <c r="AG71" s="214"/>
      <c r="AH71" s="214"/>
      <c r="AI71" s="214"/>
      <c r="AJ71" s="215"/>
    </row>
    <row r="72">
      <c r="H72" s="208">
        <v>45810.0</v>
      </c>
      <c r="I72" s="209" t="s">
        <v>32</v>
      </c>
      <c r="J72" s="209" t="s">
        <v>37</v>
      </c>
      <c r="K72" s="210">
        <v>139317.0</v>
      </c>
      <c r="L72" s="211" t="s">
        <v>57</v>
      </c>
      <c r="M72" s="143"/>
      <c r="N72" s="211" t="s">
        <v>631</v>
      </c>
      <c r="O72" s="212"/>
      <c r="P72" s="212"/>
      <c r="Q72" s="143"/>
      <c r="R72" s="211"/>
      <c r="S72" s="212"/>
      <c r="T72" s="145"/>
      <c r="AB72" s="214" t="str">
        <f>IFERROR(__xludf.DUMMYFUNCTION("FILTER('설정시트'!$D$7:$L$20,'설정시트'!$C$7:$C$20=I72)"),"의류/잡화")</f>
        <v>의류/잡화</v>
      </c>
      <c r="AC72" s="214" t="str">
        <f>IFERROR(__xludf.DUMMYFUNCTION("""COMPUTED_VALUE"""),"OTT")</f>
        <v>OTT</v>
      </c>
      <c r="AD72" s="214" t="str">
        <f>IFERROR(__xludf.DUMMYFUNCTION("""COMPUTED_VALUE"""),"문화생활")</f>
        <v>문화생활</v>
      </c>
      <c r="AE72" s="214" t="str">
        <f>IFERROR(__xludf.DUMMYFUNCTION("""COMPUTED_VALUE"""),"자기계발")</f>
        <v>자기계발</v>
      </c>
      <c r="AF72" s="214" t="str">
        <f>IFERROR(__xludf.DUMMYFUNCTION("""COMPUTED_VALUE"""),"미용")</f>
        <v>미용</v>
      </c>
      <c r="AG72" s="214"/>
      <c r="AH72" s="214" t="str">
        <f>IFERROR(__xludf.DUMMYFUNCTION("""COMPUTED_VALUE"""),"기타")</f>
        <v>기타</v>
      </c>
      <c r="AI72" s="214"/>
      <c r="AJ72" s="215"/>
    </row>
    <row r="73">
      <c r="H73" s="208">
        <v>45810.0</v>
      </c>
      <c r="I73" s="209" t="s">
        <v>26</v>
      </c>
      <c r="J73" s="209" t="s">
        <v>29</v>
      </c>
      <c r="K73" s="210">
        <v>13580.0</v>
      </c>
      <c r="L73" s="211" t="s">
        <v>57</v>
      </c>
      <c r="M73" s="143"/>
      <c r="N73" s="211" t="s">
        <v>632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IFERROR(__xludf.DUMMYFUNCTION("FILTER('설정시트'!$D$7:$L$20,'설정시트'!$C$7:$C$20=I73)"),"식재료비")</f>
        <v>식재료비</v>
      </c>
      <c r="AC73" s="214" t="str">
        <f>IFERROR(__xludf.DUMMYFUNCTION("""COMPUTED_VALUE"""),"회사점심")</f>
        <v>회사점심</v>
      </c>
      <c r="AD73" s="214" t="str">
        <f>IFERROR(__xludf.DUMMYFUNCTION("""COMPUTED_VALUE"""),"간식/카페")</f>
        <v>간식/카페</v>
      </c>
      <c r="AE73" s="214" t="str">
        <f>IFERROR(__xludf.DUMMYFUNCTION("""COMPUTED_VALUE"""),"외식/배달")</f>
        <v>외식/배달</v>
      </c>
      <c r="AF73" s="214" t="str">
        <f>IFERROR(__xludf.DUMMYFUNCTION("""COMPUTED_VALUE"""),"기타")</f>
        <v>기타</v>
      </c>
      <c r="AG73" s="214"/>
      <c r="AH73" s="214"/>
      <c r="AI73" s="214"/>
      <c r="AJ73" s="215"/>
    </row>
    <row r="74">
      <c r="H74" s="208">
        <v>45810.0</v>
      </c>
      <c r="I74" s="209" t="s">
        <v>46</v>
      </c>
      <c r="J74" s="209" t="s">
        <v>8</v>
      </c>
      <c r="K74" s="210">
        <v>29400.0</v>
      </c>
      <c r="L74" s="211" t="s">
        <v>57</v>
      </c>
      <c r="M74" s="143"/>
      <c r="N74" s="211" t="s">
        <v>633</v>
      </c>
      <c r="O74" s="212"/>
      <c r="P74" s="212"/>
      <c r="Q74" s="143"/>
      <c r="R74" s="211"/>
      <c r="S74" s="212"/>
      <c r="T74" s="145"/>
      <c r="AB74" s="214" t="str">
        <f>IFERROR(__xludf.DUMMYFUNCTION("FILTER('설정시트'!$D$7:$L$20,'설정시트'!$C$7:$C$20=I74)"),"축의/부의금")</f>
        <v>축의/부의금</v>
      </c>
      <c r="AC74" s="214" t="str">
        <f>IFERROR(__xludf.DUMMYFUNCTION("""COMPUTED_VALUE"""),"생신/생일선물")</f>
        <v>생신/생일선물</v>
      </c>
      <c r="AD74" s="214" t="str">
        <f>IFERROR(__xludf.DUMMYFUNCTION("""COMPUTED_VALUE"""),"명절/어버이날")</f>
        <v>명절/어버이날</v>
      </c>
      <c r="AE74" s="214" t="str">
        <f>IFERROR(__xludf.DUMMYFUNCTION("""COMPUTED_VALUE"""),"여행")</f>
        <v>여행</v>
      </c>
      <c r="AF74" s="214" t="str">
        <f>IFERROR(__xludf.DUMMYFUNCTION("""COMPUTED_VALUE"""),"기타")</f>
        <v>기타</v>
      </c>
      <c r="AG74" s="214" t="str">
        <f>IFERROR(__xludf.DUMMYFUNCTION("""COMPUTED_VALUE"""),"출산")</f>
        <v>출산</v>
      </c>
      <c r="AH74" s="214"/>
      <c r="AI74" s="214"/>
      <c r="AJ74" s="215"/>
    </row>
    <row r="75">
      <c r="H75" s="208">
        <v>45810.0</v>
      </c>
      <c r="I75" s="209" t="s">
        <v>39</v>
      </c>
      <c r="J75" s="209" t="s">
        <v>41</v>
      </c>
      <c r="K75" s="210">
        <v>216200.0</v>
      </c>
      <c r="L75" s="211" t="s">
        <v>57</v>
      </c>
      <c r="M75" s="143"/>
      <c r="N75" s="211" t="s">
        <v>634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IFERROR(__xludf.DUMMYFUNCTION("FILTER('설정시트'!$D$7:$L$20,'설정시트'!$C$7:$C$20=I75)"),"약국")</f>
        <v>약국</v>
      </c>
      <c r="AC75" s="214" t="str">
        <f>IFERROR(__xludf.DUMMYFUNCTION("""COMPUTED_VALUE"""),"병원비")</f>
        <v>병원비</v>
      </c>
      <c r="AD75" s="214" t="str">
        <f>IFERROR(__xludf.DUMMYFUNCTION("""COMPUTED_VALUE"""),"영양제")</f>
        <v>영양제</v>
      </c>
      <c r="AE75" s="214" t="str">
        <f>IFERROR(__xludf.DUMMYFUNCTION("""COMPUTED_VALUE"""),"교통비")</f>
        <v>교통비</v>
      </c>
      <c r="AF75" s="214" t="str">
        <f>IFERROR(__xludf.DUMMYFUNCTION("""COMPUTED_VALUE"""),"주유비")</f>
        <v>주유비</v>
      </c>
      <c r="AG75" s="214"/>
      <c r="AH75" s="214" t="str">
        <f>IFERROR(__xludf.DUMMYFUNCTION("""COMPUTED_VALUE"""),"기타")</f>
        <v>기타</v>
      </c>
      <c r="AI75" s="214"/>
      <c r="AJ75" s="215"/>
    </row>
    <row r="76">
      <c r="H76" s="208">
        <v>45810.0</v>
      </c>
      <c r="I76" s="217" t="s">
        <v>3</v>
      </c>
      <c r="J76" s="217" t="s">
        <v>8</v>
      </c>
      <c r="K76" s="218">
        <v>206210.0</v>
      </c>
      <c r="L76" s="213"/>
      <c r="M76" s="143"/>
      <c r="N76" s="211" t="s">
        <v>294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IFERROR(__xludf.DUMMYFUNCTION("FILTER('설정시트'!$D$7:$L$20,'설정시트'!$C$7:$C$20=I76)"),"🍪 월급")</f>
        <v>🍪 월급</v>
      </c>
      <c r="AC76" s="214" t="str">
        <f>IFERROR(__xludf.DUMMYFUNCTION("""COMPUTED_VALUE"""),"🍪 부수입")</f>
        <v>🍪 부수입</v>
      </c>
      <c r="AD76" s="214" t="str">
        <f>IFERROR(__xludf.DUMMYFUNCTION("""COMPUTED_VALUE"""),"🐻 월급")</f>
        <v>🐻 월급</v>
      </c>
      <c r="AE76" s="214" t="str">
        <f>IFERROR(__xludf.DUMMYFUNCTION("""COMPUTED_VALUE"""),"🐻 부수입")</f>
        <v>🐻 부수입</v>
      </c>
      <c r="AF76" s="214" t="str">
        <f>IFERROR(__xludf.DUMMYFUNCTION("""COMPUTED_VALUE"""),"기타")</f>
        <v>기타</v>
      </c>
      <c r="AG76" s="214"/>
      <c r="AH76" s="214"/>
      <c r="AI76" s="214"/>
      <c r="AJ76" s="215"/>
    </row>
    <row r="77">
      <c r="H77" s="208">
        <v>45811.0</v>
      </c>
      <c r="I77" s="209" t="s">
        <v>52</v>
      </c>
      <c r="J77" s="209" t="s">
        <v>50</v>
      </c>
      <c r="K77" s="210">
        <v>77000.0</v>
      </c>
      <c r="L77" s="211" t="s">
        <v>64</v>
      </c>
      <c r="M77" s="143"/>
      <c r="N77" s="211" t="s">
        <v>635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IFERROR(__xludf.DUMMYFUNCTION("FILTER('설정시트'!$D$7:$L$20,'설정시트'!$C$7:$C$20=I77)"),"축의/부의금")</f>
        <v>축의/부의금</v>
      </c>
      <c r="AC77" s="214" t="str">
        <f>IFERROR(__xludf.DUMMYFUNCTION("""COMPUTED_VALUE"""),"생신/생일선물")</f>
        <v>생신/생일선물</v>
      </c>
      <c r="AD77" s="214" t="str">
        <f>IFERROR(__xludf.DUMMYFUNCTION("""COMPUTED_VALUE"""),"명절/어버이날")</f>
        <v>명절/어버이날</v>
      </c>
      <c r="AE77" s="214" t="str">
        <f>IFERROR(__xludf.DUMMYFUNCTION("""COMPUTED_VALUE"""),"여행")</f>
        <v>여행</v>
      </c>
      <c r="AF77" s="214" t="str">
        <f>IFERROR(__xludf.DUMMYFUNCTION("""COMPUTED_VALUE"""),"기타")</f>
        <v>기타</v>
      </c>
      <c r="AG77" s="214" t="str">
        <f>IFERROR(__xludf.DUMMYFUNCTION("""COMPUTED_VALUE"""),"출산")</f>
        <v>출산</v>
      </c>
      <c r="AH77" s="214"/>
      <c r="AI77" s="214"/>
      <c r="AJ77" s="215"/>
    </row>
    <row r="78">
      <c r="H78" s="208">
        <v>45811.0</v>
      </c>
      <c r="I78" s="209" t="s">
        <v>52</v>
      </c>
      <c r="J78" s="209" t="s">
        <v>50</v>
      </c>
      <c r="K78" s="210">
        <f>7200+2400</f>
        <v>9600</v>
      </c>
      <c r="L78" s="211" t="s">
        <v>64</v>
      </c>
      <c r="M78" s="143"/>
      <c r="N78" s="211" t="s">
        <v>636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IFERROR(__xludf.DUMMYFUNCTION("FILTER('설정시트'!$D$7:$L$20,'설정시트'!$C$7:$C$20=I78)"),"축의/부의금")</f>
        <v>축의/부의금</v>
      </c>
      <c r="AC78" s="214" t="str">
        <f>IFERROR(__xludf.DUMMYFUNCTION("""COMPUTED_VALUE"""),"생신/생일선물")</f>
        <v>생신/생일선물</v>
      </c>
      <c r="AD78" s="214" t="str">
        <f>IFERROR(__xludf.DUMMYFUNCTION("""COMPUTED_VALUE"""),"명절/어버이날")</f>
        <v>명절/어버이날</v>
      </c>
      <c r="AE78" s="214" t="str">
        <f>IFERROR(__xludf.DUMMYFUNCTION("""COMPUTED_VALUE"""),"여행")</f>
        <v>여행</v>
      </c>
      <c r="AF78" s="214" t="str">
        <f>IFERROR(__xludf.DUMMYFUNCTION("""COMPUTED_VALUE"""),"기타")</f>
        <v>기타</v>
      </c>
      <c r="AG78" s="214" t="str">
        <f>IFERROR(__xludf.DUMMYFUNCTION("""COMPUTED_VALUE"""),"출산")</f>
        <v>출산</v>
      </c>
      <c r="AH78" s="214"/>
      <c r="AI78" s="214"/>
      <c r="AJ78" s="215"/>
    </row>
    <row r="79">
      <c r="H79" s="208">
        <v>45813.0</v>
      </c>
      <c r="I79" s="209" t="s">
        <v>32</v>
      </c>
      <c r="J79" s="209" t="s">
        <v>34</v>
      </c>
      <c r="K79" s="210">
        <v>1900.0</v>
      </c>
      <c r="L79" s="211" t="s">
        <v>57</v>
      </c>
      <c r="M79" s="143"/>
      <c r="N79" s="211" t="s">
        <v>637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IFERROR(__xludf.DUMMYFUNCTION("FILTER('설정시트'!$D$7:$L$20,'설정시트'!$C$7:$C$20=I79)"),"의류/잡화")</f>
        <v>의류/잡화</v>
      </c>
      <c r="AC79" s="214" t="str">
        <f>IFERROR(__xludf.DUMMYFUNCTION("""COMPUTED_VALUE"""),"OTT")</f>
        <v>OTT</v>
      </c>
      <c r="AD79" s="214" t="str">
        <f>IFERROR(__xludf.DUMMYFUNCTION("""COMPUTED_VALUE"""),"문화생활")</f>
        <v>문화생활</v>
      </c>
      <c r="AE79" s="214" t="str">
        <f>IFERROR(__xludf.DUMMYFUNCTION("""COMPUTED_VALUE"""),"자기계발")</f>
        <v>자기계발</v>
      </c>
      <c r="AF79" s="214" t="str">
        <f>IFERROR(__xludf.DUMMYFUNCTION("""COMPUTED_VALUE"""),"미용")</f>
        <v>미용</v>
      </c>
      <c r="AG79" s="214"/>
      <c r="AH79" s="214" t="str">
        <f>IFERROR(__xludf.DUMMYFUNCTION("""COMPUTED_VALUE"""),"기타")</f>
        <v>기타</v>
      </c>
      <c r="AI79" s="214"/>
      <c r="AJ79" s="215"/>
    </row>
    <row r="80">
      <c r="H80" s="208">
        <v>45813.0</v>
      </c>
      <c r="I80" s="217" t="s">
        <v>3</v>
      </c>
      <c r="J80" s="217" t="s">
        <v>6</v>
      </c>
      <c r="K80" s="218">
        <v>4399920.0</v>
      </c>
      <c r="L80" s="213"/>
      <c r="M80" s="143"/>
      <c r="N80" s="211" t="s">
        <v>623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IFERROR(__xludf.DUMMYFUNCTION("FILTER('설정시트'!$D$7:$L$20,'설정시트'!$C$7:$C$20=I80)"),"🍪 월급")</f>
        <v>🍪 월급</v>
      </c>
      <c r="AC80" s="214" t="str">
        <f>IFERROR(__xludf.DUMMYFUNCTION("""COMPUTED_VALUE"""),"🍪 부수입")</f>
        <v>🍪 부수입</v>
      </c>
      <c r="AD80" s="214" t="str">
        <f>IFERROR(__xludf.DUMMYFUNCTION("""COMPUTED_VALUE"""),"🐻 월급")</f>
        <v>🐻 월급</v>
      </c>
      <c r="AE80" s="214" t="str">
        <f>IFERROR(__xludf.DUMMYFUNCTION("""COMPUTED_VALUE"""),"🐻 부수입")</f>
        <v>🐻 부수입</v>
      </c>
      <c r="AF80" s="214" t="str">
        <f>IFERROR(__xludf.DUMMYFUNCTION("""COMPUTED_VALUE"""),"기타")</f>
        <v>기타</v>
      </c>
      <c r="AG80" s="214"/>
      <c r="AH80" s="214"/>
      <c r="AI80" s="214"/>
      <c r="AJ80" s="215"/>
    </row>
    <row r="81">
      <c r="H81" s="208">
        <v>45815.0</v>
      </c>
      <c r="I81" s="209" t="s">
        <v>21</v>
      </c>
      <c r="J81" s="209" t="s">
        <v>18</v>
      </c>
      <c r="K81" s="210">
        <v>3300.0</v>
      </c>
      <c r="L81" s="211" t="s">
        <v>61</v>
      </c>
      <c r="M81" s="143"/>
      <c r="N81" s="211" t="s">
        <v>431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IFERROR(__xludf.DUMMYFUNCTION("FILTER('설정시트'!$D$7:$L$20,'설정시트'!$C$7:$C$20=I81)"),"관리비")</f>
        <v>관리비</v>
      </c>
      <c r="AC81" s="214" t="str">
        <f>IFERROR(__xludf.DUMMYFUNCTION("""COMPUTED_VALUE"""),"대출이자")</f>
        <v>대출이자</v>
      </c>
      <c r="AD81" s="214" t="str">
        <f>IFERROR(__xludf.DUMMYFUNCTION("""COMPUTED_VALUE"""),"통신비")</f>
        <v>통신비</v>
      </c>
      <c r="AE81" s="214" t="str">
        <f>IFERROR(__xludf.DUMMYFUNCTION("""COMPUTED_VALUE"""),"보험료")</f>
        <v>보험료</v>
      </c>
      <c r="AF81" s="214" t="str">
        <f>IFERROR(__xludf.DUMMYFUNCTION("""COMPUTED_VALUE"""),"곗돈")</f>
        <v>곗돈</v>
      </c>
      <c r="AG81" s="214"/>
      <c r="AH81" s="214"/>
      <c r="AI81" s="214"/>
      <c r="AJ81" s="215"/>
    </row>
    <row r="82">
      <c r="H82" s="208">
        <v>45815.0</v>
      </c>
      <c r="I82" s="209"/>
      <c r="J82" s="209"/>
      <c r="K82" s="210">
        <v>36900.0</v>
      </c>
      <c r="L82" s="211" t="s">
        <v>57</v>
      </c>
      <c r="M82" s="143"/>
      <c r="N82" s="211" t="s">
        <v>638</v>
      </c>
      <c r="O82" s="212"/>
      <c r="P82" s="212"/>
      <c r="Q82" s="143"/>
      <c r="R82" s="211" t="s">
        <v>308</v>
      </c>
      <c r="S82" s="212"/>
      <c r="T82" s="145"/>
      <c r="AB82" s="214" t="str">
        <f>IFERROR(__xludf.DUMMYFUNCTION("FILTER('설정시트'!$D$7:$L$20,'설정시트'!$C$7:$C$20=I82)"),"#N/A")</f>
        <v>#N/A</v>
      </c>
      <c r="AC82" s="214"/>
      <c r="AD82" s="214"/>
      <c r="AE82" s="214"/>
      <c r="AF82" s="214"/>
      <c r="AG82" s="214"/>
      <c r="AH82" s="214"/>
      <c r="AI82" s="214"/>
    </row>
    <row r="83">
      <c r="H83" s="208">
        <v>45816.0</v>
      </c>
      <c r="I83" s="209" t="s">
        <v>26</v>
      </c>
      <c r="J83" s="209" t="s">
        <v>30</v>
      </c>
      <c r="K83" s="210">
        <v>37000.0</v>
      </c>
      <c r="L83" s="211" t="s">
        <v>57</v>
      </c>
      <c r="M83" s="143"/>
      <c r="N83" s="211" t="s">
        <v>639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IFERROR(__xludf.DUMMYFUNCTION("FILTER('설정시트'!$D$7:$L$20,'설정시트'!$C$7:$C$20=I83)"),"식재료비")</f>
        <v>식재료비</v>
      </c>
      <c r="AC83" s="214" t="str">
        <f>IFERROR(__xludf.DUMMYFUNCTION("""COMPUTED_VALUE"""),"회사점심")</f>
        <v>회사점심</v>
      </c>
      <c r="AD83" s="214" t="str">
        <f>IFERROR(__xludf.DUMMYFUNCTION("""COMPUTED_VALUE"""),"간식/카페")</f>
        <v>간식/카페</v>
      </c>
      <c r="AE83" s="214" t="str">
        <f>IFERROR(__xludf.DUMMYFUNCTION("""COMPUTED_VALUE"""),"외식/배달")</f>
        <v>외식/배달</v>
      </c>
      <c r="AF83" s="214" t="str">
        <f>IFERROR(__xludf.DUMMYFUNCTION("""COMPUTED_VALUE"""),"기타")</f>
        <v>기타</v>
      </c>
      <c r="AG83" s="214"/>
      <c r="AH83" s="214"/>
      <c r="AI83" s="214"/>
      <c r="AJ83" s="215"/>
    </row>
    <row r="84">
      <c r="H84" s="208">
        <v>45817.0</v>
      </c>
      <c r="I84" s="209" t="s">
        <v>21</v>
      </c>
      <c r="J84" s="209" t="s">
        <v>18</v>
      </c>
      <c r="K84" s="210">
        <v>66850.0</v>
      </c>
      <c r="L84" s="211" t="s">
        <v>64</v>
      </c>
      <c r="M84" s="143"/>
      <c r="N84" s="211" t="s">
        <v>640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IFERROR(__xludf.DUMMYFUNCTION("FILTER('설정시트'!$D$7:$L$20,'설정시트'!$C$7:$C$20=I84)"),"관리비")</f>
        <v>관리비</v>
      </c>
      <c r="AC84" s="214" t="str">
        <f>IFERROR(__xludf.DUMMYFUNCTION("""COMPUTED_VALUE"""),"대출이자")</f>
        <v>대출이자</v>
      </c>
      <c r="AD84" s="214" t="str">
        <f>IFERROR(__xludf.DUMMYFUNCTION("""COMPUTED_VALUE"""),"통신비")</f>
        <v>통신비</v>
      </c>
      <c r="AE84" s="214" t="str">
        <f>IFERROR(__xludf.DUMMYFUNCTION("""COMPUTED_VALUE"""),"보험료")</f>
        <v>보험료</v>
      </c>
      <c r="AF84" s="214" t="str">
        <f>IFERROR(__xludf.DUMMYFUNCTION("""COMPUTED_VALUE"""),"곗돈")</f>
        <v>곗돈</v>
      </c>
      <c r="AG84" s="214"/>
      <c r="AH84" s="214"/>
      <c r="AI84" s="214"/>
      <c r="AJ84" s="215"/>
    </row>
    <row r="85">
      <c r="H85" s="208">
        <v>45817.0</v>
      </c>
      <c r="I85" s="209" t="s">
        <v>26</v>
      </c>
      <c r="J85" s="209" t="s">
        <v>28</v>
      </c>
      <c r="K85" s="210">
        <v>9600.0</v>
      </c>
      <c r="L85" s="211" t="s">
        <v>57</v>
      </c>
      <c r="M85" s="143"/>
      <c r="N85" s="211" t="s">
        <v>641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  <c r="AJ85" s="215"/>
    </row>
    <row r="86">
      <c r="H86" s="208">
        <v>45817.0</v>
      </c>
      <c r="I86" s="209" t="s">
        <v>26</v>
      </c>
      <c r="J86" s="209" t="s">
        <v>27</v>
      </c>
      <c r="K86" s="210">
        <v>39000.0</v>
      </c>
      <c r="L86" s="211" t="s">
        <v>57</v>
      </c>
      <c r="M86" s="143"/>
      <c r="N86" s="211" t="s">
        <v>642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IFERROR(__xludf.DUMMYFUNCTION("FILTER('설정시트'!$D$7:$L$20,'설정시트'!$C$7:$C$20=I86)"),"식재료비")</f>
        <v>식재료비</v>
      </c>
      <c r="AC86" s="214" t="str">
        <f>IFERROR(__xludf.DUMMYFUNCTION("""COMPUTED_VALUE"""),"회사점심")</f>
        <v>회사점심</v>
      </c>
      <c r="AD86" s="214" t="str">
        <f>IFERROR(__xludf.DUMMYFUNCTION("""COMPUTED_VALUE"""),"간식/카페")</f>
        <v>간식/카페</v>
      </c>
      <c r="AE86" s="214" t="str">
        <f>IFERROR(__xludf.DUMMYFUNCTION("""COMPUTED_VALUE"""),"외식/배달")</f>
        <v>외식/배달</v>
      </c>
      <c r="AF86" s="214" t="str">
        <f>IFERROR(__xludf.DUMMYFUNCTION("""COMPUTED_VALUE"""),"기타")</f>
        <v>기타</v>
      </c>
      <c r="AG86" s="214"/>
      <c r="AH86" s="214"/>
      <c r="AI86" s="214"/>
      <c r="AJ86" s="215"/>
    </row>
    <row r="87">
      <c r="H87" s="208">
        <v>45817.0</v>
      </c>
      <c r="I87" s="209" t="s">
        <v>39</v>
      </c>
      <c r="J87" s="209" t="s">
        <v>41</v>
      </c>
      <c r="K87" s="210">
        <v>33310.0</v>
      </c>
      <c r="L87" s="211" t="s">
        <v>57</v>
      </c>
      <c r="M87" s="143"/>
      <c r="N87" s="211" t="s">
        <v>634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IFERROR(__xludf.DUMMYFUNCTION("FILTER('설정시트'!$D$7:$L$20,'설정시트'!$C$7:$C$20=I87)"),"약국")</f>
        <v>약국</v>
      </c>
      <c r="AC87" s="214" t="str">
        <f>IFERROR(__xludf.DUMMYFUNCTION("""COMPUTED_VALUE"""),"병원비")</f>
        <v>병원비</v>
      </c>
      <c r="AD87" s="214" t="str">
        <f>IFERROR(__xludf.DUMMYFUNCTION("""COMPUTED_VALUE"""),"영양제")</f>
        <v>영양제</v>
      </c>
      <c r="AE87" s="214" t="str">
        <f>IFERROR(__xludf.DUMMYFUNCTION("""COMPUTED_VALUE"""),"교통비")</f>
        <v>교통비</v>
      </c>
      <c r="AF87" s="214" t="str">
        <f>IFERROR(__xludf.DUMMYFUNCTION("""COMPUTED_VALUE"""),"주유비")</f>
        <v>주유비</v>
      </c>
      <c r="AG87" s="214"/>
      <c r="AH87" s="214" t="str">
        <f>IFERROR(__xludf.DUMMYFUNCTION("""COMPUTED_VALUE"""),"기타")</f>
        <v>기타</v>
      </c>
      <c r="AI87" s="214"/>
      <c r="AJ87" s="215"/>
    </row>
    <row r="88">
      <c r="H88" s="208">
        <v>45817.0</v>
      </c>
      <c r="I88" s="209" t="s">
        <v>39</v>
      </c>
      <c r="J88" s="209" t="s">
        <v>41</v>
      </c>
      <c r="K88" s="210">
        <v>1900.0</v>
      </c>
      <c r="L88" s="211" t="s">
        <v>57</v>
      </c>
      <c r="M88" s="143"/>
      <c r="N88" s="211" t="s">
        <v>643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IFERROR(__xludf.DUMMYFUNCTION("FILTER('설정시트'!$D$7:$L$20,'설정시트'!$C$7:$C$20=I88)"),"약국")</f>
        <v>약국</v>
      </c>
      <c r="AC88" s="214" t="str">
        <f>IFERROR(__xludf.DUMMYFUNCTION("""COMPUTED_VALUE"""),"병원비")</f>
        <v>병원비</v>
      </c>
      <c r="AD88" s="214" t="str">
        <f>IFERROR(__xludf.DUMMYFUNCTION("""COMPUTED_VALUE"""),"영양제")</f>
        <v>영양제</v>
      </c>
      <c r="AE88" s="214" t="str">
        <f>IFERROR(__xludf.DUMMYFUNCTION("""COMPUTED_VALUE"""),"교통비")</f>
        <v>교통비</v>
      </c>
      <c r="AF88" s="214" t="str">
        <f>IFERROR(__xludf.DUMMYFUNCTION("""COMPUTED_VALUE"""),"주유비")</f>
        <v>주유비</v>
      </c>
      <c r="AG88" s="214"/>
      <c r="AH88" s="214" t="str">
        <f>IFERROR(__xludf.DUMMYFUNCTION("""COMPUTED_VALUE"""),"기타")</f>
        <v>기타</v>
      </c>
      <c r="AI88" s="214"/>
      <c r="AJ88" s="215"/>
    </row>
    <row r="89">
      <c r="H89" s="208">
        <v>45817.0</v>
      </c>
      <c r="I89" s="209" t="s">
        <v>14</v>
      </c>
      <c r="J89" s="209" t="s">
        <v>18</v>
      </c>
      <c r="K89" s="210">
        <v>23750.0</v>
      </c>
      <c r="L89" s="211" t="s">
        <v>57</v>
      </c>
      <c r="M89" s="143"/>
      <c r="N89" s="211" t="s">
        <v>644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IFERROR(__xludf.DUMMYFUNCTION("FILTER('설정시트'!$D$7:$L$20,'설정시트'!$C$7:$C$20=I89)"),"관리비")</f>
        <v>관리비</v>
      </c>
      <c r="AC89" s="214" t="str">
        <f>IFERROR(__xludf.DUMMYFUNCTION("""COMPUTED_VALUE"""),"월세")</f>
        <v>월세</v>
      </c>
      <c r="AD89" s="214" t="str">
        <f>IFERROR(__xludf.DUMMYFUNCTION("""COMPUTED_VALUE"""),"대출이자")</f>
        <v>대출이자</v>
      </c>
      <c r="AE89" s="214" t="str">
        <f>IFERROR(__xludf.DUMMYFUNCTION("""COMPUTED_VALUE"""),"통신비")</f>
        <v>통신비</v>
      </c>
      <c r="AF89" s="214" t="str">
        <f>IFERROR(__xludf.DUMMYFUNCTION("""COMPUTED_VALUE"""),"보험료")</f>
        <v>보험료</v>
      </c>
      <c r="AG89" s="214"/>
      <c r="AH89" s="214" t="str">
        <f>IFERROR(__xludf.DUMMYFUNCTION("""COMPUTED_VALUE"""),"곗돈")</f>
        <v>곗돈</v>
      </c>
      <c r="AI89" s="214"/>
      <c r="AJ89" s="215"/>
    </row>
    <row r="90">
      <c r="H90" s="208">
        <v>45817.0</v>
      </c>
      <c r="I90" s="217" t="s">
        <v>14</v>
      </c>
      <c r="J90" s="217" t="s">
        <v>18</v>
      </c>
      <c r="K90" s="218">
        <v>46750.0</v>
      </c>
      <c r="L90" s="211" t="s">
        <v>58</v>
      </c>
      <c r="M90" s="143"/>
      <c r="N90" s="211" t="s">
        <v>645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IFERROR(__xludf.DUMMYFUNCTION("FILTER('설정시트'!$D$7:$L$20,'설정시트'!$C$7:$C$20=I90)"),"관리비")</f>
        <v>관리비</v>
      </c>
      <c r="AC90" s="214" t="str">
        <f>IFERROR(__xludf.DUMMYFUNCTION("""COMPUTED_VALUE"""),"월세")</f>
        <v>월세</v>
      </c>
      <c r="AD90" s="214" t="str">
        <f>IFERROR(__xludf.DUMMYFUNCTION("""COMPUTED_VALUE"""),"대출이자")</f>
        <v>대출이자</v>
      </c>
      <c r="AE90" s="214" t="str">
        <f>IFERROR(__xludf.DUMMYFUNCTION("""COMPUTED_VALUE"""),"통신비")</f>
        <v>통신비</v>
      </c>
      <c r="AF90" s="214" t="str">
        <f>IFERROR(__xludf.DUMMYFUNCTION("""COMPUTED_VALUE"""),"보험료")</f>
        <v>보험료</v>
      </c>
      <c r="AG90" s="214"/>
      <c r="AH90" s="214" t="str">
        <f>IFERROR(__xludf.DUMMYFUNCTION("""COMPUTED_VALUE"""),"곗돈")</f>
        <v>곗돈</v>
      </c>
      <c r="AI90" s="214"/>
      <c r="AJ90" s="215"/>
    </row>
    <row r="91">
      <c r="H91" s="208">
        <v>45818.0</v>
      </c>
      <c r="I91" s="209" t="s">
        <v>21</v>
      </c>
      <c r="J91" s="209" t="s">
        <v>15</v>
      </c>
      <c r="K91" s="210">
        <v>1390.0</v>
      </c>
      <c r="L91" s="211" t="s">
        <v>61</v>
      </c>
      <c r="M91" s="143"/>
      <c r="N91" s="211" t="s">
        <v>646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IFERROR(__xludf.DUMMYFUNCTION("FILTER('설정시트'!$D$7:$L$20,'설정시트'!$C$7:$C$20=I91)"),"관리비")</f>
        <v>관리비</v>
      </c>
      <c r="AC91" s="214" t="str">
        <f>IFERROR(__xludf.DUMMYFUNCTION("""COMPUTED_VALUE"""),"대출이자")</f>
        <v>대출이자</v>
      </c>
      <c r="AD91" s="214" t="str">
        <f>IFERROR(__xludf.DUMMYFUNCTION("""COMPUTED_VALUE"""),"통신비")</f>
        <v>통신비</v>
      </c>
      <c r="AE91" s="214" t="str">
        <f>IFERROR(__xludf.DUMMYFUNCTION("""COMPUTED_VALUE"""),"보험료")</f>
        <v>보험료</v>
      </c>
      <c r="AF91" s="214" t="str">
        <f>IFERROR(__xludf.DUMMYFUNCTION("""COMPUTED_VALUE"""),"곗돈")</f>
        <v>곗돈</v>
      </c>
      <c r="AG91" s="214"/>
      <c r="AH91" s="214"/>
      <c r="AI91" s="214"/>
      <c r="AJ91" s="215"/>
    </row>
    <row r="92">
      <c r="H92" s="208">
        <v>45818.0</v>
      </c>
      <c r="I92" s="209" t="s">
        <v>21</v>
      </c>
      <c r="J92" s="209" t="s">
        <v>20</v>
      </c>
      <c r="K92" s="210">
        <v>50000.0</v>
      </c>
      <c r="L92" s="211" t="s">
        <v>62</v>
      </c>
      <c r="M92" s="143"/>
      <c r="N92" s="211" t="s">
        <v>186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IFERROR(__xludf.DUMMYFUNCTION("FILTER('설정시트'!$D$7:$L$20,'설정시트'!$C$7:$C$20=I92)"),"관리비")</f>
        <v>관리비</v>
      </c>
      <c r="AC92" s="214" t="str">
        <f>IFERROR(__xludf.DUMMYFUNCTION("""COMPUTED_VALUE"""),"대출이자")</f>
        <v>대출이자</v>
      </c>
      <c r="AD92" s="214" t="str">
        <f>IFERROR(__xludf.DUMMYFUNCTION("""COMPUTED_VALUE"""),"통신비")</f>
        <v>통신비</v>
      </c>
      <c r="AE92" s="214" t="str">
        <f>IFERROR(__xludf.DUMMYFUNCTION("""COMPUTED_VALUE"""),"보험료")</f>
        <v>보험료</v>
      </c>
      <c r="AF92" s="214" t="str">
        <f>IFERROR(__xludf.DUMMYFUNCTION("""COMPUTED_VALUE"""),"곗돈")</f>
        <v>곗돈</v>
      </c>
      <c r="AG92" s="214"/>
      <c r="AH92" s="214"/>
      <c r="AI92" s="214"/>
      <c r="AJ92" s="215"/>
    </row>
    <row r="93">
      <c r="H93" s="208">
        <v>45818.0</v>
      </c>
      <c r="I93" s="209" t="s">
        <v>26</v>
      </c>
      <c r="J93" s="209" t="s">
        <v>28</v>
      </c>
      <c r="K93" s="210">
        <v>14000.0</v>
      </c>
      <c r="L93" s="211" t="s">
        <v>57</v>
      </c>
      <c r="M93" s="143"/>
      <c r="N93" s="211" t="s">
        <v>647</v>
      </c>
      <c r="O93" s="212"/>
      <c r="P93" s="212"/>
      <c r="Q93" s="143"/>
      <c r="R93" s="211"/>
      <c r="S93" s="212"/>
      <c r="T93" s="145"/>
      <c r="AB93" s="214" t="str">
        <f>IFERROR(__xludf.DUMMYFUNCTION("FILTER('설정시트'!$D$7:$L$20,'설정시트'!$C$7:$C$20=I93)"),"식재료비")</f>
        <v>식재료비</v>
      </c>
      <c r="AC93" s="214" t="str">
        <f>IFERROR(__xludf.DUMMYFUNCTION("""COMPUTED_VALUE"""),"회사점심")</f>
        <v>회사점심</v>
      </c>
      <c r="AD93" s="214" t="str">
        <f>IFERROR(__xludf.DUMMYFUNCTION("""COMPUTED_VALUE"""),"간식/카페")</f>
        <v>간식/카페</v>
      </c>
      <c r="AE93" s="214" t="str">
        <f>IFERROR(__xludf.DUMMYFUNCTION("""COMPUTED_VALUE"""),"외식/배달")</f>
        <v>외식/배달</v>
      </c>
      <c r="AF93" s="214" t="str">
        <f>IFERROR(__xludf.DUMMYFUNCTION("""COMPUTED_VALUE"""),"기타")</f>
        <v>기타</v>
      </c>
      <c r="AG93" s="214"/>
      <c r="AH93" s="214"/>
      <c r="AI93" s="214"/>
      <c r="AJ93" s="215"/>
    </row>
    <row r="94">
      <c r="H94" s="208">
        <v>45819.0</v>
      </c>
      <c r="I94" s="209" t="s">
        <v>31</v>
      </c>
      <c r="J94" s="209" t="s">
        <v>29</v>
      </c>
      <c r="K94" s="210">
        <v>1600.0</v>
      </c>
      <c r="L94" s="211" t="s">
        <v>64</v>
      </c>
      <c r="M94" s="143"/>
      <c r="N94" s="211" t="s">
        <v>648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IFERROR(__xludf.DUMMYFUNCTION("FILTER('설정시트'!$D$7:$L$20,'설정시트'!$C$7:$C$20=I94)"),"식재료비")</f>
        <v>식재료비</v>
      </c>
      <c r="AC94" s="214" t="str">
        <f>IFERROR(__xludf.DUMMYFUNCTION("""COMPUTED_VALUE"""),"회사점심")</f>
        <v>회사점심</v>
      </c>
      <c r="AD94" s="214" t="str">
        <f>IFERROR(__xludf.DUMMYFUNCTION("""COMPUTED_VALUE"""),"간식/카페")</f>
        <v>간식/카페</v>
      </c>
      <c r="AE94" s="214" t="str">
        <f>IFERROR(__xludf.DUMMYFUNCTION("""COMPUTED_VALUE"""),"외식/배달")</f>
        <v>외식/배달</v>
      </c>
      <c r="AF94" s="214" t="str">
        <f>IFERROR(__xludf.DUMMYFUNCTION("""COMPUTED_VALUE"""),"기타")</f>
        <v>기타</v>
      </c>
      <c r="AG94" s="214"/>
      <c r="AH94" s="214"/>
      <c r="AI94" s="214"/>
      <c r="AJ94" s="215"/>
    </row>
    <row r="95">
      <c r="H95" s="208">
        <v>45819.0</v>
      </c>
      <c r="I95" s="209" t="s">
        <v>26</v>
      </c>
      <c r="J95" s="209" t="s">
        <v>28</v>
      </c>
      <c r="K95" s="210">
        <v>44700.0</v>
      </c>
      <c r="L95" s="211" t="s">
        <v>57</v>
      </c>
      <c r="M95" s="143"/>
      <c r="N95" s="211" t="s">
        <v>649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IFERROR(__xludf.DUMMYFUNCTION("FILTER('설정시트'!$D$7:$L$20,'설정시트'!$C$7:$C$20=I95)"),"식재료비")</f>
        <v>식재료비</v>
      </c>
      <c r="AC95" s="214" t="str">
        <f>IFERROR(__xludf.DUMMYFUNCTION("""COMPUTED_VALUE"""),"회사점심")</f>
        <v>회사점심</v>
      </c>
      <c r="AD95" s="214" t="str">
        <f>IFERROR(__xludf.DUMMYFUNCTION("""COMPUTED_VALUE"""),"간식/카페")</f>
        <v>간식/카페</v>
      </c>
      <c r="AE95" s="214" t="str">
        <f>IFERROR(__xludf.DUMMYFUNCTION("""COMPUTED_VALUE"""),"외식/배달")</f>
        <v>외식/배달</v>
      </c>
      <c r="AF95" s="214" t="str">
        <f>IFERROR(__xludf.DUMMYFUNCTION("""COMPUTED_VALUE"""),"기타")</f>
        <v>기타</v>
      </c>
      <c r="AG95" s="214"/>
      <c r="AH95" s="214"/>
      <c r="AI95" s="214"/>
      <c r="AJ95" s="215"/>
    </row>
    <row r="96">
      <c r="H96" s="208">
        <v>45819.0</v>
      </c>
      <c r="I96" s="209" t="s">
        <v>26</v>
      </c>
      <c r="J96" s="209" t="s">
        <v>29</v>
      </c>
      <c r="K96" s="210">
        <v>10300.0</v>
      </c>
      <c r="L96" s="211" t="s">
        <v>57</v>
      </c>
      <c r="M96" s="143"/>
      <c r="N96" s="211" t="s">
        <v>650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  <c r="AJ96" s="215"/>
    </row>
    <row r="97">
      <c r="H97" s="208">
        <v>45819.0</v>
      </c>
      <c r="I97" s="217" t="s">
        <v>3</v>
      </c>
      <c r="J97" s="217" t="s">
        <v>8</v>
      </c>
      <c r="K97" s="218">
        <v>23320.0</v>
      </c>
      <c r="L97" s="213"/>
      <c r="M97" s="143"/>
      <c r="N97" s="211" t="s">
        <v>294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IFERROR(__xludf.DUMMYFUNCTION("FILTER('설정시트'!$D$7:$L$20,'설정시트'!$C$7:$C$20=I97)"),"🍪 월급")</f>
        <v>🍪 월급</v>
      </c>
      <c r="AC97" s="214" t="str">
        <f>IFERROR(__xludf.DUMMYFUNCTION("""COMPUTED_VALUE"""),"🍪 부수입")</f>
        <v>🍪 부수입</v>
      </c>
      <c r="AD97" s="214" t="str">
        <f>IFERROR(__xludf.DUMMYFUNCTION("""COMPUTED_VALUE"""),"🐻 월급")</f>
        <v>🐻 월급</v>
      </c>
      <c r="AE97" s="214" t="str">
        <f>IFERROR(__xludf.DUMMYFUNCTION("""COMPUTED_VALUE"""),"🐻 부수입")</f>
        <v>🐻 부수입</v>
      </c>
      <c r="AF97" s="214" t="str">
        <f>IFERROR(__xludf.DUMMYFUNCTION("""COMPUTED_VALUE"""),"기타")</f>
        <v>기타</v>
      </c>
      <c r="AG97" s="214"/>
      <c r="AH97" s="214"/>
      <c r="AI97" s="214"/>
      <c r="AJ97" s="215"/>
    </row>
    <row r="98">
      <c r="H98" s="208">
        <v>45820.0</v>
      </c>
      <c r="I98" s="209"/>
      <c r="J98" s="209"/>
      <c r="K98" s="210">
        <v>27800.0</v>
      </c>
      <c r="L98" s="211" t="s">
        <v>57</v>
      </c>
      <c r="M98" s="143"/>
      <c r="N98" s="211" t="s">
        <v>651</v>
      </c>
      <c r="O98" s="212"/>
      <c r="P98" s="212"/>
      <c r="Q98" s="143"/>
      <c r="R98" s="211" t="s">
        <v>308</v>
      </c>
      <c r="S98" s="212"/>
      <c r="T98" s="145"/>
      <c r="AB98" s="214" t="str">
        <f>IFERROR(__xludf.DUMMYFUNCTION("FILTER('설정시트'!$D$7:$L$20,'설정시트'!$C$7:$C$20=I98)"),"#N/A")</f>
        <v>#N/A</v>
      </c>
      <c r="AC98" s="214"/>
      <c r="AD98" s="214"/>
      <c r="AE98" s="214"/>
      <c r="AF98" s="214"/>
      <c r="AG98" s="214"/>
      <c r="AH98" s="214"/>
      <c r="AI98" s="214"/>
    </row>
    <row r="99">
      <c r="H99" s="208">
        <v>45820.0</v>
      </c>
      <c r="I99" s="217" t="s">
        <v>3</v>
      </c>
      <c r="J99" s="217" t="s">
        <v>8</v>
      </c>
      <c r="K99" s="218">
        <v>200000.0</v>
      </c>
      <c r="L99" s="213"/>
      <c r="M99" s="143"/>
      <c r="N99" s="211" t="s">
        <v>652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IFERROR(__xludf.DUMMYFUNCTION("FILTER('설정시트'!$D$7:$L$20,'설정시트'!$C$7:$C$20=I99)"),"🍪 월급")</f>
        <v>🍪 월급</v>
      </c>
      <c r="AC99" s="214" t="str">
        <f>IFERROR(__xludf.DUMMYFUNCTION("""COMPUTED_VALUE"""),"🍪 부수입")</f>
        <v>🍪 부수입</v>
      </c>
      <c r="AD99" s="214" t="str">
        <f>IFERROR(__xludf.DUMMYFUNCTION("""COMPUTED_VALUE"""),"🐻 월급")</f>
        <v>🐻 월급</v>
      </c>
      <c r="AE99" s="214" t="str">
        <f>IFERROR(__xludf.DUMMYFUNCTION("""COMPUTED_VALUE"""),"🐻 부수입")</f>
        <v>🐻 부수입</v>
      </c>
      <c r="AF99" s="214" t="str">
        <f>IFERROR(__xludf.DUMMYFUNCTION("""COMPUTED_VALUE"""),"기타")</f>
        <v>기타</v>
      </c>
      <c r="AG99" s="214"/>
      <c r="AH99" s="214"/>
      <c r="AI99" s="214"/>
      <c r="AJ99" s="215"/>
    </row>
    <row r="100">
      <c r="H100" s="208">
        <v>45821.0</v>
      </c>
      <c r="I100" s="209" t="s">
        <v>26</v>
      </c>
      <c r="J100" s="209" t="s">
        <v>28</v>
      </c>
      <c r="K100" s="210">
        <v>13000.0</v>
      </c>
      <c r="L100" s="211" t="s">
        <v>57</v>
      </c>
      <c r="M100" s="143"/>
      <c r="N100" s="211" t="s">
        <v>647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IFERROR(__xludf.DUMMYFUNCTION("FILTER('설정시트'!$D$7:$L$20,'설정시트'!$C$7:$C$20=I100)"),"식재료비")</f>
        <v>식재료비</v>
      </c>
      <c r="AC100" s="214" t="str">
        <f>IFERROR(__xludf.DUMMYFUNCTION("""COMPUTED_VALUE"""),"회사점심")</f>
        <v>회사점심</v>
      </c>
      <c r="AD100" s="214" t="str">
        <f>IFERROR(__xludf.DUMMYFUNCTION("""COMPUTED_VALUE"""),"간식/카페")</f>
        <v>간식/카페</v>
      </c>
      <c r="AE100" s="214" t="str">
        <f>IFERROR(__xludf.DUMMYFUNCTION("""COMPUTED_VALUE"""),"외식/배달")</f>
        <v>외식/배달</v>
      </c>
      <c r="AF100" s="214" t="str">
        <f>IFERROR(__xludf.DUMMYFUNCTION("""COMPUTED_VALUE"""),"기타")</f>
        <v>기타</v>
      </c>
      <c r="AG100" s="214"/>
      <c r="AH100" s="214"/>
      <c r="AI100" s="214"/>
      <c r="AJ100" s="215"/>
    </row>
    <row r="101">
      <c r="H101" s="208">
        <v>45821.0</v>
      </c>
      <c r="I101" s="209" t="s">
        <v>26</v>
      </c>
      <c r="J101" s="209" t="s">
        <v>30</v>
      </c>
      <c r="K101" s="210">
        <v>28230.0</v>
      </c>
      <c r="L101" s="211" t="s">
        <v>57</v>
      </c>
      <c r="M101" s="143"/>
      <c r="N101" s="211" t="s">
        <v>653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IFERROR(__xludf.DUMMYFUNCTION("FILTER('설정시트'!$D$7:$L$20,'설정시트'!$C$7:$C$20=I101)"),"식재료비")</f>
        <v>식재료비</v>
      </c>
      <c r="AC101" s="214" t="str">
        <f>IFERROR(__xludf.DUMMYFUNCTION("""COMPUTED_VALUE"""),"회사점심")</f>
        <v>회사점심</v>
      </c>
      <c r="AD101" s="214" t="str">
        <f>IFERROR(__xludf.DUMMYFUNCTION("""COMPUTED_VALUE"""),"간식/카페")</f>
        <v>간식/카페</v>
      </c>
      <c r="AE101" s="214" t="str">
        <f>IFERROR(__xludf.DUMMYFUNCTION("""COMPUTED_VALUE"""),"외식/배달")</f>
        <v>외식/배달</v>
      </c>
      <c r="AF101" s="214" t="str">
        <f>IFERROR(__xludf.DUMMYFUNCTION("""COMPUTED_VALUE"""),"기타")</f>
        <v>기타</v>
      </c>
      <c r="AG101" s="214"/>
      <c r="AH101" s="214"/>
      <c r="AI101" s="214"/>
      <c r="AJ101" s="215"/>
    </row>
    <row r="102">
      <c r="H102" s="208">
        <v>45821.0</v>
      </c>
      <c r="I102" s="217" t="s">
        <v>26</v>
      </c>
      <c r="J102" s="217" t="s">
        <v>27</v>
      </c>
      <c r="K102" s="218">
        <v>6200.0</v>
      </c>
      <c r="L102" s="211" t="s">
        <v>58</v>
      </c>
      <c r="M102" s="143"/>
      <c r="N102" s="211" t="s">
        <v>654</v>
      </c>
      <c r="O102" s="212"/>
      <c r="P102" s="212"/>
      <c r="Q102" s="143"/>
      <c r="R102" s="211"/>
      <c r="S102" s="212"/>
      <c r="T102" s="145"/>
      <c r="AB102" s="214" t="str">
        <f>IFERROR(__xludf.DUMMYFUNCTION("FILTER('설정시트'!$D$7:$L$20,'설정시트'!$C$7:$C$20=I102)"),"식재료비")</f>
        <v>식재료비</v>
      </c>
      <c r="AC102" s="214" t="str">
        <f>IFERROR(__xludf.DUMMYFUNCTION("""COMPUTED_VALUE"""),"회사점심")</f>
        <v>회사점심</v>
      </c>
      <c r="AD102" s="214" t="str">
        <f>IFERROR(__xludf.DUMMYFUNCTION("""COMPUTED_VALUE"""),"간식/카페")</f>
        <v>간식/카페</v>
      </c>
      <c r="AE102" s="214" t="str">
        <f>IFERROR(__xludf.DUMMYFUNCTION("""COMPUTED_VALUE"""),"외식/배달")</f>
        <v>외식/배달</v>
      </c>
      <c r="AF102" s="214" t="str">
        <f>IFERROR(__xludf.DUMMYFUNCTION("""COMPUTED_VALUE"""),"기타")</f>
        <v>기타</v>
      </c>
      <c r="AG102" s="214"/>
      <c r="AH102" s="214"/>
      <c r="AI102" s="214"/>
      <c r="AJ102" s="215"/>
    </row>
    <row r="103">
      <c r="H103" s="208">
        <v>45822.0</v>
      </c>
      <c r="I103" s="209" t="s">
        <v>26</v>
      </c>
      <c r="J103" s="209" t="s">
        <v>27</v>
      </c>
      <c r="K103" s="210">
        <v>2720.0</v>
      </c>
      <c r="L103" s="211" t="s">
        <v>57</v>
      </c>
      <c r="M103" s="143"/>
      <c r="N103" s="211" t="s">
        <v>655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IFERROR(__xludf.DUMMYFUNCTION("FILTER('설정시트'!$D$7:$L$20,'설정시트'!$C$7:$C$20=I103)"),"식재료비")</f>
        <v>식재료비</v>
      </c>
      <c r="AC103" s="214" t="str">
        <f>IFERROR(__xludf.DUMMYFUNCTION("""COMPUTED_VALUE"""),"회사점심")</f>
        <v>회사점심</v>
      </c>
      <c r="AD103" s="214" t="str">
        <f>IFERROR(__xludf.DUMMYFUNCTION("""COMPUTED_VALUE"""),"간식/카페")</f>
        <v>간식/카페</v>
      </c>
      <c r="AE103" s="214" t="str">
        <f>IFERROR(__xludf.DUMMYFUNCTION("""COMPUTED_VALUE"""),"외식/배달")</f>
        <v>외식/배달</v>
      </c>
      <c r="AF103" s="214" t="str">
        <f>IFERROR(__xludf.DUMMYFUNCTION("""COMPUTED_VALUE"""),"기타")</f>
        <v>기타</v>
      </c>
      <c r="AG103" s="214"/>
      <c r="AH103" s="214"/>
      <c r="AI103" s="214"/>
      <c r="AJ103" s="215"/>
    </row>
    <row r="104">
      <c r="H104" s="208">
        <v>45822.0</v>
      </c>
      <c r="I104" s="209" t="s">
        <v>31</v>
      </c>
      <c r="J104" s="209" t="s">
        <v>27</v>
      </c>
      <c r="K104" s="210">
        <v>180000.0</v>
      </c>
      <c r="L104" s="211" t="s">
        <v>61</v>
      </c>
      <c r="M104" s="143"/>
      <c r="N104" s="211" t="s">
        <v>656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IFERROR(__xludf.DUMMYFUNCTION("FILTER('설정시트'!$D$7:$L$20,'설정시트'!$C$7:$C$20=I104)"),"식재료비")</f>
        <v>식재료비</v>
      </c>
      <c r="AC104" s="214" t="str">
        <f>IFERROR(__xludf.DUMMYFUNCTION("""COMPUTED_VALUE"""),"회사점심")</f>
        <v>회사점심</v>
      </c>
      <c r="AD104" s="214" t="str">
        <f>IFERROR(__xludf.DUMMYFUNCTION("""COMPUTED_VALUE"""),"간식/카페")</f>
        <v>간식/카페</v>
      </c>
      <c r="AE104" s="214" t="str">
        <f>IFERROR(__xludf.DUMMYFUNCTION("""COMPUTED_VALUE"""),"외식/배달")</f>
        <v>외식/배달</v>
      </c>
      <c r="AF104" s="214" t="str">
        <f>IFERROR(__xludf.DUMMYFUNCTION("""COMPUTED_VALUE"""),"기타")</f>
        <v>기타</v>
      </c>
      <c r="AG104" s="214"/>
      <c r="AH104" s="214"/>
      <c r="AI104" s="214"/>
      <c r="AJ104" s="215"/>
    </row>
    <row r="105">
      <c r="H105" s="208">
        <v>45822.0</v>
      </c>
      <c r="I105" s="217" t="s">
        <v>31</v>
      </c>
      <c r="J105" s="217" t="s">
        <v>8</v>
      </c>
      <c r="K105" s="218">
        <v>2000.0</v>
      </c>
      <c r="L105" s="211" t="s">
        <v>64</v>
      </c>
      <c r="M105" s="143"/>
      <c r="N105" s="211" t="s">
        <v>657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IFERROR(__xludf.DUMMYFUNCTION("FILTER('설정시트'!$D$7:$L$20,'설정시트'!$C$7:$C$20=I105)"),"식재료비")</f>
        <v>식재료비</v>
      </c>
      <c r="AC105" s="214" t="str">
        <f>IFERROR(__xludf.DUMMYFUNCTION("""COMPUTED_VALUE"""),"회사점심")</f>
        <v>회사점심</v>
      </c>
      <c r="AD105" s="214" t="str">
        <f>IFERROR(__xludf.DUMMYFUNCTION("""COMPUTED_VALUE"""),"간식/카페")</f>
        <v>간식/카페</v>
      </c>
      <c r="AE105" s="214" t="str">
        <f>IFERROR(__xludf.DUMMYFUNCTION("""COMPUTED_VALUE"""),"외식/배달")</f>
        <v>외식/배달</v>
      </c>
      <c r="AF105" s="214" t="str">
        <f>IFERROR(__xludf.DUMMYFUNCTION("""COMPUTED_VALUE"""),"기타")</f>
        <v>기타</v>
      </c>
      <c r="AG105" s="214"/>
      <c r="AH105" s="214"/>
      <c r="AI105" s="214"/>
      <c r="AJ105" s="215"/>
    </row>
    <row r="106">
      <c r="H106" s="208">
        <v>45822.0</v>
      </c>
      <c r="I106" s="217" t="s">
        <v>26</v>
      </c>
      <c r="J106" s="217" t="s">
        <v>30</v>
      </c>
      <c r="K106" s="218">
        <v>30000.0</v>
      </c>
      <c r="L106" s="211" t="s">
        <v>58</v>
      </c>
      <c r="M106" s="143"/>
      <c r="N106" s="211" t="s">
        <v>658</v>
      </c>
      <c r="O106" s="212"/>
      <c r="P106" s="212"/>
      <c r="Q106" s="143"/>
      <c r="R106" s="211"/>
      <c r="S106" s="212"/>
      <c r="T106" s="145"/>
      <c r="AB106" s="214" t="str">
        <f>IFERROR(__xludf.DUMMYFUNCTION("FILTER('설정시트'!$D$7:$L$20,'설정시트'!$C$7:$C$20=I106)"),"식재료비")</f>
        <v>식재료비</v>
      </c>
      <c r="AC106" s="214" t="str">
        <f>IFERROR(__xludf.DUMMYFUNCTION("""COMPUTED_VALUE"""),"회사점심")</f>
        <v>회사점심</v>
      </c>
      <c r="AD106" s="214" t="str">
        <f>IFERROR(__xludf.DUMMYFUNCTION("""COMPUTED_VALUE"""),"간식/카페")</f>
        <v>간식/카페</v>
      </c>
      <c r="AE106" s="214" t="str">
        <f>IFERROR(__xludf.DUMMYFUNCTION("""COMPUTED_VALUE"""),"외식/배달")</f>
        <v>외식/배달</v>
      </c>
      <c r="AF106" s="214" t="str">
        <f>IFERROR(__xludf.DUMMYFUNCTION("""COMPUTED_VALUE"""),"기타")</f>
        <v>기타</v>
      </c>
      <c r="AG106" s="214"/>
      <c r="AH106" s="214"/>
      <c r="AI106" s="214"/>
      <c r="AJ106" s="215"/>
    </row>
    <row r="107">
      <c r="H107" s="208">
        <v>45823.0</v>
      </c>
      <c r="I107" s="217" t="s">
        <v>22</v>
      </c>
      <c r="J107" s="217" t="s">
        <v>23</v>
      </c>
      <c r="K107" s="218">
        <v>7829.0</v>
      </c>
      <c r="L107" s="211" t="s">
        <v>58</v>
      </c>
      <c r="M107" s="143"/>
      <c r="N107" s="211" t="s">
        <v>659</v>
      </c>
      <c r="O107" s="212"/>
      <c r="P107" s="212"/>
      <c r="Q107" s="143"/>
      <c r="R107" s="211"/>
      <c r="S107" s="212"/>
      <c r="T107" s="145"/>
      <c r="AB107" s="214" t="str">
        <f>IFERROR(__xludf.DUMMYFUNCTION("FILTER('설정시트'!$D$7:$L$20,'설정시트'!$C$7:$C$20=I107)"),"주방/욕실")</f>
        <v>주방/욕실</v>
      </c>
      <c r="AC107" s="214" t="str">
        <f>IFERROR(__xludf.DUMMYFUNCTION("""COMPUTED_VALUE"""),"소모품")</f>
        <v>소모품</v>
      </c>
      <c r="AD107" s="214" t="str">
        <f>IFERROR(__xludf.DUMMYFUNCTION("""COMPUTED_VALUE"""),"기타")</f>
        <v>기타</v>
      </c>
      <c r="AE107" s="214"/>
      <c r="AF107" s="214"/>
      <c r="AG107" s="214"/>
      <c r="AH107" s="214"/>
      <c r="AI107" s="214"/>
      <c r="AJ107" s="215"/>
    </row>
    <row r="108">
      <c r="H108" s="208">
        <v>45823.0</v>
      </c>
      <c r="I108" s="217" t="s">
        <v>25</v>
      </c>
      <c r="J108" s="217" t="s">
        <v>23</v>
      </c>
      <c r="K108" s="218">
        <v>440000.0</v>
      </c>
      <c r="L108" s="211" t="s">
        <v>64</v>
      </c>
      <c r="M108" s="143"/>
      <c r="N108" s="211" t="s">
        <v>660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IFERROR(__xludf.DUMMYFUNCTION("FILTER('설정시트'!$D$7:$L$20,'설정시트'!$C$7:$C$20=I108)"),"주방/욕실")</f>
        <v>주방/욕실</v>
      </c>
      <c r="AC108" s="214" t="str">
        <f>IFERROR(__xludf.DUMMYFUNCTION("""COMPUTED_VALUE"""),"소모품")</f>
        <v>소모품</v>
      </c>
      <c r="AD108" s="214" t="str">
        <f>IFERROR(__xludf.DUMMYFUNCTION("""COMPUTED_VALUE"""),"기타")</f>
        <v>기타</v>
      </c>
      <c r="AE108" s="214"/>
      <c r="AF108" s="214"/>
      <c r="AG108" s="214"/>
      <c r="AH108" s="214"/>
      <c r="AI108" s="214"/>
      <c r="AJ108" s="215"/>
    </row>
    <row r="109">
      <c r="H109" s="208">
        <v>45825.0</v>
      </c>
      <c r="I109" s="209" t="s">
        <v>38</v>
      </c>
      <c r="J109" s="209" t="s">
        <v>36</v>
      </c>
      <c r="K109" s="210">
        <v>263577.0</v>
      </c>
      <c r="L109" s="211" t="s">
        <v>64</v>
      </c>
      <c r="M109" s="143"/>
      <c r="N109" s="211" t="s">
        <v>661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IFERROR(__xludf.DUMMYFUNCTION("FILTER('설정시트'!$D$7:$L$20,'설정시트'!$C$7:$C$20=I109)"),"의류/잡화")</f>
        <v>의류/잡화</v>
      </c>
      <c r="AC109" s="214" t="str">
        <f>IFERROR(__xludf.DUMMYFUNCTION("""COMPUTED_VALUE"""),"OTT")</f>
        <v>OTT</v>
      </c>
      <c r="AD109" s="214" t="str">
        <f>IFERROR(__xludf.DUMMYFUNCTION("""COMPUTED_VALUE"""),"문화생활")</f>
        <v>문화생활</v>
      </c>
      <c r="AE109" s="214" t="str">
        <f>IFERROR(__xludf.DUMMYFUNCTION("""COMPUTED_VALUE"""),"자기계발")</f>
        <v>자기계발</v>
      </c>
      <c r="AF109" s="214" t="str">
        <f>IFERROR(__xludf.DUMMYFUNCTION("""COMPUTED_VALUE"""),"미용")</f>
        <v>미용</v>
      </c>
      <c r="AG109" s="214"/>
      <c r="AH109" s="214" t="str">
        <f>IFERROR(__xludf.DUMMYFUNCTION("""COMPUTED_VALUE"""),"기타")</f>
        <v>기타</v>
      </c>
      <c r="AI109" s="214"/>
      <c r="AJ109" s="215"/>
    </row>
    <row r="110">
      <c r="H110" s="208">
        <v>45825.0</v>
      </c>
      <c r="I110" s="217" t="s">
        <v>31</v>
      </c>
      <c r="J110" s="217" t="s">
        <v>29</v>
      </c>
      <c r="K110" s="218">
        <v>2000.0</v>
      </c>
      <c r="L110" s="211" t="s">
        <v>64</v>
      </c>
      <c r="M110" s="143"/>
      <c r="N110" s="211" t="s">
        <v>662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IFERROR(__xludf.DUMMYFUNCTION("FILTER('설정시트'!$D$7:$L$20,'설정시트'!$C$7:$C$20=I110)"),"식재료비")</f>
        <v>식재료비</v>
      </c>
      <c r="AC110" s="214" t="str">
        <f>IFERROR(__xludf.DUMMYFUNCTION("""COMPUTED_VALUE"""),"회사점심")</f>
        <v>회사점심</v>
      </c>
      <c r="AD110" s="214" t="str">
        <f>IFERROR(__xludf.DUMMYFUNCTION("""COMPUTED_VALUE"""),"간식/카페")</f>
        <v>간식/카페</v>
      </c>
      <c r="AE110" s="214" t="str">
        <f>IFERROR(__xludf.DUMMYFUNCTION("""COMPUTED_VALUE"""),"외식/배달")</f>
        <v>외식/배달</v>
      </c>
      <c r="AF110" s="214" t="str">
        <f>IFERROR(__xludf.DUMMYFUNCTION("""COMPUTED_VALUE"""),"기타")</f>
        <v>기타</v>
      </c>
      <c r="AG110" s="214"/>
      <c r="AH110" s="214"/>
      <c r="AI110" s="214"/>
      <c r="AJ110" s="215"/>
    </row>
    <row r="111">
      <c r="H111" s="208">
        <v>45825.0</v>
      </c>
      <c r="I111" s="217" t="s">
        <v>31</v>
      </c>
      <c r="J111" s="217" t="s">
        <v>27</v>
      </c>
      <c r="K111" s="218">
        <v>15740.0</v>
      </c>
      <c r="L111" s="211" t="s">
        <v>64</v>
      </c>
      <c r="M111" s="143"/>
      <c r="N111" s="211" t="s">
        <v>663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IFERROR(__xludf.DUMMYFUNCTION("FILTER('설정시트'!$D$7:$L$20,'설정시트'!$C$7:$C$20=I111)"),"식재료비")</f>
        <v>식재료비</v>
      </c>
      <c r="AC111" s="214" t="str">
        <f>IFERROR(__xludf.DUMMYFUNCTION("""COMPUTED_VALUE"""),"회사점심")</f>
        <v>회사점심</v>
      </c>
      <c r="AD111" s="214" t="str">
        <f>IFERROR(__xludf.DUMMYFUNCTION("""COMPUTED_VALUE"""),"간식/카페")</f>
        <v>간식/카페</v>
      </c>
      <c r="AE111" s="214" t="str">
        <f>IFERROR(__xludf.DUMMYFUNCTION("""COMPUTED_VALUE"""),"외식/배달")</f>
        <v>외식/배달</v>
      </c>
      <c r="AF111" s="214" t="str">
        <f>IFERROR(__xludf.DUMMYFUNCTION("""COMPUTED_VALUE"""),"기타")</f>
        <v>기타</v>
      </c>
      <c r="AG111" s="214"/>
      <c r="AH111" s="214"/>
      <c r="AI111" s="214"/>
      <c r="AJ111" s="215"/>
    </row>
    <row r="112">
      <c r="H112" s="208">
        <v>45825.0</v>
      </c>
      <c r="I112" s="217" t="s">
        <v>26</v>
      </c>
      <c r="J112" s="217" t="s">
        <v>29</v>
      </c>
      <c r="K112" s="218">
        <v>14000.0</v>
      </c>
      <c r="L112" s="211" t="s">
        <v>58</v>
      </c>
      <c r="M112" s="143"/>
      <c r="N112" s="211" t="s">
        <v>664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08">
        <v>45826.0</v>
      </c>
      <c r="I113" s="209" t="s">
        <v>39</v>
      </c>
      <c r="J113" s="209" t="s">
        <v>43</v>
      </c>
      <c r="K113" s="210">
        <v>100000.0</v>
      </c>
      <c r="L113" s="211" t="s">
        <v>64</v>
      </c>
      <c r="M113" s="143"/>
      <c r="N113" s="211" t="s">
        <v>665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IFERROR(__xludf.DUMMYFUNCTION("FILTER('설정시트'!$D$7:$L$20,'설정시트'!$C$7:$C$20=I113)"),"약국")</f>
        <v>약국</v>
      </c>
      <c r="AC113" s="214" t="str">
        <f>IFERROR(__xludf.DUMMYFUNCTION("""COMPUTED_VALUE"""),"병원비")</f>
        <v>병원비</v>
      </c>
      <c r="AD113" s="214" t="str">
        <f>IFERROR(__xludf.DUMMYFUNCTION("""COMPUTED_VALUE"""),"영양제")</f>
        <v>영양제</v>
      </c>
      <c r="AE113" s="214" t="str">
        <f>IFERROR(__xludf.DUMMYFUNCTION("""COMPUTED_VALUE"""),"교통비")</f>
        <v>교통비</v>
      </c>
      <c r="AF113" s="214" t="str">
        <f>IFERROR(__xludf.DUMMYFUNCTION("""COMPUTED_VALUE"""),"주유비")</f>
        <v>주유비</v>
      </c>
      <c r="AG113" s="214"/>
      <c r="AH113" s="214" t="str">
        <f>IFERROR(__xludf.DUMMYFUNCTION("""COMPUTED_VALUE"""),"기타")</f>
        <v>기타</v>
      </c>
      <c r="AI113" s="214"/>
      <c r="AJ113" s="215"/>
    </row>
    <row r="114">
      <c r="H114" s="208">
        <v>45826.0</v>
      </c>
      <c r="I114" s="217" t="s">
        <v>46</v>
      </c>
      <c r="J114" s="217" t="s">
        <v>8</v>
      </c>
      <c r="K114" s="218">
        <v>103550.0</v>
      </c>
      <c r="L114" s="211" t="s">
        <v>58</v>
      </c>
      <c r="M114" s="143"/>
      <c r="N114" s="211" t="s">
        <v>666</v>
      </c>
      <c r="O114" s="212"/>
      <c r="P114" s="212"/>
      <c r="Q114" s="143"/>
      <c r="R114" s="211"/>
      <c r="S114" s="212"/>
      <c r="T114" s="145"/>
      <c r="AB114" s="214" t="str">
        <f>IFERROR(__xludf.DUMMYFUNCTION("FILTER('설정시트'!$D$7:$L$20,'설정시트'!$C$7:$C$20=I114)"),"축의/부의금")</f>
        <v>축의/부의금</v>
      </c>
      <c r="AC114" s="214" t="str">
        <f>IFERROR(__xludf.DUMMYFUNCTION("""COMPUTED_VALUE"""),"생신/생일선물")</f>
        <v>생신/생일선물</v>
      </c>
      <c r="AD114" s="214" t="str">
        <f>IFERROR(__xludf.DUMMYFUNCTION("""COMPUTED_VALUE"""),"명절/어버이날")</f>
        <v>명절/어버이날</v>
      </c>
      <c r="AE114" s="214" t="str">
        <f>IFERROR(__xludf.DUMMYFUNCTION("""COMPUTED_VALUE"""),"여행")</f>
        <v>여행</v>
      </c>
      <c r="AF114" s="214" t="str">
        <f>IFERROR(__xludf.DUMMYFUNCTION("""COMPUTED_VALUE"""),"기타")</f>
        <v>기타</v>
      </c>
      <c r="AG114" s="214" t="str">
        <f>IFERROR(__xludf.DUMMYFUNCTION("""COMPUTED_VALUE"""),"출산")</f>
        <v>출산</v>
      </c>
      <c r="AH114" s="214"/>
      <c r="AI114" s="214"/>
      <c r="AJ114" s="215"/>
    </row>
    <row r="115">
      <c r="H115" s="208">
        <v>45827.0</v>
      </c>
      <c r="I115" s="209" t="s">
        <v>31</v>
      </c>
      <c r="J115" s="209" t="s">
        <v>29</v>
      </c>
      <c r="K115" s="210">
        <v>1200.0</v>
      </c>
      <c r="L115" s="211" t="s">
        <v>61</v>
      </c>
      <c r="M115" s="143"/>
      <c r="N115" s="211" t="s">
        <v>667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IFERROR(__xludf.DUMMYFUNCTION("FILTER('설정시트'!$D$7:$L$20,'설정시트'!$C$7:$C$20=I115)"),"식재료비")</f>
        <v>식재료비</v>
      </c>
      <c r="AC115" s="214" t="str">
        <f>IFERROR(__xludf.DUMMYFUNCTION("""COMPUTED_VALUE"""),"회사점심")</f>
        <v>회사점심</v>
      </c>
      <c r="AD115" s="214" t="str">
        <f>IFERROR(__xludf.DUMMYFUNCTION("""COMPUTED_VALUE"""),"간식/카페")</f>
        <v>간식/카페</v>
      </c>
      <c r="AE115" s="214" t="str">
        <f>IFERROR(__xludf.DUMMYFUNCTION("""COMPUTED_VALUE"""),"외식/배달")</f>
        <v>외식/배달</v>
      </c>
      <c r="AF115" s="214" t="str">
        <f>IFERROR(__xludf.DUMMYFUNCTION("""COMPUTED_VALUE"""),"기타")</f>
        <v>기타</v>
      </c>
      <c r="AG115" s="214"/>
      <c r="AH115" s="214"/>
      <c r="AI115" s="214"/>
      <c r="AJ115" s="215"/>
    </row>
    <row r="116">
      <c r="H116" s="208">
        <v>45827.0</v>
      </c>
      <c r="I116" s="209" t="s">
        <v>26</v>
      </c>
      <c r="J116" s="209" t="s">
        <v>28</v>
      </c>
      <c r="K116" s="210">
        <v>11500.0</v>
      </c>
      <c r="L116" s="211" t="s">
        <v>64</v>
      </c>
      <c r="M116" s="143"/>
      <c r="N116" s="211" t="s">
        <v>668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IFERROR(__xludf.DUMMYFUNCTION("FILTER('설정시트'!$D$7:$L$20,'설정시트'!$C$7:$C$20=I116)"),"식재료비")</f>
        <v>식재료비</v>
      </c>
      <c r="AC116" s="214" t="str">
        <f>IFERROR(__xludf.DUMMYFUNCTION("""COMPUTED_VALUE"""),"회사점심")</f>
        <v>회사점심</v>
      </c>
      <c r="AD116" s="214" t="str">
        <f>IFERROR(__xludf.DUMMYFUNCTION("""COMPUTED_VALUE"""),"간식/카페")</f>
        <v>간식/카페</v>
      </c>
      <c r="AE116" s="214" t="str">
        <f>IFERROR(__xludf.DUMMYFUNCTION("""COMPUTED_VALUE"""),"외식/배달")</f>
        <v>외식/배달</v>
      </c>
      <c r="AF116" s="214" t="str">
        <f>IFERROR(__xludf.DUMMYFUNCTION("""COMPUTED_VALUE"""),"기타")</f>
        <v>기타</v>
      </c>
      <c r="AG116" s="214"/>
      <c r="AH116" s="214"/>
      <c r="AI116" s="214"/>
      <c r="AJ116" s="215"/>
    </row>
    <row r="117">
      <c r="H117" s="208">
        <v>45827.0</v>
      </c>
      <c r="I117" s="209" t="s">
        <v>38</v>
      </c>
      <c r="J117" s="209" t="s">
        <v>37</v>
      </c>
      <c r="K117" s="216">
        <v>30000.0</v>
      </c>
      <c r="L117" s="211" t="s">
        <v>64</v>
      </c>
      <c r="M117" s="143"/>
      <c r="N117" s="211" t="s">
        <v>553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IFERROR(__xludf.DUMMYFUNCTION("FILTER('설정시트'!$D$7:$L$20,'설정시트'!$C$7:$C$20=I117)"),"의류/잡화")</f>
        <v>의류/잡화</v>
      </c>
      <c r="AC117" s="214" t="str">
        <f>IFERROR(__xludf.DUMMYFUNCTION("""COMPUTED_VALUE"""),"OTT")</f>
        <v>OTT</v>
      </c>
      <c r="AD117" s="214" t="str">
        <f>IFERROR(__xludf.DUMMYFUNCTION("""COMPUTED_VALUE"""),"문화생활")</f>
        <v>문화생활</v>
      </c>
      <c r="AE117" s="214" t="str">
        <f>IFERROR(__xludf.DUMMYFUNCTION("""COMPUTED_VALUE"""),"자기계발")</f>
        <v>자기계발</v>
      </c>
      <c r="AF117" s="214" t="str">
        <f>IFERROR(__xludf.DUMMYFUNCTION("""COMPUTED_VALUE"""),"미용")</f>
        <v>미용</v>
      </c>
      <c r="AG117" s="214"/>
      <c r="AH117" s="214" t="str">
        <f>IFERROR(__xludf.DUMMYFUNCTION("""COMPUTED_VALUE"""),"기타")</f>
        <v>기타</v>
      </c>
      <c r="AI117" s="214"/>
      <c r="AJ117" s="215"/>
    </row>
    <row r="118">
      <c r="H118" s="208">
        <v>45828.0</v>
      </c>
      <c r="I118" s="209" t="s">
        <v>31</v>
      </c>
      <c r="J118" s="209" t="s">
        <v>29</v>
      </c>
      <c r="K118" s="210">
        <v>1200.0</v>
      </c>
      <c r="L118" s="211" t="s">
        <v>64</v>
      </c>
      <c r="M118" s="143"/>
      <c r="N118" s="211" t="s">
        <v>667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IFERROR(__xludf.DUMMYFUNCTION("FILTER('설정시트'!$D$7:$L$20,'설정시트'!$C$7:$C$20=I118)"),"식재료비")</f>
        <v>식재료비</v>
      </c>
      <c r="AC118" s="214" t="str">
        <f>IFERROR(__xludf.DUMMYFUNCTION("""COMPUTED_VALUE"""),"회사점심")</f>
        <v>회사점심</v>
      </c>
      <c r="AD118" s="214" t="str">
        <f>IFERROR(__xludf.DUMMYFUNCTION("""COMPUTED_VALUE"""),"간식/카페")</f>
        <v>간식/카페</v>
      </c>
      <c r="AE118" s="214" t="str">
        <f>IFERROR(__xludf.DUMMYFUNCTION("""COMPUTED_VALUE"""),"외식/배달")</f>
        <v>외식/배달</v>
      </c>
      <c r="AF118" s="214" t="str">
        <f>IFERROR(__xludf.DUMMYFUNCTION("""COMPUTED_VALUE"""),"기타")</f>
        <v>기타</v>
      </c>
      <c r="AG118" s="214"/>
      <c r="AH118" s="214"/>
      <c r="AI118" s="214"/>
      <c r="AJ118" s="215"/>
    </row>
    <row r="119">
      <c r="H119" s="208">
        <v>45828.0</v>
      </c>
      <c r="I119" s="209" t="s">
        <v>21</v>
      </c>
      <c r="J119" s="209" t="s">
        <v>15</v>
      </c>
      <c r="K119" s="210">
        <v>29410.0</v>
      </c>
      <c r="L119" s="211" t="s">
        <v>64</v>
      </c>
      <c r="M119" s="143"/>
      <c r="N119" s="211" t="s">
        <v>351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IFERROR(__xludf.DUMMYFUNCTION("FILTER('설정시트'!$D$7:$L$20,'설정시트'!$C$7:$C$20=I119)"),"관리비")</f>
        <v>관리비</v>
      </c>
      <c r="AC119" s="214" t="str">
        <f>IFERROR(__xludf.DUMMYFUNCTION("""COMPUTED_VALUE"""),"대출이자")</f>
        <v>대출이자</v>
      </c>
      <c r="AD119" s="214" t="str">
        <f>IFERROR(__xludf.DUMMYFUNCTION("""COMPUTED_VALUE"""),"통신비")</f>
        <v>통신비</v>
      </c>
      <c r="AE119" s="214" t="str">
        <f>IFERROR(__xludf.DUMMYFUNCTION("""COMPUTED_VALUE"""),"보험료")</f>
        <v>보험료</v>
      </c>
      <c r="AF119" s="214" t="str">
        <f>IFERROR(__xludf.DUMMYFUNCTION("""COMPUTED_VALUE"""),"곗돈")</f>
        <v>곗돈</v>
      </c>
      <c r="AG119" s="214"/>
      <c r="AH119" s="214"/>
      <c r="AI119" s="214"/>
      <c r="AJ119" s="215"/>
    </row>
    <row r="120">
      <c r="H120" s="208">
        <v>45828.0</v>
      </c>
      <c r="I120" s="209" t="s">
        <v>52</v>
      </c>
      <c r="J120" s="209" t="s">
        <v>8</v>
      </c>
      <c r="K120" s="216">
        <v>10000.0</v>
      </c>
      <c r="L120" s="211" t="s">
        <v>62</v>
      </c>
      <c r="M120" s="143"/>
      <c r="N120" s="211" t="s">
        <v>669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IFERROR(__xludf.DUMMYFUNCTION("FILTER('설정시트'!$D$7:$L$20,'설정시트'!$C$7:$C$20=I120)"),"축의/부의금")</f>
        <v>축의/부의금</v>
      </c>
      <c r="AC120" s="214" t="str">
        <f>IFERROR(__xludf.DUMMYFUNCTION("""COMPUTED_VALUE"""),"생신/생일선물")</f>
        <v>생신/생일선물</v>
      </c>
      <c r="AD120" s="214" t="str">
        <f>IFERROR(__xludf.DUMMYFUNCTION("""COMPUTED_VALUE"""),"명절/어버이날")</f>
        <v>명절/어버이날</v>
      </c>
      <c r="AE120" s="214" t="str">
        <f>IFERROR(__xludf.DUMMYFUNCTION("""COMPUTED_VALUE"""),"여행")</f>
        <v>여행</v>
      </c>
      <c r="AF120" s="214" t="str">
        <f>IFERROR(__xludf.DUMMYFUNCTION("""COMPUTED_VALUE"""),"기타")</f>
        <v>기타</v>
      </c>
      <c r="AG120" s="214" t="str">
        <f>IFERROR(__xludf.DUMMYFUNCTION("""COMPUTED_VALUE"""),"출산")</f>
        <v>출산</v>
      </c>
      <c r="AH120" s="214"/>
      <c r="AI120" s="214"/>
      <c r="AJ120" s="215"/>
    </row>
    <row r="121">
      <c r="H121" s="208">
        <v>45828.0</v>
      </c>
      <c r="I121" s="217" t="s">
        <v>26</v>
      </c>
      <c r="J121" s="217" t="s">
        <v>30</v>
      </c>
      <c r="K121" s="218">
        <v>29800.0</v>
      </c>
      <c r="L121" s="211" t="s">
        <v>58</v>
      </c>
      <c r="M121" s="143"/>
      <c r="N121" s="211" t="s">
        <v>670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45828.0</v>
      </c>
      <c r="I122" s="217" t="s">
        <v>22</v>
      </c>
      <c r="J122" s="217" t="s">
        <v>8</v>
      </c>
      <c r="K122" s="218">
        <v>17460.0</v>
      </c>
      <c r="L122" s="211" t="s">
        <v>58</v>
      </c>
      <c r="M122" s="143"/>
      <c r="N122" s="211" t="s">
        <v>671</v>
      </c>
      <c r="O122" s="212"/>
      <c r="P122" s="212"/>
      <c r="Q122" s="143"/>
      <c r="R122" s="211"/>
      <c r="S122" s="212"/>
      <c r="T122" s="145"/>
      <c r="AB122" s="214" t="str">
        <f>IFERROR(__xludf.DUMMYFUNCTION("FILTER('설정시트'!$D$7:$L$20,'설정시트'!$C$7:$C$20=I122)"),"주방/욕실")</f>
        <v>주방/욕실</v>
      </c>
      <c r="AC122" s="214" t="str">
        <f>IFERROR(__xludf.DUMMYFUNCTION("""COMPUTED_VALUE"""),"소모품")</f>
        <v>소모품</v>
      </c>
      <c r="AD122" s="214" t="str">
        <f>IFERROR(__xludf.DUMMYFUNCTION("""COMPUTED_VALUE"""),"기타")</f>
        <v>기타</v>
      </c>
      <c r="AE122" s="214"/>
      <c r="AF122" s="214"/>
      <c r="AG122" s="214"/>
      <c r="AH122" s="214"/>
      <c r="AI122" s="214"/>
      <c r="AJ122" s="215"/>
    </row>
    <row r="123">
      <c r="H123" s="208">
        <v>45828.0</v>
      </c>
      <c r="I123" s="217" t="s">
        <v>22</v>
      </c>
      <c r="J123" s="217" t="s">
        <v>8</v>
      </c>
      <c r="K123" s="218">
        <v>4670.0</v>
      </c>
      <c r="L123" s="211" t="s">
        <v>58</v>
      </c>
      <c r="M123" s="143"/>
      <c r="N123" s="211" t="s">
        <v>672</v>
      </c>
      <c r="O123" s="212"/>
      <c r="P123" s="212"/>
      <c r="Q123" s="143"/>
      <c r="R123" s="211"/>
      <c r="S123" s="212"/>
      <c r="T123" s="145"/>
      <c r="AB123" s="214" t="str">
        <f>IFERROR(__xludf.DUMMYFUNCTION("FILTER('설정시트'!$D$7:$L$20,'설정시트'!$C$7:$C$20=I123)"),"주방/욕실")</f>
        <v>주방/욕실</v>
      </c>
      <c r="AC123" s="214" t="str">
        <f>IFERROR(__xludf.DUMMYFUNCTION("""COMPUTED_VALUE"""),"소모품")</f>
        <v>소모품</v>
      </c>
      <c r="AD123" s="214" t="str">
        <f>IFERROR(__xludf.DUMMYFUNCTION("""COMPUTED_VALUE"""),"기타")</f>
        <v>기타</v>
      </c>
      <c r="AE123" s="214"/>
      <c r="AF123" s="214"/>
      <c r="AG123" s="214"/>
      <c r="AH123" s="214"/>
      <c r="AI123" s="214"/>
      <c r="AJ123" s="215"/>
    </row>
    <row r="124">
      <c r="H124" s="208">
        <v>45828.0</v>
      </c>
      <c r="I124" s="217" t="s">
        <v>26</v>
      </c>
      <c r="J124" s="217" t="s">
        <v>27</v>
      </c>
      <c r="K124" s="218">
        <v>12906.0</v>
      </c>
      <c r="L124" s="211" t="s">
        <v>58</v>
      </c>
      <c r="M124" s="143"/>
      <c r="N124" s="211" t="s">
        <v>673</v>
      </c>
      <c r="O124" s="212"/>
      <c r="P124" s="212"/>
      <c r="Q124" s="143"/>
      <c r="R124" s="211"/>
      <c r="S124" s="212"/>
      <c r="T124" s="145"/>
      <c r="AB124" s="214" t="str">
        <f>IFERROR(__xludf.DUMMYFUNCTION("FILTER('설정시트'!$D$7:$L$20,'설정시트'!$C$7:$C$20=I124)"),"식재료비")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45829.0</v>
      </c>
      <c r="I125" s="209" t="s">
        <v>45</v>
      </c>
      <c r="J125" s="209" t="s">
        <v>44</v>
      </c>
      <c r="K125" s="216">
        <v>98000.0</v>
      </c>
      <c r="L125" s="211" t="s">
        <v>64</v>
      </c>
      <c r="M125" s="143"/>
      <c r="N125" s="213"/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IFERROR(__xludf.DUMMYFUNCTION("FILTER('설정시트'!$D$7:$L$20,'설정시트'!$C$7:$C$20=I125)"),"약국")</f>
        <v>약국</v>
      </c>
      <c r="AC125" s="214" t="str">
        <f>IFERROR(__xludf.DUMMYFUNCTION("""COMPUTED_VALUE"""),"병원비")</f>
        <v>병원비</v>
      </c>
      <c r="AD125" s="214" t="str">
        <f>IFERROR(__xludf.DUMMYFUNCTION("""COMPUTED_VALUE"""),"영양제")</f>
        <v>영양제</v>
      </c>
      <c r="AE125" s="214" t="str">
        <f>IFERROR(__xludf.DUMMYFUNCTION("""COMPUTED_VALUE"""),"교통비")</f>
        <v>교통비</v>
      </c>
      <c r="AF125" s="214" t="str">
        <f>IFERROR(__xludf.DUMMYFUNCTION("""COMPUTED_VALUE"""),"주유비")</f>
        <v>주유비</v>
      </c>
      <c r="AG125" s="214"/>
      <c r="AH125" s="214" t="str">
        <f>IFERROR(__xludf.DUMMYFUNCTION("""COMPUTED_VALUE"""),"기타")</f>
        <v>기타</v>
      </c>
      <c r="AI125" s="214"/>
      <c r="AJ125" s="215"/>
    </row>
    <row r="126">
      <c r="H126" s="208">
        <v>45829.0</v>
      </c>
      <c r="I126" s="209" t="s">
        <v>31</v>
      </c>
      <c r="J126" s="209" t="s">
        <v>27</v>
      </c>
      <c r="K126" s="210">
        <v>6560.0</v>
      </c>
      <c r="L126" s="211" t="s">
        <v>64</v>
      </c>
      <c r="M126" s="143"/>
      <c r="N126" s="211" t="s">
        <v>674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IFERROR(__xludf.DUMMYFUNCTION("FILTER('설정시트'!$D$7:$L$20,'설정시트'!$C$7:$C$20=I126)"),"식재료비")</f>
        <v>식재료비</v>
      </c>
      <c r="AC126" s="214" t="str">
        <f>IFERROR(__xludf.DUMMYFUNCTION("""COMPUTED_VALUE"""),"회사점심")</f>
        <v>회사점심</v>
      </c>
      <c r="AD126" s="214" t="str">
        <f>IFERROR(__xludf.DUMMYFUNCTION("""COMPUTED_VALUE"""),"간식/카페")</f>
        <v>간식/카페</v>
      </c>
      <c r="AE126" s="214" t="str">
        <f>IFERROR(__xludf.DUMMYFUNCTION("""COMPUTED_VALUE"""),"외식/배달")</f>
        <v>외식/배달</v>
      </c>
      <c r="AF126" s="214" t="str">
        <f>IFERROR(__xludf.DUMMYFUNCTION("""COMPUTED_VALUE"""),"기타")</f>
        <v>기타</v>
      </c>
      <c r="AG126" s="214"/>
      <c r="AH126" s="214"/>
      <c r="AI126" s="214"/>
      <c r="AJ126" s="215"/>
    </row>
    <row r="127">
      <c r="H127" s="208">
        <v>45829.0</v>
      </c>
      <c r="I127" s="209" t="s">
        <v>31</v>
      </c>
      <c r="J127" s="209" t="s">
        <v>29</v>
      </c>
      <c r="K127" s="210">
        <v>2400.0</v>
      </c>
      <c r="L127" s="211" t="s">
        <v>64</v>
      </c>
      <c r="M127" s="143"/>
      <c r="N127" s="211" t="s">
        <v>320</v>
      </c>
      <c r="O127" s="212"/>
      <c r="P127" s="212"/>
      <c r="Q127" s="143"/>
      <c r="R127" s="213"/>
      <c r="S127" s="212"/>
      <c r="T127" s="145"/>
      <c r="U127" s="34" t="s">
        <v>675</v>
      </c>
      <c r="AB127" s="214" t="str">
        <f>IFERROR(__xludf.DUMMYFUNCTION("FILTER('설정시트'!$D$7:$L$20,'설정시트'!$C$7:$C$20=I127)"),"식재료비")</f>
        <v>식재료비</v>
      </c>
      <c r="AC127" s="214" t="str">
        <f>IFERROR(__xludf.DUMMYFUNCTION("""COMPUTED_VALUE"""),"회사점심")</f>
        <v>회사점심</v>
      </c>
      <c r="AD127" s="214" t="str">
        <f>IFERROR(__xludf.DUMMYFUNCTION("""COMPUTED_VALUE"""),"간식/카페")</f>
        <v>간식/카페</v>
      </c>
      <c r="AE127" s="214" t="str">
        <f>IFERROR(__xludf.DUMMYFUNCTION("""COMPUTED_VALUE"""),"외식/배달")</f>
        <v>외식/배달</v>
      </c>
      <c r="AF127" s="214" t="str">
        <f>IFERROR(__xludf.DUMMYFUNCTION("""COMPUTED_VALUE"""),"기타")</f>
        <v>기타</v>
      </c>
      <c r="AG127" s="214"/>
      <c r="AH127" s="214"/>
      <c r="AI127" s="214"/>
      <c r="AJ127" s="215"/>
    </row>
    <row r="128">
      <c r="H128" s="208">
        <v>45829.0</v>
      </c>
      <c r="I128" s="209" t="s">
        <v>31</v>
      </c>
      <c r="J128" s="209" t="s">
        <v>29</v>
      </c>
      <c r="K128" s="216">
        <v>12000.0</v>
      </c>
      <c r="L128" s="211" t="s">
        <v>64</v>
      </c>
      <c r="M128" s="143"/>
      <c r="N128" s="211" t="s">
        <v>676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IFERROR(__xludf.DUMMYFUNCTION("FILTER('설정시트'!$D$7:$L$20,'설정시트'!$C$7:$C$20=I128)"),"식재료비")</f>
        <v>식재료비</v>
      </c>
      <c r="AC128" s="214" t="str">
        <f>IFERROR(__xludf.DUMMYFUNCTION("""COMPUTED_VALUE"""),"회사점심")</f>
        <v>회사점심</v>
      </c>
      <c r="AD128" s="214" t="str">
        <f>IFERROR(__xludf.DUMMYFUNCTION("""COMPUTED_VALUE"""),"간식/카페")</f>
        <v>간식/카페</v>
      </c>
      <c r="AE128" s="214" t="str">
        <f>IFERROR(__xludf.DUMMYFUNCTION("""COMPUTED_VALUE"""),"외식/배달")</f>
        <v>외식/배달</v>
      </c>
      <c r="AF128" s="214" t="str">
        <f>IFERROR(__xludf.DUMMYFUNCTION("""COMPUTED_VALUE"""),"기타")</f>
        <v>기타</v>
      </c>
      <c r="AG128" s="214"/>
      <c r="AH128" s="214"/>
      <c r="AI128" s="214"/>
      <c r="AJ128" s="215"/>
    </row>
    <row r="129">
      <c r="H129" s="208">
        <v>45829.0</v>
      </c>
      <c r="I129" s="209" t="s">
        <v>52</v>
      </c>
      <c r="J129" s="209" t="s">
        <v>48</v>
      </c>
      <c r="K129" s="216">
        <v>29000.0</v>
      </c>
      <c r="L129" s="211" t="s">
        <v>64</v>
      </c>
      <c r="M129" s="143"/>
      <c r="N129" s="211" t="s">
        <v>677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IFERROR(__xludf.DUMMYFUNCTION("FILTER('설정시트'!$D$7:$L$20,'설정시트'!$C$7:$C$20=I129)"),"축의/부의금")</f>
        <v>축의/부의금</v>
      </c>
      <c r="AC129" s="214" t="str">
        <f>IFERROR(__xludf.DUMMYFUNCTION("""COMPUTED_VALUE"""),"생신/생일선물")</f>
        <v>생신/생일선물</v>
      </c>
      <c r="AD129" s="214" t="str">
        <f>IFERROR(__xludf.DUMMYFUNCTION("""COMPUTED_VALUE"""),"명절/어버이날")</f>
        <v>명절/어버이날</v>
      </c>
      <c r="AE129" s="214" t="str">
        <f>IFERROR(__xludf.DUMMYFUNCTION("""COMPUTED_VALUE"""),"여행")</f>
        <v>여행</v>
      </c>
      <c r="AF129" s="214" t="str">
        <f>IFERROR(__xludf.DUMMYFUNCTION("""COMPUTED_VALUE"""),"기타")</f>
        <v>기타</v>
      </c>
      <c r="AG129" s="214" t="str">
        <f>IFERROR(__xludf.DUMMYFUNCTION("""COMPUTED_VALUE"""),"출산")</f>
        <v>출산</v>
      </c>
      <c r="AH129" s="214"/>
      <c r="AI129" s="214"/>
      <c r="AJ129" s="215"/>
    </row>
    <row r="130">
      <c r="H130" s="208">
        <v>45829.0</v>
      </c>
      <c r="I130" s="209" t="s">
        <v>31</v>
      </c>
      <c r="J130" s="209" t="s">
        <v>27</v>
      </c>
      <c r="K130" s="216">
        <v>39920.0</v>
      </c>
      <c r="L130" s="211" t="s">
        <v>64</v>
      </c>
      <c r="M130" s="143"/>
      <c r="N130" s="211" t="s">
        <v>678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IFERROR(__xludf.DUMMYFUNCTION("FILTER('설정시트'!$D$7:$L$20,'설정시트'!$C$7:$C$20=I130)"),"식재료비")</f>
        <v>식재료비</v>
      </c>
      <c r="AC130" s="214" t="str">
        <f>IFERROR(__xludf.DUMMYFUNCTION("""COMPUTED_VALUE"""),"회사점심")</f>
        <v>회사점심</v>
      </c>
      <c r="AD130" s="214" t="str">
        <f>IFERROR(__xludf.DUMMYFUNCTION("""COMPUTED_VALUE"""),"간식/카페")</f>
        <v>간식/카페</v>
      </c>
      <c r="AE130" s="214" t="str">
        <f>IFERROR(__xludf.DUMMYFUNCTION("""COMPUTED_VALUE"""),"외식/배달")</f>
        <v>외식/배달</v>
      </c>
      <c r="AF130" s="214" t="str">
        <f>IFERROR(__xludf.DUMMYFUNCTION("""COMPUTED_VALUE"""),"기타")</f>
        <v>기타</v>
      </c>
      <c r="AG130" s="214"/>
      <c r="AH130" s="214"/>
      <c r="AI130" s="214"/>
      <c r="AJ130" s="215"/>
    </row>
    <row r="131">
      <c r="H131" s="208">
        <v>45831.0</v>
      </c>
      <c r="I131" s="209" t="s">
        <v>31</v>
      </c>
      <c r="J131" s="209" t="s">
        <v>29</v>
      </c>
      <c r="K131" s="210">
        <v>1100.0</v>
      </c>
      <c r="L131" s="211" t="s">
        <v>61</v>
      </c>
      <c r="M131" s="143"/>
      <c r="N131" s="211" t="s">
        <v>616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IFERROR(__xludf.DUMMYFUNCTION("FILTER('설정시트'!$D$7:$L$20,'설정시트'!$C$7:$C$20=I131)"),"식재료비")</f>
        <v>식재료비</v>
      </c>
      <c r="AC131" s="214" t="str">
        <f>IFERROR(__xludf.DUMMYFUNCTION("""COMPUTED_VALUE"""),"회사점심")</f>
        <v>회사점심</v>
      </c>
      <c r="AD131" s="214" t="str">
        <f>IFERROR(__xludf.DUMMYFUNCTION("""COMPUTED_VALUE"""),"간식/카페")</f>
        <v>간식/카페</v>
      </c>
      <c r="AE131" s="214" t="str">
        <f>IFERROR(__xludf.DUMMYFUNCTION("""COMPUTED_VALUE"""),"외식/배달")</f>
        <v>외식/배달</v>
      </c>
      <c r="AF131" s="214" t="str">
        <f>IFERROR(__xludf.DUMMYFUNCTION("""COMPUTED_VALUE"""),"기타")</f>
        <v>기타</v>
      </c>
      <c r="AG131" s="214"/>
      <c r="AH131" s="214"/>
      <c r="AI131" s="214"/>
      <c r="AJ131" s="215"/>
    </row>
    <row r="132">
      <c r="H132" s="208">
        <v>45831.0</v>
      </c>
      <c r="I132" s="209" t="s">
        <v>31</v>
      </c>
      <c r="J132" s="209" t="s">
        <v>29</v>
      </c>
      <c r="K132" s="216">
        <v>1100.0</v>
      </c>
      <c r="L132" s="211" t="s">
        <v>61</v>
      </c>
      <c r="M132" s="143"/>
      <c r="N132" s="211" t="s">
        <v>281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IFERROR(__xludf.DUMMYFUNCTION("FILTER('설정시트'!$D$7:$L$20,'설정시트'!$C$7:$C$20=I132)"),"식재료비")</f>
        <v>식재료비</v>
      </c>
      <c r="AC132" s="214" t="str">
        <f>IFERROR(__xludf.DUMMYFUNCTION("""COMPUTED_VALUE"""),"회사점심")</f>
        <v>회사점심</v>
      </c>
      <c r="AD132" s="214" t="str">
        <f>IFERROR(__xludf.DUMMYFUNCTION("""COMPUTED_VALUE"""),"간식/카페")</f>
        <v>간식/카페</v>
      </c>
      <c r="AE132" s="214" t="str">
        <f>IFERROR(__xludf.DUMMYFUNCTION("""COMPUTED_VALUE"""),"외식/배달")</f>
        <v>외식/배달</v>
      </c>
      <c r="AF132" s="214" t="str">
        <f>IFERROR(__xludf.DUMMYFUNCTION("""COMPUTED_VALUE"""),"기타")</f>
        <v>기타</v>
      </c>
      <c r="AG132" s="214"/>
      <c r="AH132" s="214"/>
      <c r="AI132" s="214"/>
      <c r="AJ132" s="215"/>
    </row>
    <row r="133">
      <c r="H133" s="208">
        <v>45831.0</v>
      </c>
      <c r="I133" s="217" t="s">
        <v>26</v>
      </c>
      <c r="J133" s="217" t="s">
        <v>28</v>
      </c>
      <c r="K133" s="218">
        <v>13500.0</v>
      </c>
      <c r="L133" s="211" t="s">
        <v>64</v>
      </c>
      <c r="M133" s="143"/>
      <c r="N133" s="213"/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IFERROR(__xludf.DUMMYFUNCTION("FILTER('설정시트'!$D$7:$L$20,'설정시트'!$C$7:$C$20=I133)"),"식재료비")</f>
        <v>식재료비</v>
      </c>
      <c r="AC133" s="214" t="str">
        <f>IFERROR(__xludf.DUMMYFUNCTION("""COMPUTED_VALUE"""),"회사점심")</f>
        <v>회사점심</v>
      </c>
      <c r="AD133" s="214" t="str">
        <f>IFERROR(__xludf.DUMMYFUNCTION("""COMPUTED_VALUE"""),"간식/카페")</f>
        <v>간식/카페</v>
      </c>
      <c r="AE133" s="214" t="str">
        <f>IFERROR(__xludf.DUMMYFUNCTION("""COMPUTED_VALUE"""),"외식/배달")</f>
        <v>외식/배달</v>
      </c>
      <c r="AF133" s="214" t="str">
        <f>IFERROR(__xludf.DUMMYFUNCTION("""COMPUTED_VALUE"""),"기타")</f>
        <v>기타</v>
      </c>
      <c r="AG133" s="214"/>
      <c r="AH133" s="214"/>
      <c r="AI133" s="214"/>
      <c r="AJ133" s="215"/>
    </row>
    <row r="134">
      <c r="H134" s="208">
        <v>45831.0</v>
      </c>
      <c r="I134" s="217" t="s">
        <v>39</v>
      </c>
      <c r="J134" s="217" t="s">
        <v>42</v>
      </c>
      <c r="K134" s="218">
        <v>24741.0</v>
      </c>
      <c r="L134" s="211" t="s">
        <v>58</v>
      </c>
      <c r="M134" s="143"/>
      <c r="N134" s="211" t="s">
        <v>679</v>
      </c>
      <c r="O134" s="212"/>
      <c r="P134" s="212"/>
      <c r="Q134" s="143"/>
      <c r="R134" s="211"/>
      <c r="S134" s="212"/>
      <c r="T134" s="145"/>
      <c r="AB134" s="214" t="str">
        <f>IFERROR(__xludf.DUMMYFUNCTION("FILTER('설정시트'!$D$7:$L$20,'설정시트'!$C$7:$C$20=I134)"),"약국")</f>
        <v>약국</v>
      </c>
      <c r="AC134" s="214" t="str">
        <f>IFERROR(__xludf.DUMMYFUNCTION("""COMPUTED_VALUE"""),"병원비")</f>
        <v>병원비</v>
      </c>
      <c r="AD134" s="214" t="str">
        <f>IFERROR(__xludf.DUMMYFUNCTION("""COMPUTED_VALUE"""),"영양제")</f>
        <v>영양제</v>
      </c>
      <c r="AE134" s="214" t="str">
        <f>IFERROR(__xludf.DUMMYFUNCTION("""COMPUTED_VALUE"""),"교통비")</f>
        <v>교통비</v>
      </c>
      <c r="AF134" s="214" t="str">
        <f>IFERROR(__xludf.DUMMYFUNCTION("""COMPUTED_VALUE"""),"주유비")</f>
        <v>주유비</v>
      </c>
      <c r="AG134" s="214"/>
      <c r="AH134" s="214" t="str">
        <f>IFERROR(__xludf.DUMMYFUNCTION("""COMPUTED_VALUE"""),"기타")</f>
        <v>기타</v>
      </c>
      <c r="AI134" s="214"/>
      <c r="AJ134" s="215"/>
    </row>
    <row r="135">
      <c r="H135" s="208">
        <v>45831.0</v>
      </c>
      <c r="I135" s="217" t="s">
        <v>39</v>
      </c>
      <c r="J135" s="217" t="s">
        <v>41</v>
      </c>
      <c r="K135" s="218">
        <v>11400.0</v>
      </c>
      <c r="L135" s="211" t="s">
        <v>58</v>
      </c>
      <c r="M135" s="143"/>
      <c r="N135" s="211" t="s">
        <v>680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IFERROR(__xludf.DUMMYFUNCTION("FILTER('설정시트'!$D$7:$L$20,'설정시트'!$C$7:$C$20=I135)"),"약국")</f>
        <v>약국</v>
      </c>
      <c r="AC135" s="214" t="str">
        <f>IFERROR(__xludf.DUMMYFUNCTION("""COMPUTED_VALUE"""),"병원비")</f>
        <v>병원비</v>
      </c>
      <c r="AD135" s="214" t="str">
        <f>IFERROR(__xludf.DUMMYFUNCTION("""COMPUTED_VALUE"""),"영양제")</f>
        <v>영양제</v>
      </c>
      <c r="AE135" s="214" t="str">
        <f>IFERROR(__xludf.DUMMYFUNCTION("""COMPUTED_VALUE"""),"교통비")</f>
        <v>교통비</v>
      </c>
      <c r="AF135" s="214" t="str">
        <f>IFERROR(__xludf.DUMMYFUNCTION("""COMPUTED_VALUE"""),"주유비")</f>
        <v>주유비</v>
      </c>
      <c r="AG135" s="214"/>
      <c r="AH135" s="214" t="str">
        <f>IFERROR(__xludf.DUMMYFUNCTION("""COMPUTED_VALUE"""),"기타")</f>
        <v>기타</v>
      </c>
      <c r="AI135" s="214"/>
      <c r="AJ135" s="215"/>
    </row>
    <row r="136">
      <c r="H136" s="208">
        <v>45831.0</v>
      </c>
      <c r="I136" s="217" t="s">
        <v>3</v>
      </c>
      <c r="J136" s="217" t="s">
        <v>4</v>
      </c>
      <c r="K136" s="218">
        <v>3304700.0</v>
      </c>
      <c r="L136" s="213"/>
      <c r="M136" s="143"/>
      <c r="N136" s="211" t="s">
        <v>681</v>
      </c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IFERROR(__xludf.DUMMYFUNCTION("FILTER('설정시트'!$D$7:$L$20,'설정시트'!$C$7:$C$20=I136)"),"🍪 월급")</f>
        <v>🍪 월급</v>
      </c>
      <c r="AC136" s="214" t="str">
        <f>IFERROR(__xludf.DUMMYFUNCTION("""COMPUTED_VALUE"""),"🍪 부수입")</f>
        <v>🍪 부수입</v>
      </c>
      <c r="AD136" s="214" t="str">
        <f>IFERROR(__xludf.DUMMYFUNCTION("""COMPUTED_VALUE"""),"🐻 월급")</f>
        <v>🐻 월급</v>
      </c>
      <c r="AE136" s="214" t="str">
        <f>IFERROR(__xludf.DUMMYFUNCTION("""COMPUTED_VALUE"""),"🐻 부수입")</f>
        <v>🐻 부수입</v>
      </c>
      <c r="AF136" s="214" t="str">
        <f>IFERROR(__xludf.DUMMYFUNCTION("""COMPUTED_VALUE"""),"기타")</f>
        <v>기타</v>
      </c>
      <c r="AG136" s="214"/>
      <c r="AH136" s="214"/>
      <c r="AI136" s="214"/>
      <c r="AJ136" s="215"/>
    </row>
    <row r="137">
      <c r="H137" s="208">
        <v>45832.0</v>
      </c>
      <c r="I137" s="209" t="s">
        <v>21</v>
      </c>
      <c r="J137" s="209" t="s">
        <v>15</v>
      </c>
      <c r="K137" s="216">
        <v>223170.0</v>
      </c>
      <c r="L137" s="211" t="s">
        <v>64</v>
      </c>
      <c r="M137" s="143"/>
      <c r="N137" s="211" t="s">
        <v>619</v>
      </c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IFERROR(__xludf.DUMMYFUNCTION("FILTER('설정시트'!$D$7:$L$20,'설정시트'!$C$7:$C$20=I137)"),"관리비")</f>
        <v>관리비</v>
      </c>
      <c r="AC137" s="214" t="str">
        <f>IFERROR(__xludf.DUMMYFUNCTION("""COMPUTED_VALUE"""),"대출이자")</f>
        <v>대출이자</v>
      </c>
      <c r="AD137" s="214" t="str">
        <f>IFERROR(__xludf.DUMMYFUNCTION("""COMPUTED_VALUE"""),"통신비")</f>
        <v>통신비</v>
      </c>
      <c r="AE137" s="214" t="str">
        <f>IFERROR(__xludf.DUMMYFUNCTION("""COMPUTED_VALUE"""),"보험료")</f>
        <v>보험료</v>
      </c>
      <c r="AF137" s="214" t="str">
        <f>IFERROR(__xludf.DUMMYFUNCTION("""COMPUTED_VALUE"""),"곗돈")</f>
        <v>곗돈</v>
      </c>
      <c r="AG137" s="214"/>
      <c r="AH137" s="214"/>
      <c r="AI137" s="214"/>
      <c r="AJ137" s="215"/>
    </row>
    <row r="138">
      <c r="H138" s="208">
        <v>45832.0</v>
      </c>
      <c r="I138" s="209" t="s">
        <v>26</v>
      </c>
      <c r="J138" s="209" t="s">
        <v>27</v>
      </c>
      <c r="K138" s="216">
        <v>27600.0</v>
      </c>
      <c r="L138" s="211" t="s">
        <v>64</v>
      </c>
      <c r="M138" s="143"/>
      <c r="N138" s="211" t="s">
        <v>682</v>
      </c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IFERROR(__xludf.DUMMYFUNCTION("FILTER('설정시트'!$D$7:$L$20,'설정시트'!$C$7:$C$20=I138)"),"식재료비")</f>
        <v>식재료비</v>
      </c>
      <c r="AC138" s="214" t="str">
        <f>IFERROR(__xludf.DUMMYFUNCTION("""COMPUTED_VALUE"""),"회사점심")</f>
        <v>회사점심</v>
      </c>
      <c r="AD138" s="214" t="str">
        <f>IFERROR(__xludf.DUMMYFUNCTION("""COMPUTED_VALUE"""),"간식/카페")</f>
        <v>간식/카페</v>
      </c>
      <c r="AE138" s="214" t="str">
        <f>IFERROR(__xludf.DUMMYFUNCTION("""COMPUTED_VALUE"""),"외식/배달")</f>
        <v>외식/배달</v>
      </c>
      <c r="AF138" s="214" t="str">
        <f>IFERROR(__xludf.DUMMYFUNCTION("""COMPUTED_VALUE"""),"기타")</f>
        <v>기타</v>
      </c>
      <c r="AG138" s="214"/>
      <c r="AH138" s="214"/>
      <c r="AI138" s="214"/>
      <c r="AJ138" s="215"/>
    </row>
    <row r="139">
      <c r="H139" s="208">
        <v>45832.0</v>
      </c>
      <c r="I139" s="217" t="s">
        <v>26</v>
      </c>
      <c r="J139" s="217" t="s">
        <v>29</v>
      </c>
      <c r="K139" s="218">
        <v>12600.0</v>
      </c>
      <c r="L139" s="211" t="s">
        <v>58</v>
      </c>
      <c r="M139" s="143"/>
      <c r="N139" s="211" t="s">
        <v>683</v>
      </c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IFERROR(__xludf.DUMMYFUNCTION("FILTER('설정시트'!$D$7:$L$20,'설정시트'!$C$7:$C$20=I139)"),"식재료비")</f>
        <v>식재료비</v>
      </c>
      <c r="AC139" s="214" t="str">
        <f>IFERROR(__xludf.DUMMYFUNCTION("""COMPUTED_VALUE"""),"회사점심")</f>
        <v>회사점심</v>
      </c>
      <c r="AD139" s="214" t="str">
        <f>IFERROR(__xludf.DUMMYFUNCTION("""COMPUTED_VALUE"""),"간식/카페")</f>
        <v>간식/카페</v>
      </c>
      <c r="AE139" s="214" t="str">
        <f>IFERROR(__xludf.DUMMYFUNCTION("""COMPUTED_VALUE"""),"외식/배달")</f>
        <v>외식/배달</v>
      </c>
      <c r="AF139" s="214" t="str">
        <f>IFERROR(__xludf.DUMMYFUNCTION("""COMPUTED_VALUE"""),"기타")</f>
        <v>기타</v>
      </c>
      <c r="AG139" s="214"/>
      <c r="AH139" s="214"/>
      <c r="AI139" s="214"/>
      <c r="AJ139" s="215"/>
    </row>
    <row r="140">
      <c r="H140" s="208">
        <v>45833.0</v>
      </c>
      <c r="I140" s="209" t="s">
        <v>31</v>
      </c>
      <c r="J140" s="209" t="s">
        <v>29</v>
      </c>
      <c r="K140" s="216">
        <f>1200+1300</f>
        <v>2500</v>
      </c>
      <c r="L140" s="211" t="s">
        <v>61</v>
      </c>
      <c r="M140" s="143"/>
      <c r="N140" s="211" t="s">
        <v>684</v>
      </c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IFERROR(__xludf.DUMMYFUNCTION("FILTER('설정시트'!$D$7:$L$20,'설정시트'!$C$7:$C$20=I140)"),"식재료비")</f>
        <v>식재료비</v>
      </c>
      <c r="AC140" s="214" t="str">
        <f>IFERROR(__xludf.DUMMYFUNCTION("""COMPUTED_VALUE"""),"회사점심")</f>
        <v>회사점심</v>
      </c>
      <c r="AD140" s="214" t="str">
        <f>IFERROR(__xludf.DUMMYFUNCTION("""COMPUTED_VALUE"""),"간식/카페")</f>
        <v>간식/카페</v>
      </c>
      <c r="AE140" s="214" t="str">
        <f>IFERROR(__xludf.DUMMYFUNCTION("""COMPUTED_VALUE"""),"외식/배달")</f>
        <v>외식/배달</v>
      </c>
      <c r="AF140" s="214" t="str">
        <f>IFERROR(__xludf.DUMMYFUNCTION("""COMPUTED_VALUE"""),"기타")</f>
        <v>기타</v>
      </c>
      <c r="AG140" s="214"/>
      <c r="AH140" s="214"/>
      <c r="AI140" s="214"/>
      <c r="AJ140" s="215"/>
    </row>
    <row r="141">
      <c r="H141" s="208">
        <v>45833.0</v>
      </c>
      <c r="I141" s="209" t="s">
        <v>21</v>
      </c>
      <c r="J141" s="209" t="s">
        <v>20</v>
      </c>
      <c r="K141" s="216">
        <v>20000.0</v>
      </c>
      <c r="L141" s="211" t="s">
        <v>62</v>
      </c>
      <c r="M141" s="143"/>
      <c r="N141" s="211" t="s">
        <v>685</v>
      </c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IFERROR(__xludf.DUMMYFUNCTION("FILTER('설정시트'!$D$7:$L$20,'설정시트'!$C$7:$C$20=I141)"),"관리비")</f>
        <v>관리비</v>
      </c>
      <c r="AC141" s="214" t="str">
        <f>IFERROR(__xludf.DUMMYFUNCTION("""COMPUTED_VALUE"""),"대출이자")</f>
        <v>대출이자</v>
      </c>
      <c r="AD141" s="214" t="str">
        <f>IFERROR(__xludf.DUMMYFUNCTION("""COMPUTED_VALUE"""),"통신비")</f>
        <v>통신비</v>
      </c>
      <c r="AE141" s="214" t="str">
        <f>IFERROR(__xludf.DUMMYFUNCTION("""COMPUTED_VALUE"""),"보험료")</f>
        <v>보험료</v>
      </c>
      <c r="AF141" s="214" t="str">
        <f>IFERROR(__xludf.DUMMYFUNCTION("""COMPUTED_VALUE"""),"곗돈")</f>
        <v>곗돈</v>
      </c>
      <c r="AG141" s="214"/>
      <c r="AH141" s="214"/>
      <c r="AI141" s="214"/>
      <c r="AJ141" s="215"/>
    </row>
    <row r="142">
      <c r="H142" s="208">
        <v>45833.0</v>
      </c>
      <c r="I142" s="209" t="s">
        <v>9</v>
      </c>
      <c r="J142" s="209" t="s">
        <v>13</v>
      </c>
      <c r="K142" s="216">
        <v>100000.0</v>
      </c>
      <c r="L142" s="211"/>
      <c r="M142" s="143"/>
      <c r="N142" s="211" t="s">
        <v>13</v>
      </c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IFERROR(__xludf.DUMMYFUNCTION("FILTER('설정시트'!$D$7:$L$20,'설정시트'!$C$7:$C$20=I142)"),"주택청약")</f>
        <v>주택청약</v>
      </c>
      <c r="AC142" s="214" t="str">
        <f>IFERROR(__xludf.DUMMYFUNCTION("""COMPUTED_VALUE"""),"우리은행")</f>
        <v>우리은행</v>
      </c>
      <c r="AD142" s="214" t="str">
        <f>IFERROR(__xludf.DUMMYFUNCTION("""COMPUTED_VALUE"""),"케이뱅크")</f>
        <v>케이뱅크</v>
      </c>
      <c r="AE142" s="214" t="str">
        <f>IFERROR(__xludf.DUMMYFUNCTION("""COMPUTED_VALUE"""),"연금저축")</f>
        <v>연금저축</v>
      </c>
      <c r="AF142" s="214"/>
      <c r="AG142" s="214"/>
      <c r="AH142" s="214"/>
      <c r="AI142" s="214"/>
      <c r="AJ142" s="215"/>
    </row>
    <row r="143">
      <c r="H143" s="208">
        <v>45833.0</v>
      </c>
      <c r="I143" s="217" t="s">
        <v>26</v>
      </c>
      <c r="J143" s="217" t="s">
        <v>30</v>
      </c>
      <c r="K143" s="218">
        <v>7200.0</v>
      </c>
      <c r="L143" s="211" t="s">
        <v>64</v>
      </c>
      <c r="M143" s="143"/>
      <c r="N143" s="211" t="s">
        <v>686</v>
      </c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IFERROR(__xludf.DUMMYFUNCTION("FILTER('설정시트'!$D$7:$L$20,'설정시트'!$C$7:$C$20=I143)"),"식재료비")</f>
        <v>식재료비</v>
      </c>
      <c r="AC143" s="214" t="str">
        <f>IFERROR(__xludf.DUMMYFUNCTION("""COMPUTED_VALUE"""),"회사점심")</f>
        <v>회사점심</v>
      </c>
      <c r="AD143" s="214" t="str">
        <f>IFERROR(__xludf.DUMMYFUNCTION("""COMPUTED_VALUE"""),"간식/카페")</f>
        <v>간식/카페</v>
      </c>
      <c r="AE143" s="214" t="str">
        <f>IFERROR(__xludf.DUMMYFUNCTION("""COMPUTED_VALUE"""),"외식/배달")</f>
        <v>외식/배달</v>
      </c>
      <c r="AF143" s="214" t="str">
        <f>IFERROR(__xludf.DUMMYFUNCTION("""COMPUTED_VALUE"""),"기타")</f>
        <v>기타</v>
      </c>
      <c r="AG143" s="214"/>
      <c r="AH143" s="214"/>
      <c r="AI143" s="214"/>
      <c r="AJ143" s="215"/>
    </row>
    <row r="144">
      <c r="H144" s="208">
        <v>45833.0</v>
      </c>
      <c r="I144" s="217" t="s">
        <v>26</v>
      </c>
      <c r="J144" s="217" t="s">
        <v>30</v>
      </c>
      <c r="K144" s="218">
        <v>56000.0</v>
      </c>
      <c r="L144" s="211" t="s">
        <v>64</v>
      </c>
      <c r="M144" s="143"/>
      <c r="N144" s="211" t="s">
        <v>687</v>
      </c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IFERROR(__xludf.DUMMYFUNCTION("FILTER('설정시트'!$D$7:$L$20,'설정시트'!$C$7:$C$20=I144)"),"식재료비")</f>
        <v>식재료비</v>
      </c>
      <c r="AC144" s="214" t="str">
        <f>IFERROR(__xludf.DUMMYFUNCTION("""COMPUTED_VALUE"""),"회사점심")</f>
        <v>회사점심</v>
      </c>
      <c r="AD144" s="214" t="str">
        <f>IFERROR(__xludf.DUMMYFUNCTION("""COMPUTED_VALUE"""),"간식/카페")</f>
        <v>간식/카페</v>
      </c>
      <c r="AE144" s="214" t="str">
        <f>IFERROR(__xludf.DUMMYFUNCTION("""COMPUTED_VALUE"""),"외식/배달")</f>
        <v>외식/배달</v>
      </c>
      <c r="AF144" s="214" t="str">
        <f>IFERROR(__xludf.DUMMYFUNCTION("""COMPUTED_VALUE"""),"기타")</f>
        <v>기타</v>
      </c>
      <c r="AG144" s="214"/>
      <c r="AH144" s="214"/>
      <c r="AI144" s="214"/>
      <c r="AJ144" s="215"/>
    </row>
    <row r="145">
      <c r="H145" s="208">
        <v>45833.0</v>
      </c>
      <c r="I145" s="217" t="s">
        <v>39</v>
      </c>
      <c r="J145" s="217" t="s">
        <v>41</v>
      </c>
      <c r="K145" s="218">
        <v>9700.0</v>
      </c>
      <c r="L145" s="211" t="s">
        <v>57</v>
      </c>
      <c r="M145" s="143"/>
      <c r="N145" s="211" t="s">
        <v>680</v>
      </c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IFERROR(__xludf.DUMMYFUNCTION("FILTER('설정시트'!$D$7:$L$20,'설정시트'!$C$7:$C$20=I145)"),"약국")</f>
        <v>약국</v>
      </c>
      <c r="AC145" s="214" t="str">
        <f>IFERROR(__xludf.DUMMYFUNCTION("""COMPUTED_VALUE"""),"병원비")</f>
        <v>병원비</v>
      </c>
      <c r="AD145" s="214" t="str">
        <f>IFERROR(__xludf.DUMMYFUNCTION("""COMPUTED_VALUE"""),"영양제")</f>
        <v>영양제</v>
      </c>
      <c r="AE145" s="214" t="str">
        <f>IFERROR(__xludf.DUMMYFUNCTION("""COMPUTED_VALUE"""),"교통비")</f>
        <v>교통비</v>
      </c>
      <c r="AF145" s="214" t="str">
        <f>IFERROR(__xludf.DUMMYFUNCTION("""COMPUTED_VALUE"""),"주유비")</f>
        <v>주유비</v>
      </c>
      <c r="AG145" s="214"/>
      <c r="AH145" s="214" t="str">
        <f>IFERROR(__xludf.DUMMYFUNCTION("""COMPUTED_VALUE"""),"기타")</f>
        <v>기타</v>
      </c>
      <c r="AI145" s="214"/>
      <c r="AJ145" s="215"/>
    </row>
    <row r="146">
      <c r="H146" s="208">
        <v>45833.0</v>
      </c>
      <c r="I146" s="217" t="s">
        <v>39</v>
      </c>
      <c r="J146" s="217" t="s">
        <v>43</v>
      </c>
      <c r="K146" s="218">
        <v>6390.0</v>
      </c>
      <c r="L146" s="211" t="s">
        <v>58</v>
      </c>
      <c r="M146" s="143"/>
      <c r="N146" s="211" t="s">
        <v>688</v>
      </c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IFERROR(__xludf.DUMMYFUNCTION("FILTER('설정시트'!$D$7:$L$20,'설정시트'!$C$7:$C$20=I146)"),"약국")</f>
        <v>약국</v>
      </c>
      <c r="AC146" s="214" t="str">
        <f>IFERROR(__xludf.DUMMYFUNCTION("""COMPUTED_VALUE"""),"병원비")</f>
        <v>병원비</v>
      </c>
      <c r="AD146" s="214" t="str">
        <f>IFERROR(__xludf.DUMMYFUNCTION("""COMPUTED_VALUE"""),"영양제")</f>
        <v>영양제</v>
      </c>
      <c r="AE146" s="214" t="str">
        <f>IFERROR(__xludf.DUMMYFUNCTION("""COMPUTED_VALUE"""),"교통비")</f>
        <v>교통비</v>
      </c>
      <c r="AF146" s="214" t="str">
        <f>IFERROR(__xludf.DUMMYFUNCTION("""COMPUTED_VALUE"""),"주유비")</f>
        <v>주유비</v>
      </c>
      <c r="AG146" s="214"/>
      <c r="AH146" s="214" t="str">
        <f>IFERROR(__xludf.DUMMYFUNCTION("""COMPUTED_VALUE"""),"기타")</f>
        <v>기타</v>
      </c>
      <c r="AI146" s="214"/>
      <c r="AJ146" s="215"/>
    </row>
    <row r="147">
      <c r="H147" s="208">
        <v>45833.0</v>
      </c>
      <c r="I147" s="217" t="s">
        <v>3</v>
      </c>
      <c r="J147" s="217" t="s">
        <v>8</v>
      </c>
      <c r="K147" s="218">
        <v>60000.0</v>
      </c>
      <c r="L147" s="213"/>
      <c r="M147" s="143"/>
      <c r="N147" s="211" t="s">
        <v>689</v>
      </c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IFERROR(__xludf.DUMMYFUNCTION("FILTER('설정시트'!$D$7:$L$20,'설정시트'!$C$7:$C$20=I147)"),"🍪 월급")</f>
        <v>🍪 월급</v>
      </c>
      <c r="AC147" s="214" t="str">
        <f>IFERROR(__xludf.DUMMYFUNCTION("""COMPUTED_VALUE"""),"🍪 부수입")</f>
        <v>🍪 부수입</v>
      </c>
      <c r="AD147" s="214" t="str">
        <f>IFERROR(__xludf.DUMMYFUNCTION("""COMPUTED_VALUE"""),"🐻 월급")</f>
        <v>🐻 월급</v>
      </c>
      <c r="AE147" s="214" t="str">
        <f>IFERROR(__xludf.DUMMYFUNCTION("""COMPUTED_VALUE"""),"🐻 부수입")</f>
        <v>🐻 부수입</v>
      </c>
      <c r="AF147" s="214" t="str">
        <f>IFERROR(__xludf.DUMMYFUNCTION("""COMPUTED_VALUE"""),"기타")</f>
        <v>기타</v>
      </c>
      <c r="AG147" s="214"/>
      <c r="AH147" s="214"/>
      <c r="AI147" s="214"/>
      <c r="AJ147" s="215"/>
    </row>
    <row r="148">
      <c r="H148" s="208">
        <v>45833.0</v>
      </c>
      <c r="I148" s="217" t="s">
        <v>3</v>
      </c>
      <c r="J148" s="217" t="s">
        <v>8</v>
      </c>
      <c r="K148" s="218">
        <v>55000.0</v>
      </c>
      <c r="L148" s="213"/>
      <c r="M148" s="143"/>
      <c r="N148" s="211" t="s">
        <v>689</v>
      </c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IFERROR(__xludf.DUMMYFUNCTION("FILTER('설정시트'!$D$7:$L$20,'설정시트'!$C$7:$C$20=I148)"),"🍪 월급")</f>
        <v>🍪 월급</v>
      </c>
      <c r="AC148" s="214" t="str">
        <f>IFERROR(__xludf.DUMMYFUNCTION("""COMPUTED_VALUE"""),"🍪 부수입")</f>
        <v>🍪 부수입</v>
      </c>
      <c r="AD148" s="214" t="str">
        <f>IFERROR(__xludf.DUMMYFUNCTION("""COMPUTED_VALUE"""),"🐻 월급")</f>
        <v>🐻 월급</v>
      </c>
      <c r="AE148" s="214" t="str">
        <f>IFERROR(__xludf.DUMMYFUNCTION("""COMPUTED_VALUE"""),"🐻 부수입")</f>
        <v>🐻 부수입</v>
      </c>
      <c r="AF148" s="214" t="str">
        <f>IFERROR(__xludf.DUMMYFUNCTION("""COMPUTED_VALUE"""),"기타")</f>
        <v>기타</v>
      </c>
      <c r="AG148" s="214"/>
      <c r="AH148" s="214"/>
      <c r="AI148" s="214"/>
      <c r="AJ148" s="215"/>
    </row>
    <row r="149">
      <c r="H149" s="208">
        <v>45834.0</v>
      </c>
      <c r="I149" s="217" t="s">
        <v>39</v>
      </c>
      <c r="J149" s="217" t="s">
        <v>41</v>
      </c>
      <c r="K149" s="218">
        <v>10300.0</v>
      </c>
      <c r="L149" s="211" t="s">
        <v>64</v>
      </c>
      <c r="M149" s="143"/>
      <c r="N149" s="211" t="s">
        <v>690</v>
      </c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IFERROR(__xludf.DUMMYFUNCTION("FILTER('설정시트'!$D$7:$L$20,'설정시트'!$C$7:$C$20=I149)"),"약국")</f>
        <v>약국</v>
      </c>
      <c r="AC149" s="214" t="str">
        <f>IFERROR(__xludf.DUMMYFUNCTION("""COMPUTED_VALUE"""),"병원비")</f>
        <v>병원비</v>
      </c>
      <c r="AD149" s="214" t="str">
        <f>IFERROR(__xludf.DUMMYFUNCTION("""COMPUTED_VALUE"""),"영양제")</f>
        <v>영양제</v>
      </c>
      <c r="AE149" s="214" t="str">
        <f>IFERROR(__xludf.DUMMYFUNCTION("""COMPUTED_VALUE"""),"교통비")</f>
        <v>교통비</v>
      </c>
      <c r="AF149" s="214" t="str">
        <f>IFERROR(__xludf.DUMMYFUNCTION("""COMPUTED_VALUE"""),"주유비")</f>
        <v>주유비</v>
      </c>
      <c r="AG149" s="214"/>
      <c r="AH149" s="214" t="str">
        <f>IFERROR(__xludf.DUMMYFUNCTION("""COMPUTED_VALUE"""),"기타")</f>
        <v>기타</v>
      </c>
      <c r="AI149" s="214"/>
      <c r="AJ149" s="215"/>
    </row>
    <row r="150">
      <c r="H150" s="208">
        <v>45834.0</v>
      </c>
      <c r="I150" s="217" t="s">
        <v>39</v>
      </c>
      <c r="J150" s="217" t="s">
        <v>41</v>
      </c>
      <c r="K150" s="218">
        <v>190000.0</v>
      </c>
      <c r="L150" s="211" t="s">
        <v>58</v>
      </c>
      <c r="M150" s="143"/>
      <c r="N150" s="211" t="s">
        <v>691</v>
      </c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IFERROR(__xludf.DUMMYFUNCTION("FILTER('설정시트'!$D$7:$L$20,'설정시트'!$C$7:$C$20=I150)"),"약국")</f>
        <v>약국</v>
      </c>
      <c r="AC150" s="214" t="str">
        <f>IFERROR(__xludf.DUMMYFUNCTION("""COMPUTED_VALUE"""),"병원비")</f>
        <v>병원비</v>
      </c>
      <c r="AD150" s="214" t="str">
        <f>IFERROR(__xludf.DUMMYFUNCTION("""COMPUTED_VALUE"""),"영양제")</f>
        <v>영양제</v>
      </c>
      <c r="AE150" s="214" t="str">
        <f>IFERROR(__xludf.DUMMYFUNCTION("""COMPUTED_VALUE"""),"교통비")</f>
        <v>교통비</v>
      </c>
      <c r="AF150" s="214" t="str">
        <f>IFERROR(__xludf.DUMMYFUNCTION("""COMPUTED_VALUE"""),"주유비")</f>
        <v>주유비</v>
      </c>
      <c r="AG150" s="214"/>
      <c r="AH150" s="214" t="str">
        <f>IFERROR(__xludf.DUMMYFUNCTION("""COMPUTED_VALUE"""),"기타")</f>
        <v>기타</v>
      </c>
      <c r="AI150" s="214"/>
      <c r="AJ150" s="215"/>
    </row>
    <row r="151">
      <c r="H151" s="208">
        <v>45834.0</v>
      </c>
      <c r="I151" s="217" t="s">
        <v>39</v>
      </c>
      <c r="J151" s="217" t="s">
        <v>43</v>
      </c>
      <c r="K151" s="218">
        <v>5670.0</v>
      </c>
      <c r="L151" s="211" t="s">
        <v>58</v>
      </c>
      <c r="M151" s="143"/>
      <c r="N151" s="211" t="s">
        <v>692</v>
      </c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IFERROR(__xludf.DUMMYFUNCTION("FILTER('설정시트'!$D$7:$L$20,'설정시트'!$C$7:$C$20=I151)"),"약국")</f>
        <v>약국</v>
      </c>
      <c r="AC151" s="214" t="str">
        <f>IFERROR(__xludf.DUMMYFUNCTION("""COMPUTED_VALUE"""),"병원비")</f>
        <v>병원비</v>
      </c>
      <c r="AD151" s="214" t="str">
        <f>IFERROR(__xludf.DUMMYFUNCTION("""COMPUTED_VALUE"""),"영양제")</f>
        <v>영양제</v>
      </c>
      <c r="AE151" s="214" t="str">
        <f>IFERROR(__xludf.DUMMYFUNCTION("""COMPUTED_VALUE"""),"교통비")</f>
        <v>교통비</v>
      </c>
      <c r="AF151" s="214" t="str">
        <f>IFERROR(__xludf.DUMMYFUNCTION("""COMPUTED_VALUE"""),"주유비")</f>
        <v>주유비</v>
      </c>
      <c r="AG151" s="214"/>
      <c r="AH151" s="214" t="str">
        <f>IFERROR(__xludf.DUMMYFUNCTION("""COMPUTED_VALUE"""),"기타")</f>
        <v>기타</v>
      </c>
      <c r="AI151" s="214"/>
      <c r="AJ151" s="215"/>
    </row>
    <row r="152">
      <c r="H152" s="208">
        <v>45834.0</v>
      </c>
      <c r="I152" s="217" t="s">
        <v>39</v>
      </c>
      <c r="J152" s="217" t="s">
        <v>43</v>
      </c>
      <c r="K152" s="218">
        <v>5400.0</v>
      </c>
      <c r="L152" s="211" t="s">
        <v>58</v>
      </c>
      <c r="M152" s="143"/>
      <c r="N152" s="211" t="s">
        <v>693</v>
      </c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IFERROR(__xludf.DUMMYFUNCTION("FILTER('설정시트'!$D$7:$L$20,'설정시트'!$C$7:$C$20=I152)"),"약국")</f>
        <v>약국</v>
      </c>
      <c r="AC152" s="214" t="str">
        <f>IFERROR(__xludf.DUMMYFUNCTION("""COMPUTED_VALUE"""),"병원비")</f>
        <v>병원비</v>
      </c>
      <c r="AD152" s="214" t="str">
        <f>IFERROR(__xludf.DUMMYFUNCTION("""COMPUTED_VALUE"""),"영양제")</f>
        <v>영양제</v>
      </c>
      <c r="AE152" s="214" t="str">
        <f>IFERROR(__xludf.DUMMYFUNCTION("""COMPUTED_VALUE"""),"교통비")</f>
        <v>교통비</v>
      </c>
      <c r="AF152" s="214" t="str">
        <f>IFERROR(__xludf.DUMMYFUNCTION("""COMPUTED_VALUE"""),"주유비")</f>
        <v>주유비</v>
      </c>
      <c r="AG152" s="214"/>
      <c r="AH152" s="214" t="str">
        <f>IFERROR(__xludf.DUMMYFUNCTION("""COMPUTED_VALUE"""),"기타")</f>
        <v>기타</v>
      </c>
      <c r="AI152" s="214"/>
      <c r="AJ152" s="215"/>
    </row>
    <row r="153">
      <c r="H153" s="208">
        <v>45834.0</v>
      </c>
      <c r="I153" s="217" t="s">
        <v>26</v>
      </c>
      <c r="J153" s="217" t="s">
        <v>27</v>
      </c>
      <c r="K153" s="218">
        <v>22140.0</v>
      </c>
      <c r="L153" s="211" t="s">
        <v>58</v>
      </c>
      <c r="M153" s="143"/>
      <c r="N153" s="211" t="s">
        <v>694</v>
      </c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IFERROR(__xludf.DUMMYFUNCTION("FILTER('설정시트'!$D$7:$L$20,'설정시트'!$C$7:$C$20=I153)"),"식재료비")</f>
        <v>식재료비</v>
      </c>
      <c r="AC153" s="214" t="str">
        <f>IFERROR(__xludf.DUMMYFUNCTION("""COMPUTED_VALUE"""),"회사점심")</f>
        <v>회사점심</v>
      </c>
      <c r="AD153" s="214" t="str">
        <f>IFERROR(__xludf.DUMMYFUNCTION("""COMPUTED_VALUE"""),"간식/카페")</f>
        <v>간식/카페</v>
      </c>
      <c r="AE153" s="214" t="str">
        <f>IFERROR(__xludf.DUMMYFUNCTION("""COMPUTED_VALUE"""),"외식/배달")</f>
        <v>외식/배달</v>
      </c>
      <c r="AF153" s="214" t="str">
        <f>IFERROR(__xludf.DUMMYFUNCTION("""COMPUTED_VALUE"""),"기타")</f>
        <v>기타</v>
      </c>
      <c r="AG153" s="214"/>
      <c r="AH153" s="214"/>
      <c r="AI153" s="214"/>
      <c r="AJ153" s="215"/>
    </row>
    <row r="154">
      <c r="H154" s="208">
        <v>45835.0</v>
      </c>
      <c r="I154" s="217" t="s">
        <v>31</v>
      </c>
      <c r="J154" s="217" t="s">
        <v>29</v>
      </c>
      <c r="K154" s="218">
        <v>1200.0</v>
      </c>
      <c r="L154" s="211" t="s">
        <v>61</v>
      </c>
      <c r="M154" s="143"/>
      <c r="N154" s="211" t="s">
        <v>695</v>
      </c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IFERROR(__xludf.DUMMYFUNCTION("FILTER('설정시트'!$D$7:$L$20,'설정시트'!$C$7:$C$20=I154)"),"식재료비")</f>
        <v>식재료비</v>
      </c>
      <c r="AC154" s="214" t="str">
        <f>IFERROR(__xludf.DUMMYFUNCTION("""COMPUTED_VALUE"""),"회사점심")</f>
        <v>회사점심</v>
      </c>
      <c r="AD154" s="214" t="str">
        <f>IFERROR(__xludf.DUMMYFUNCTION("""COMPUTED_VALUE"""),"간식/카페")</f>
        <v>간식/카페</v>
      </c>
      <c r="AE154" s="214" t="str">
        <f>IFERROR(__xludf.DUMMYFUNCTION("""COMPUTED_VALUE"""),"외식/배달")</f>
        <v>외식/배달</v>
      </c>
      <c r="AF154" s="214" t="str">
        <f>IFERROR(__xludf.DUMMYFUNCTION("""COMPUTED_VALUE"""),"기타")</f>
        <v>기타</v>
      </c>
      <c r="AG154" s="214"/>
      <c r="AH154" s="214"/>
      <c r="AI154" s="214"/>
      <c r="AJ154" s="215"/>
    </row>
    <row r="155">
      <c r="H155" s="208">
        <v>45835.0</v>
      </c>
      <c r="I155" s="217" t="s">
        <v>31</v>
      </c>
      <c r="J155" s="217" t="s">
        <v>30</v>
      </c>
      <c r="K155" s="218">
        <v>53000.0</v>
      </c>
      <c r="L155" s="211" t="s">
        <v>64</v>
      </c>
      <c r="M155" s="143"/>
      <c r="N155" s="211" t="s">
        <v>696</v>
      </c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IFERROR(__xludf.DUMMYFUNCTION("FILTER('설정시트'!$D$7:$L$20,'설정시트'!$C$7:$C$20=I155)"),"식재료비")</f>
        <v>식재료비</v>
      </c>
      <c r="AC155" s="214" t="str">
        <f>IFERROR(__xludf.DUMMYFUNCTION("""COMPUTED_VALUE"""),"회사점심")</f>
        <v>회사점심</v>
      </c>
      <c r="AD155" s="214" t="str">
        <f>IFERROR(__xludf.DUMMYFUNCTION("""COMPUTED_VALUE"""),"간식/카페")</f>
        <v>간식/카페</v>
      </c>
      <c r="AE155" s="214" t="str">
        <f>IFERROR(__xludf.DUMMYFUNCTION("""COMPUTED_VALUE"""),"외식/배달")</f>
        <v>외식/배달</v>
      </c>
      <c r="AF155" s="214" t="str">
        <f>IFERROR(__xludf.DUMMYFUNCTION("""COMPUTED_VALUE"""),"기타")</f>
        <v>기타</v>
      </c>
      <c r="AG155" s="214"/>
      <c r="AH155" s="214"/>
      <c r="AI155" s="214"/>
      <c r="AJ155" s="215"/>
    </row>
    <row r="156">
      <c r="H156" s="208">
        <v>45837.0</v>
      </c>
      <c r="I156" s="217" t="s">
        <v>31</v>
      </c>
      <c r="J156" s="217" t="s">
        <v>30</v>
      </c>
      <c r="K156" s="218">
        <v>21000.0</v>
      </c>
      <c r="L156" s="211" t="s">
        <v>64</v>
      </c>
      <c r="M156" s="143"/>
      <c r="N156" s="211" t="s">
        <v>697</v>
      </c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IFERROR(__xludf.DUMMYFUNCTION("FILTER('설정시트'!$D$7:$L$20,'설정시트'!$C$7:$C$20=I156)"),"식재료비")</f>
        <v>식재료비</v>
      </c>
      <c r="AC156" s="214" t="str">
        <f>IFERROR(__xludf.DUMMYFUNCTION("""COMPUTED_VALUE"""),"회사점심")</f>
        <v>회사점심</v>
      </c>
      <c r="AD156" s="214" t="str">
        <f>IFERROR(__xludf.DUMMYFUNCTION("""COMPUTED_VALUE"""),"간식/카페")</f>
        <v>간식/카페</v>
      </c>
      <c r="AE156" s="214" t="str">
        <f>IFERROR(__xludf.DUMMYFUNCTION("""COMPUTED_VALUE"""),"외식/배달")</f>
        <v>외식/배달</v>
      </c>
      <c r="AF156" s="214" t="str">
        <f>IFERROR(__xludf.DUMMYFUNCTION("""COMPUTED_VALUE"""),"기타")</f>
        <v>기타</v>
      </c>
      <c r="AG156" s="214"/>
      <c r="AH156" s="214"/>
      <c r="AI156" s="214"/>
      <c r="AJ156" s="215"/>
    </row>
    <row r="157">
      <c r="H157" s="208">
        <v>45837.0</v>
      </c>
      <c r="I157" s="217" t="s">
        <v>22</v>
      </c>
      <c r="J157" s="217" t="s">
        <v>24</v>
      </c>
      <c r="K157" s="218">
        <v>8900.0</v>
      </c>
      <c r="L157" s="211" t="s">
        <v>64</v>
      </c>
      <c r="M157" s="143"/>
      <c r="N157" s="211" t="s">
        <v>698</v>
      </c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IFERROR(__xludf.DUMMYFUNCTION("FILTER('설정시트'!$D$7:$L$20,'설정시트'!$C$7:$C$20=I157)"),"주방/욕실")</f>
        <v>주방/욕실</v>
      </c>
      <c r="AC157" s="214" t="str">
        <f>IFERROR(__xludf.DUMMYFUNCTION("""COMPUTED_VALUE"""),"소모품")</f>
        <v>소모품</v>
      </c>
      <c r="AD157" s="214" t="str">
        <f>IFERROR(__xludf.DUMMYFUNCTION("""COMPUTED_VALUE"""),"기타")</f>
        <v>기타</v>
      </c>
      <c r="AE157" s="214"/>
      <c r="AF157" s="214"/>
      <c r="AG157" s="214"/>
      <c r="AH157" s="214"/>
      <c r="AI157" s="214"/>
      <c r="AJ157" s="215"/>
    </row>
    <row r="158">
      <c r="H158" s="208">
        <v>45837.0</v>
      </c>
      <c r="I158" s="217" t="s">
        <v>14</v>
      </c>
      <c r="J158" s="217" t="s">
        <v>20</v>
      </c>
      <c r="K158" s="218">
        <v>20000.0</v>
      </c>
      <c r="L158" s="211" t="s">
        <v>55</v>
      </c>
      <c r="M158" s="143"/>
      <c r="N158" s="211" t="s">
        <v>20</v>
      </c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IFERROR(__xludf.DUMMYFUNCTION("FILTER('설정시트'!$D$7:$L$20,'설정시트'!$C$7:$C$20=I158)"),"관리비")</f>
        <v>관리비</v>
      </c>
      <c r="AC158" s="214" t="str">
        <f>IFERROR(__xludf.DUMMYFUNCTION("""COMPUTED_VALUE"""),"월세")</f>
        <v>월세</v>
      </c>
      <c r="AD158" s="214" t="str">
        <f>IFERROR(__xludf.DUMMYFUNCTION("""COMPUTED_VALUE"""),"대출이자")</f>
        <v>대출이자</v>
      </c>
      <c r="AE158" s="214" t="str">
        <f>IFERROR(__xludf.DUMMYFUNCTION("""COMPUTED_VALUE"""),"통신비")</f>
        <v>통신비</v>
      </c>
      <c r="AF158" s="214" t="str">
        <f>IFERROR(__xludf.DUMMYFUNCTION("""COMPUTED_VALUE"""),"보험료")</f>
        <v>보험료</v>
      </c>
      <c r="AG158" s="214"/>
      <c r="AH158" s="214" t="str">
        <f>IFERROR(__xludf.DUMMYFUNCTION("""COMPUTED_VALUE"""),"곗돈")</f>
        <v>곗돈</v>
      </c>
      <c r="AI158" s="214"/>
      <c r="AJ158" s="215"/>
    </row>
    <row r="159">
      <c r="H159" s="208">
        <v>45837.0</v>
      </c>
      <c r="I159" s="217" t="s">
        <v>14</v>
      </c>
      <c r="J159" s="217" t="s">
        <v>19</v>
      </c>
      <c r="K159" s="218">
        <v>100000.0</v>
      </c>
      <c r="L159" s="211" t="s">
        <v>55</v>
      </c>
      <c r="M159" s="143"/>
      <c r="N159" s="211" t="s">
        <v>699</v>
      </c>
      <c r="O159" s="212"/>
      <c r="P159" s="212"/>
      <c r="Q159" s="143"/>
      <c r="R159" s="211"/>
      <c r="S159" s="212"/>
      <c r="T159" s="145"/>
      <c r="AB159" s="214" t="str">
        <f>IFERROR(__xludf.DUMMYFUNCTION("FILTER('설정시트'!$D$7:$L$20,'설정시트'!$C$7:$C$20=I159)"),"관리비")</f>
        <v>관리비</v>
      </c>
      <c r="AC159" s="214" t="str">
        <f>IFERROR(__xludf.DUMMYFUNCTION("""COMPUTED_VALUE"""),"월세")</f>
        <v>월세</v>
      </c>
      <c r="AD159" s="214" t="str">
        <f>IFERROR(__xludf.DUMMYFUNCTION("""COMPUTED_VALUE"""),"대출이자")</f>
        <v>대출이자</v>
      </c>
      <c r="AE159" s="214" t="str">
        <f>IFERROR(__xludf.DUMMYFUNCTION("""COMPUTED_VALUE"""),"통신비")</f>
        <v>통신비</v>
      </c>
      <c r="AF159" s="214" t="str">
        <f>IFERROR(__xludf.DUMMYFUNCTION("""COMPUTED_VALUE"""),"보험료")</f>
        <v>보험료</v>
      </c>
      <c r="AG159" s="214"/>
      <c r="AH159" s="214" t="str">
        <f>IFERROR(__xludf.DUMMYFUNCTION("""COMPUTED_VALUE"""),"곗돈")</f>
        <v>곗돈</v>
      </c>
      <c r="AI159" s="214"/>
      <c r="AJ159" s="215"/>
    </row>
    <row r="160">
      <c r="H160" s="208">
        <v>45837.0</v>
      </c>
      <c r="I160" s="217" t="s">
        <v>26</v>
      </c>
      <c r="J160" s="217" t="s">
        <v>30</v>
      </c>
      <c r="K160" s="218">
        <v>18801.0</v>
      </c>
      <c r="L160" s="211" t="s">
        <v>58</v>
      </c>
      <c r="M160" s="143"/>
      <c r="N160" s="211" t="s">
        <v>700</v>
      </c>
      <c r="O160" s="212"/>
      <c r="P160" s="212"/>
      <c r="Q160" s="143"/>
      <c r="R160" s="211"/>
      <c r="S160" s="212"/>
      <c r="T160" s="145"/>
      <c r="AB160" s="214" t="str">
        <f>IFERROR(__xludf.DUMMYFUNCTION("FILTER('설정시트'!$D$7:$L$20,'설정시트'!$C$7:$C$20=I160)"),"식재료비")</f>
        <v>식재료비</v>
      </c>
      <c r="AC160" s="214" t="str">
        <f>IFERROR(__xludf.DUMMYFUNCTION("""COMPUTED_VALUE"""),"회사점심")</f>
        <v>회사점심</v>
      </c>
      <c r="AD160" s="214" t="str">
        <f>IFERROR(__xludf.DUMMYFUNCTION("""COMPUTED_VALUE"""),"간식/카페")</f>
        <v>간식/카페</v>
      </c>
      <c r="AE160" s="214" t="str">
        <f>IFERROR(__xludf.DUMMYFUNCTION("""COMPUTED_VALUE"""),"외식/배달")</f>
        <v>외식/배달</v>
      </c>
      <c r="AF160" s="214" t="str">
        <f>IFERROR(__xludf.DUMMYFUNCTION("""COMPUTED_VALUE"""),"기타")</f>
        <v>기타</v>
      </c>
      <c r="AG160" s="214"/>
      <c r="AH160" s="214"/>
      <c r="AI160" s="214"/>
      <c r="AJ160" s="215"/>
    </row>
    <row r="161">
      <c r="H161" s="208">
        <v>45838.0</v>
      </c>
      <c r="I161" s="217" t="s">
        <v>39</v>
      </c>
      <c r="J161" s="217" t="s">
        <v>41</v>
      </c>
      <c r="K161" s="218">
        <v>65700.0</v>
      </c>
      <c r="L161" s="211" t="s">
        <v>58</v>
      </c>
      <c r="M161" s="143"/>
      <c r="N161" s="211" t="s">
        <v>691</v>
      </c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IFERROR(__xludf.DUMMYFUNCTION("FILTER('설정시트'!$D$7:$L$20,'설정시트'!$C$7:$C$20=I161)"),"약국")</f>
        <v>약국</v>
      </c>
      <c r="AC161" s="214" t="str">
        <f>IFERROR(__xludf.DUMMYFUNCTION("""COMPUTED_VALUE"""),"병원비")</f>
        <v>병원비</v>
      </c>
      <c r="AD161" s="214" t="str">
        <f>IFERROR(__xludf.DUMMYFUNCTION("""COMPUTED_VALUE"""),"영양제")</f>
        <v>영양제</v>
      </c>
      <c r="AE161" s="214" t="str">
        <f>IFERROR(__xludf.DUMMYFUNCTION("""COMPUTED_VALUE"""),"교통비")</f>
        <v>교통비</v>
      </c>
      <c r="AF161" s="214" t="str">
        <f>IFERROR(__xludf.DUMMYFUNCTION("""COMPUTED_VALUE"""),"주유비")</f>
        <v>주유비</v>
      </c>
      <c r="AG161" s="214"/>
      <c r="AH161" s="214" t="str">
        <f>IFERROR(__xludf.DUMMYFUNCTION("""COMPUTED_VALUE"""),"기타")</f>
        <v>기타</v>
      </c>
      <c r="AI161" s="214"/>
      <c r="AJ161" s="215"/>
    </row>
    <row r="162">
      <c r="H162" s="208">
        <v>45838.0</v>
      </c>
      <c r="I162" s="217" t="s">
        <v>39</v>
      </c>
      <c r="J162" s="217" t="s">
        <v>43</v>
      </c>
      <c r="K162" s="218">
        <f>2400+8800</f>
        <v>11200</v>
      </c>
      <c r="L162" s="211" t="s">
        <v>57</v>
      </c>
      <c r="M162" s="143"/>
      <c r="N162" s="211" t="s">
        <v>43</v>
      </c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IFERROR(__xludf.DUMMYFUNCTION("FILTER('설정시트'!$D$7:$L$20,'설정시트'!$C$7:$C$20=I162)"),"약국")</f>
        <v>약국</v>
      </c>
      <c r="AC162" s="214" t="str">
        <f>IFERROR(__xludf.DUMMYFUNCTION("""COMPUTED_VALUE"""),"병원비")</f>
        <v>병원비</v>
      </c>
      <c r="AD162" s="214" t="str">
        <f>IFERROR(__xludf.DUMMYFUNCTION("""COMPUTED_VALUE"""),"영양제")</f>
        <v>영양제</v>
      </c>
      <c r="AE162" s="214" t="str">
        <f>IFERROR(__xludf.DUMMYFUNCTION("""COMPUTED_VALUE"""),"교통비")</f>
        <v>교통비</v>
      </c>
      <c r="AF162" s="214" t="str">
        <f>IFERROR(__xludf.DUMMYFUNCTION("""COMPUTED_VALUE"""),"주유비")</f>
        <v>주유비</v>
      </c>
      <c r="AG162" s="214"/>
      <c r="AH162" s="214" t="str">
        <f>IFERROR(__xludf.DUMMYFUNCTION("""COMPUTED_VALUE"""),"기타")</f>
        <v>기타</v>
      </c>
      <c r="AI162" s="214"/>
      <c r="AJ162" s="215"/>
    </row>
    <row r="163">
      <c r="H163" s="208">
        <v>45837.0</v>
      </c>
      <c r="I163" s="217" t="s">
        <v>52</v>
      </c>
      <c r="J163" s="217" t="s">
        <v>50</v>
      </c>
      <c r="K163" s="218">
        <v>124000.0</v>
      </c>
      <c r="L163" s="211" t="s">
        <v>62</v>
      </c>
      <c r="M163" s="143"/>
      <c r="N163" s="211" t="s">
        <v>701</v>
      </c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IFERROR(__xludf.DUMMYFUNCTION("FILTER('설정시트'!$D$7:$L$20,'설정시트'!$C$7:$C$20=I163)"),"축의/부의금")</f>
        <v>축의/부의금</v>
      </c>
      <c r="AC163" s="214" t="str">
        <f>IFERROR(__xludf.DUMMYFUNCTION("""COMPUTED_VALUE"""),"생신/생일선물")</f>
        <v>생신/생일선물</v>
      </c>
      <c r="AD163" s="214" t="str">
        <f>IFERROR(__xludf.DUMMYFUNCTION("""COMPUTED_VALUE"""),"명절/어버이날")</f>
        <v>명절/어버이날</v>
      </c>
      <c r="AE163" s="214" t="str">
        <f>IFERROR(__xludf.DUMMYFUNCTION("""COMPUTED_VALUE"""),"여행")</f>
        <v>여행</v>
      </c>
      <c r="AF163" s="214" t="str">
        <f>IFERROR(__xludf.DUMMYFUNCTION("""COMPUTED_VALUE"""),"기타")</f>
        <v>기타</v>
      </c>
      <c r="AG163" s="214" t="str">
        <f>IFERROR(__xludf.DUMMYFUNCTION("""COMPUTED_VALUE"""),"출산")</f>
        <v>출산</v>
      </c>
      <c r="AH163" s="214"/>
      <c r="AI163" s="214"/>
      <c r="AJ163" s="215"/>
    </row>
    <row r="164">
      <c r="H164" s="208">
        <v>45838.0</v>
      </c>
      <c r="I164" s="217" t="s">
        <v>45</v>
      </c>
      <c r="J164" s="217" t="s">
        <v>8</v>
      </c>
      <c r="K164" s="218">
        <v>10000.0</v>
      </c>
      <c r="L164" s="211" t="s">
        <v>62</v>
      </c>
      <c r="M164" s="143"/>
      <c r="N164" s="211" t="s">
        <v>702</v>
      </c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IFERROR(__xludf.DUMMYFUNCTION("FILTER('설정시트'!$D$7:$L$20,'설정시트'!$C$7:$C$20=I164)"),"약국")</f>
        <v>약국</v>
      </c>
      <c r="AC164" s="214" t="str">
        <f>IFERROR(__xludf.DUMMYFUNCTION("""COMPUTED_VALUE"""),"병원비")</f>
        <v>병원비</v>
      </c>
      <c r="AD164" s="214" t="str">
        <f>IFERROR(__xludf.DUMMYFUNCTION("""COMPUTED_VALUE"""),"영양제")</f>
        <v>영양제</v>
      </c>
      <c r="AE164" s="214" t="str">
        <f>IFERROR(__xludf.DUMMYFUNCTION("""COMPUTED_VALUE"""),"교통비")</f>
        <v>교통비</v>
      </c>
      <c r="AF164" s="214" t="str">
        <f>IFERROR(__xludf.DUMMYFUNCTION("""COMPUTED_VALUE"""),"주유비")</f>
        <v>주유비</v>
      </c>
      <c r="AG164" s="214"/>
      <c r="AH164" s="214" t="str">
        <f>IFERROR(__xludf.DUMMYFUNCTION("""COMPUTED_VALUE"""),"기타")</f>
        <v>기타</v>
      </c>
      <c r="AI164" s="214"/>
      <c r="AJ164" s="215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1306F103-82DB-4721-A081-DFC677B29403}" filter="1" showAutoFilter="1">
      <autoFilter ref="$H$61:$J$164"/>
    </customSheetView>
    <customSheetView guid="{48029EEC-043B-4596-BD82-4885B5601D90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367">
      <formula1>'6월'!$AB$367:$AI$367</formula1>
    </dataValidation>
    <dataValidation type="list" allowBlank="1" showErrorMessage="1" sqref="J273">
      <formula1>'6월'!$AB$273:$AI$273</formula1>
    </dataValidation>
    <dataValidation type="list" allowBlank="1" showErrorMessage="1" sqref="J476">
      <formula1>'6월'!$AB$476:$AI$476</formula1>
    </dataValidation>
    <dataValidation type="list" allowBlank="1" showErrorMessage="1" sqref="J258">
      <formula1>'6월'!$AB$258:$AI$258</formula1>
    </dataValidation>
    <dataValidation type="list" allowBlank="1" showErrorMessage="1" sqref="J382">
      <formula1>'6월'!$AB$382:$AI$382</formula1>
    </dataValidation>
    <dataValidation type="list" allowBlank="1" showErrorMessage="1" sqref="J400">
      <formula1>'6월'!$AB$400:$AI$400</formula1>
    </dataValidation>
    <dataValidation type="list" allowBlank="1" showErrorMessage="1" sqref="J79">
      <formula1>'6월'!$AB$79:$AI$79</formula1>
    </dataValidation>
    <dataValidation type="list" allowBlank="1" showErrorMessage="1" sqref="J169">
      <formula1>'6월'!$AB$169:$AI$169</formula1>
    </dataValidation>
    <dataValidation type="list" allowBlank="1" showErrorMessage="1" sqref="J311">
      <formula1>'6월'!$AB$311:$AI$311</formula1>
    </dataValidation>
    <dataValidation type="list" allowBlank="1" showErrorMessage="1" sqref="J471">
      <formula1>'6월'!$AB$471:$AI$471</formula1>
    </dataValidation>
    <dataValidation type="list" allowBlank="1" showErrorMessage="1" sqref="J278">
      <formula1>'6월'!$AB$278:$AI$278</formula1>
    </dataValidation>
    <dataValidation type="list" allowBlank="1" showErrorMessage="1" sqref="J202">
      <formula1>'6월'!$AB$202:$AI$202</formula1>
    </dataValidation>
    <dataValidation type="list" allowBlank="1" showErrorMessage="1" sqref="J164">
      <formula1>'6월'!$AB$164:$AI$164</formula1>
    </dataValidation>
    <dataValidation type="list" allowBlank="1" showErrorMessage="1" sqref="J316">
      <formula1>'6월'!$AB$316:$AI$316</formula1>
    </dataValidation>
    <dataValidation type="list" allowBlank="1" showErrorMessage="1" sqref="J222">
      <formula1>'6월'!$AB$222:$AI$222</formula1>
    </dataValidation>
    <dataValidation type="list" allowBlank="1" showErrorMessage="1" sqref="J496">
      <formula1>'6월'!$AB$496:$AI$496</formula1>
    </dataValidation>
    <dataValidation type="list" allowBlank="1" showErrorMessage="1" sqref="J113">
      <formula1>'6월'!$AB$113:$AI$113</formula1>
    </dataValidation>
    <dataValidation type="list" allowBlank="1" showErrorMessage="1" sqref="J387">
      <formula1>'6월'!$AB$387:$AI$387</formula1>
    </dataValidation>
    <dataValidation type="list" allowBlank="1" showErrorMessage="1" sqref="J425">
      <formula1>'6월'!$AB$425:$AI$425</formula1>
    </dataValidation>
    <dataValidation type="list" allowBlank="1" showErrorMessage="1" sqref="J293">
      <formula1>'6월'!$AB$293:$AI$293</formula1>
    </dataValidation>
    <dataValidation type="list" allowBlank="1" showErrorMessage="1" sqref="J420">
      <formula1>'6월'!$AB$420:$AI$420</formula1>
    </dataValidation>
    <dataValidation type="list" allowBlank="1" showErrorMessage="1" sqref="J67">
      <formula1>'6월'!$AB$67:$AI$67</formula1>
    </dataValidation>
    <dataValidation type="list" allowBlank="1" showErrorMessage="1" sqref="J440">
      <formula1>'6월'!$AB$440:$AI$440</formula1>
    </dataValidation>
    <dataValidation type="list" allowBlank="1" showErrorMessage="1" sqref="J118">
      <formula1>'6월'!$AB$118:$AI$118</formula1>
    </dataValidation>
    <dataValidation type="list" allowBlank="1" showErrorMessage="1" sqref="J298">
      <formula1>'6월'!$AB$298:$AI$298</formula1>
    </dataValidation>
    <dataValidation type="list" allowBlank="1" showErrorMessage="1" sqref="J331">
      <formula1>'6월'!$AB$331:$AI$331</formula1>
    </dataValidation>
    <dataValidation type="list" allowBlank="1" showErrorMessage="1" sqref="J184">
      <formula1>'6월'!$AB$184:$AI$184</formula1>
    </dataValidation>
    <dataValidation type="list" allowBlank="1" showErrorMessage="1" sqref="J336">
      <formula1>'6월'!$AB$336:$AI$336</formula1>
    </dataValidation>
    <dataValidation type="list" allowBlank="1" showErrorMessage="1" sqref="J189">
      <formula1>'6월'!$AB$189:$AI$189</formula1>
    </dataValidation>
    <dataValidation type="list" allowBlank="1" showErrorMessage="1" sqref="J218">
      <formula1>'6월'!$AB$218:$AI$218</formula1>
    </dataValidation>
    <dataValidation type="list" allowBlank="1" showErrorMessage="1" sqref="J227">
      <formula1>'6월'!$AB$227:$AI$227</formula1>
    </dataValidation>
    <dataValidation type="list" allowBlank="1" showErrorMessage="1" sqref="J491">
      <formula1>'6월'!$AB$491:$AI$491</formula1>
    </dataValidation>
    <dataValidation type="list" allowBlank="1" showErrorMessage="1" sqref="J109">
      <formula1>'6월'!$AB$109:$AI$109</formula1>
    </dataValidation>
    <dataValidation type="list" allowBlank="1" showErrorMessage="1" sqref="J289">
      <formula1>'6월'!$AB$289:$AI$289</formula1>
    </dataValidation>
    <dataValidation type="list" allowBlank="1" showErrorMessage="1" sqref="J351">
      <formula1>'6월'!$AB$351:$AI$351</formula1>
    </dataValidation>
    <dataValidation type="list" allowBlank="1" showErrorMessage="1" sqref="J431">
      <formula1>'6월'!$AB$431:$AI$431</formula1>
    </dataValidation>
    <dataValidation type="list" allowBlank="1" showErrorMessage="1" sqref="J80">
      <formula1>'6월'!$AB$80:$AI$80</formula1>
    </dataValidation>
    <dataValidation type="list" allowBlank="1" showErrorMessage="1" sqref="J322">
      <formula1>'6월'!$AB$322:$AI$322</formula1>
    </dataValidation>
    <dataValidation type="list" allowBlank="1" showErrorMessage="1" sqref="J133">
      <formula1>'6월'!$AB$133:$AI$133</formula1>
    </dataValidation>
    <dataValidation type="list" allowBlank="1" showErrorMessage="1" sqref="J460">
      <formula1>'6월'!$AB$460:$AI$460</formula1>
    </dataValidation>
    <dataValidation type="list" allowBlank="1" showErrorMessage="1" sqref="J416">
      <formula1>'6월'!$AB$416:$AI$416</formula1>
    </dataValidation>
    <dataValidation type="list" allowBlank="1" showErrorMessage="1" sqref="J307">
      <formula1>'6월'!$AB$307:$AI$307</formula1>
    </dataValidation>
    <dataValidation type="list" allowBlank="1" showErrorMessage="1" sqref="J233">
      <formula1>'6월'!$AB$233:$AI$233</formula1>
    </dataValidation>
    <dataValidation type="list" allowBlank="1" showErrorMessage="1" sqref="J124">
      <formula1>'6월'!$AB$124:$AI$124</formula1>
    </dataValidation>
    <dataValidation type="list" allowBlank="1" showErrorMessage="1" sqref="J398">
      <formula1>'6월'!$AB$398:$AI$398</formula1>
    </dataValidation>
    <dataValidation type="list" allowBlank="1" showErrorMessage="1" sqref="J242">
      <formula1>'6월'!$AB$242:$AI$242</formula1>
    </dataValidation>
    <dataValidation type="list" allowBlank="1" showErrorMessage="1" sqref="J82">
      <formula1>'6월'!$AB$82:$AI$82</formula1>
    </dataValidation>
    <dataValidation type="list" allowBlank="1" showErrorMessage="1" sqref="J480">
      <formula1>'6월'!$AB$480:$AI$480</formula1>
    </dataValidation>
    <dataValidation type="list" allowBlank="1" showErrorMessage="1" sqref="J371">
      <formula1>'6월'!$AB$371:$AI$371</formula1>
    </dataValidation>
    <dataValidation type="list" allowBlank="1" showErrorMessage="1" sqref="J207">
      <formula1>'6월'!$AB$207:$AI$207</formula1>
    </dataValidation>
    <dataValidation type="list" allowBlank="1" showErrorMessage="1" sqref="J253">
      <formula1>'6월'!$AB$253:$AI$253</formula1>
    </dataValidation>
    <dataValidation type="list" allowBlank="1" showErrorMessage="1" sqref="J362">
      <formula1>'6월'!$AB$362:$AI$362</formula1>
    </dataValidation>
    <dataValidation type="list" allowBlank="1" showErrorMessage="1" sqref="J190">
      <formula1>'6월'!$AB$190:$AI$190</formula1>
    </dataValidation>
    <dataValidation type="list" allowBlank="1" showErrorMessage="1" sqref="J342">
      <formula1>'6월'!$AB$342:$AI$342</formula1>
    </dataValidation>
    <dataValidation type="list" allowBlank="1" showErrorMessage="1" sqref="J405">
      <formula1>'6월'!$AB$405:$AI$405</formula1>
    </dataValidation>
    <dataValidation type="list" allowBlank="1" showErrorMessage="1" sqref="J305">
      <formula1>'6월'!$AB$305:$AI$305</formula1>
    </dataValidation>
    <dataValidation type="list" allowBlank="1" showErrorMessage="1" sqref="J77">
      <formula1>'6월'!$AB$77:$AI$77</formula1>
    </dataValidation>
    <dataValidation type="list" allowBlank="1" showErrorMessage="1" sqref="J153">
      <formula1>'6월'!$AB$153:$AI$153</formula1>
    </dataValidation>
    <dataValidation type="list" allowBlank="1" showErrorMessage="1" sqref="J262">
      <formula1>'6월'!$AB$262:$AI$262</formula1>
    </dataValidation>
    <dataValidation type="list" allowBlank="1" showErrorMessage="1" sqref="J451">
      <formula1>'6월'!$AB$451:$AI$451</formula1>
    </dataValidation>
    <dataValidation type="list" allowBlank="1" showErrorMessage="1" sqref="J414">
      <formula1>'6월'!$AB$414:$AI$414</formula1>
    </dataValidation>
    <dataValidation type="list" allowBlank="1" showErrorMessage="1" sqref="J144">
      <formula1>'6월'!$AB$144:$AI$144</formula1>
    </dataValidation>
    <dataValidation type="list" allowBlank="1" showErrorMessage="1" sqref="J462">
      <formula1>'6월'!$AB$462:$AI$462</formula1>
    </dataValidation>
    <dataValidation type="list" allowBlank="1" showErrorMessage="1" sqref="J320">
      <formula1>'6월'!$AB$320:$AI$320</formula1>
    </dataValidation>
    <dataValidation type="list" allowBlank="1" showErrorMessage="1" sqref="J353">
      <formula1>'6월'!$AB$353:$AI$353</formula1>
    </dataValidation>
    <dataValidation type="list" allowBlank="1" showErrorMessage="1" sqref="J178">
      <formula1>'6월'!$AB$178:$AI$178</formula1>
    </dataValidation>
    <dataValidation type="list" allowBlank="1" showErrorMessage="1" sqref="J211">
      <formula1>'6월'!$AB$211:$AI$211</formula1>
    </dataValidation>
    <dataValidation type="list" allowBlank="1" showErrorMessage="1" sqref="J244">
      <formula1>'6월'!$AB$244:$AI$244</formula1>
    </dataValidation>
    <dataValidation type="list" allowBlank="1" showErrorMessage="1" sqref="J391">
      <formula1>'6월'!$AB$391:$AI$391</formula1>
    </dataValidation>
    <dataValidation type="list" allowBlank="1" showErrorMessage="1" sqref="J92">
      <formula1>'6월'!$AB$92:$AI$92</formula1>
    </dataValidation>
    <dataValidation type="list" allowBlank="1" showErrorMessage="1" sqref="J396">
      <formula1>'6월'!$AB$396:$AI$396</formula1>
    </dataValidation>
    <dataValidation type="list" allowBlank="1" showErrorMessage="1" sqref="J485">
      <formula1>'6월'!$AB$485:$AI$485</formula1>
    </dataValidation>
    <dataValidation type="list" allowBlank="1" showErrorMessage="1" sqref="J249">
      <formula1>'6월'!$AB$249:$AI$249</formula1>
    </dataValidation>
    <dataValidation type="list" allowBlank="1" showErrorMessage="1" sqref="J229">
      <formula1>'6월'!$AB$229:$AI$229</formula1>
    </dataValidation>
    <dataValidation type="list" allowBlank="1" showErrorMessage="1" sqref="J358">
      <formula1>'6월'!$AB$358:$AI$358</formula1>
    </dataValidation>
    <dataValidation type="list" allowBlank="1" showErrorMessage="1" sqref="J500">
      <formula1>'6월'!$AB$500:$AI$500</formula1>
    </dataValidation>
    <dataValidation type="list" allowBlank="1" showErrorMessage="1" sqref="J122">
      <formula1>'6월'!$AB$122:$AI$122</formula1>
    </dataValidation>
    <dataValidation type="list" allowBlank="1" showErrorMessage="1" sqref="J282">
      <formula1>'6월'!$AB$282:$AI$282</formula1>
    </dataValidation>
    <dataValidation type="list" allowBlank="1" showErrorMessage="1" sqref="J155">
      <formula1>'6월'!$AB$155:$AI$155</formula1>
    </dataValidation>
    <dataValidation type="list" allowBlank="1" showErrorMessage="1" sqref="J173">
      <formula1>'6월'!$AB$173:$AI$173</formula1>
    </dataValidation>
    <dataValidation type="list" allowBlank="1" showErrorMessage="1" sqref="J84">
      <formula1>'6월'!$AB$84:$AI$84</formula1>
    </dataValidation>
    <dataValidation type="list" allowBlank="1" showErrorMessage="1" sqref="J287">
      <formula1>'6월'!$AB$287:$AI$287</formula1>
    </dataValidation>
    <dataValidation type="list" allowBlank="1" showErrorMessage="1" sqref="J467">
      <formula1>'6월'!$AB$467:$AI$467</formula1>
    </dataValidation>
    <dataValidation type="list" allowBlank="1" showErrorMessage="1" sqref="J427">
      <formula1>'6월'!$AB$427:$AI$427</formula1>
    </dataValidation>
    <dataValidation type="list" allowBlank="1" showErrorMessage="1" sqref="J302">
      <formula1>'6월'!$AB$302:$AI$302</formula1>
    </dataValidation>
    <dataValidation type="list" allowBlank="1" showErrorMessage="1" sqref="J482">
      <formula1>'6월'!$AB$482:$AI$482</formula1>
    </dataValidation>
    <dataValidation type="list" allowBlank="1" showErrorMessage="1" sqref="J318">
      <formula1>'6월'!$AB$318:$AI$318</formula1>
    </dataValidation>
    <dataValidation type="list" allowBlank="1" showErrorMessage="1" sqref="J411">
      <formula1>'6월'!$AB$411:$AI$411</formula1>
    </dataValidation>
    <dataValidation type="list" allowBlank="1" showErrorMessage="1" sqref="J142">
      <formula1>'6월'!$AB$142:$AI$142</formula1>
    </dataValidation>
    <dataValidation type="list" allowBlank="1" showErrorMessage="1" sqref="J175">
      <formula1>'6월'!$AB$175:$AI$175</formula1>
    </dataValidation>
    <dataValidation type="list" allowBlank="1" showErrorMessage="1" sqref="J209">
      <formula1>'6월'!$AB$209:$AI$209</formula1>
    </dataValidation>
    <dataValidation type="list" allowBlank="1" showErrorMessage="1" sqref="J269">
      <formula1>'6월'!$AB$269:$AI$269</formula1>
    </dataValidation>
    <dataValidation type="list" allowBlank="1" showErrorMessage="1" sqref="J231">
      <formula1>'6월'!$AB$231:$AI$231</formula1>
    </dataValidation>
    <dataValidation type="list" allowBlank="1" showErrorMessage="1" sqref="J487">
      <formula1>'6월'!$AB$487:$AI$487</formula1>
    </dataValidation>
    <dataValidation type="list" allowBlank="1" showErrorMessage="1" sqref="J104">
      <formula1>'6월'!$AB$104:$AI$104</formula1>
    </dataValidation>
    <dataValidation type="list" allowBlank="1" showErrorMessage="1" sqref="J264">
      <formula1>'6월'!$AB$264:$AI$264</formula1>
    </dataValidation>
    <dataValidation type="list" allowBlank="1" showErrorMessage="1" sqref="J213">
      <formula1>'6월'!$AB$213:$AI$213</formula1>
    </dataValidation>
    <dataValidation type="list" allowBlank="1" showErrorMessage="1" sqref="J98">
      <formula1>'6월'!$AB$98:$AI$98</formula1>
    </dataValidation>
    <dataValidation type="list" allowBlank="1" showErrorMessage="1" sqref="J198">
      <formula1>'6월'!$AB$198:$AI$198</formula1>
    </dataValidation>
    <dataValidation type="list" allowBlank="1" showErrorMessage="1" sqref="J340">
      <formula1>'6월'!$AB$340:$AI$340</formula1>
    </dataValidation>
    <dataValidation type="list" allowBlank="1" showErrorMessage="1" sqref="J373">
      <formula1>'6월'!$AB$373:$AI$373</formula1>
    </dataValidation>
    <dataValidation type="list" allowBlank="1" showErrorMessage="1" sqref="J193">
      <formula1>'6월'!$AB$193:$AI$193</formula1>
    </dataValidation>
    <dataValidation type="list" allowBlank="1" showErrorMessage="1" sqref="J407">
      <formula1>'6월'!$AB$407:$AI$407</formula1>
    </dataValidation>
    <dataValidation type="list" allowBlank="1" showErrorMessage="1" sqref="J378">
      <formula1>'6월'!$AB$378:$AI$378</formula1>
    </dataValidation>
    <dataValidation type="list" allowBlank="1" showErrorMessage="1" sqref="J195">
      <formula1>'6월'!$AB$195:$AI$195</formula1>
    </dataValidation>
    <dataValidation type="list" allowBlank="1" showErrorMessage="1" sqref="J445">
      <formula1>'6월'!$AB$445:$AI$445</formula1>
    </dataValidation>
    <dataValidation type="list" allowBlank="1" showErrorMessage="1" sqref="J138">
      <formula1>'6월'!$AB$138:$AI$138</formula1>
    </dataValidation>
    <dataValidation type="list" allowBlank="1" showErrorMessage="1" sqref="J247">
      <formula1>'6월'!$AB$247:$AI$247</formula1>
    </dataValidation>
    <dataValidation type="list" allowBlank="1" showErrorMessage="1" sqref="J284">
      <formula1>'6월'!$AB$284:$AI$284</formula1>
    </dataValidation>
    <dataValidation type="list" allowBlank="1" showErrorMessage="1" sqref="J356">
      <formula1>'6월'!$AB$356:$AI$356</formula1>
    </dataValidation>
    <dataValidation type="list" allowBlank="1" showErrorMessage="1" sqref="J96">
      <formula1>'6월'!$AB$96:$AI$96</formula1>
    </dataValidation>
    <dataValidation type="list" allowBlank="1" showErrorMessage="1" sqref="J393">
      <formula1>'6월'!$AB$393:$AI$393</formula1>
    </dataValidation>
    <dataValidation type="list" allowBlank="1" showErrorMessage="1" sqref="J94">
      <formula1>'6월'!$AB$94:$AI$94</formula1>
    </dataValidation>
    <dataValidation type="list" allowBlank="1" showErrorMessage="1" sqref="J158">
      <formula1>'6월'!$AB$158:$AI$158</formula1>
    </dataValidation>
    <dataValidation type="list" allowBlank="1" showErrorMessage="1" sqref="J300">
      <formula1>'6월'!$AB$300:$AI$300</formula1>
    </dataValidation>
    <dataValidation type="list" allowBlank="1" showErrorMessage="1" sqref="J465">
      <formula1>'6월'!$AB$465:$AI$465</formula1>
    </dataValidation>
    <dataValidation type="list" allowBlank="1" showErrorMessage="1" sqref="J376">
      <formula1>'6월'!$AB$376:$AI$376</formula1>
    </dataValidation>
    <dataValidation type="list" allowBlank="1" showErrorMessage="1" sqref="J102">
      <formula1>'6월'!$AB$102:$AI$102</formula1>
    </dataValidation>
    <dataValidation type="list" allowBlank="1" showErrorMessage="1" sqref="J338">
      <formula1>'6월'!$AB$338:$AI$338</formula1>
    </dataValidation>
    <dataValidation type="list" allowBlank="1" showErrorMessage="1" sqref="J89">
      <formula1>'6월'!$AB$89:$AI$89</formula1>
    </dataValidation>
    <dataValidation type="list" allowBlank="1" showErrorMessage="1" sqref="J447">
      <formula1>'6월'!$AB$447:$AI$447</formula1>
    </dataValidation>
    <dataValidation type="list" allowBlank="1" showErrorMessage="1" sqref="J267">
      <formula1>'6월'!$AB$267:$AI$267</formula1>
    </dataValidation>
    <dataValidation type="list" allowBlank="1" showErrorMessage="1" sqref="J87">
      <formula1>'6월'!$AB$87:$AI$87</formula1>
    </dataValidation>
    <dataValidation type="list" allowBlank="1" showErrorMessage="1" sqref="J131">
      <formula1>'6월'!$AB$131:$AI$131</formula1>
    </dataValidation>
    <dataValidation type="list" allowBlank="1" showErrorMessage="1" sqref="J225">
      <formula1>'6월'!$AB$225:$AI$225</formula1>
    </dataValidation>
    <dataValidation type="list" allowBlank="1" showErrorMessage="1" sqref="J319">
      <formula1>'6월'!$AB$319:$AI$319</formula1>
    </dataValidation>
    <dataValidation type="list" allowBlank="1" showErrorMessage="1" sqref="J141">
      <formula1>'6월'!$AB$141:$AI$141</formula1>
    </dataValidation>
    <dataValidation type="list" allowBlank="1" showErrorMessage="1" sqref="J418">
      <formula1>'6월'!$AB$418:$AI$418</formula1>
    </dataValidation>
    <dataValidation type="list" allowBlank="1" showErrorMessage="1" sqref="J136">
      <formula1>'6월'!$AB$136:$AI$136</formula1>
    </dataValidation>
    <dataValidation type="list" allowBlank="1" showErrorMessage="1" sqref="J453">
      <formula1>'6월'!$AB$453:$AI$453</formula1>
    </dataValidation>
    <dataValidation type="list" allowBlank="1" showErrorMessage="1" sqref="J235">
      <formula1>'6월'!$AB$235:$AI$235</formula1>
    </dataValidation>
    <dataValidation type="list" allowBlank="1" showErrorMessage="1" sqref="J230">
      <formula1>'6월'!$AB$230:$AI$230</formula1>
    </dataValidation>
    <dataValidation type="list" allowBlank="1" showErrorMessage="1" sqref="J443">
      <formula1>'6월'!$AB$443:$AI$443</formula1>
    </dataValidation>
    <dataValidation type="list" allowBlank="1" showErrorMessage="1" sqref="J197">
      <formula1>'6월'!$AB$197:$AI$197</formula1>
    </dataValidation>
    <dataValidation type="list" allowBlank="1" showErrorMessage="1" sqref="J408">
      <formula1>'6월'!$AB$408:$AI$408</formula1>
    </dataValidation>
    <dataValidation type="list" allowBlank="1" showErrorMessage="1" sqref="J354">
      <formula1>'6월'!$AB$354:$AI$354</formula1>
    </dataValidation>
    <dataValidation type="list" allowBlank="1" showErrorMessage="1" sqref="J458">
      <formula1>'6월'!$AB$458:$AI$458</formula1>
    </dataValidation>
    <dataValidation type="list" allowBlank="1" showErrorMessage="1" sqref="J146">
      <formula1>'6월'!$AB$146:$AI$146</formula1>
    </dataValidation>
    <dataValidation type="list" allowBlank="1" showErrorMessage="1" sqref="J260">
      <formula1>'6월'!$AB$260:$AI$260</formula1>
    </dataValidation>
    <dataValidation type="list" allowBlank="1" showErrorMessage="1" sqref="J265">
      <formula1>'6월'!$AB$265:$AI$265</formula1>
    </dataValidation>
    <dataValidation type="list" allowBlank="1" showErrorMessage="1" sqref="J468">
      <formula1>'6월'!$AB$468:$AI$468</formula1>
    </dataValidation>
    <dataValidation type="list" allowBlank="1" showErrorMessage="1" sqref="J86">
      <formula1>'6월'!$AB$86:$AI$86</formula1>
    </dataValidation>
    <dataValidation type="list" allowBlank="1" showErrorMessage="1" sqref="J364">
      <formula1>'6월'!$AB$364:$AI$364</formula1>
    </dataValidation>
    <dataValidation type="list" allowBlank="1" showErrorMessage="1" sqref="J369">
      <formula1>'6월'!$AB$369:$AI$369</formula1>
    </dataValidation>
    <dataValidation type="list" allowBlank="1" showErrorMessage="1" sqref="J402">
      <formula1>'6월'!$AB$402:$AI$402</formula1>
    </dataValidation>
    <dataValidation type="list" allowBlank="1" showErrorMessage="1" sqref="J412">
      <formula1>'6월'!$AB$412:$AI$412</formula1>
    </dataValidation>
    <dataValidation type="list" allowBlank="1" showErrorMessage="1" sqref="J459">
      <formula1>'6월'!$AB$459:$AI$459</formula1>
    </dataValidation>
    <dataValidation type="list" allowBlank="1" showErrorMessage="1" sqref="J99">
      <formula1>'6월'!$AB$99:$AI$99</formula1>
    </dataValidation>
    <dataValidation type="list" allowBlank="1" showErrorMessage="1" sqref="J181">
      <formula1>'6월'!$AB$181:$AI$181</formula1>
    </dataValidation>
    <dataValidation type="list" allowBlank="1" showErrorMessage="1" sqref="J271">
      <formula1>'6월'!$AB$271:$AI$271</formula1>
    </dataValidation>
    <dataValidation type="list" allowBlank="1" showErrorMessage="1" sqref="J261">
      <formula1>'6월'!$AB$261:$AI$261</formula1>
    </dataValidation>
    <dataValidation type="list" allowBlank="1" showErrorMessage="1" sqref="J313">
      <formula1>'6월'!$AB$313:$AI$313</formula1>
    </dataValidation>
    <dataValidation type="list" allowBlank="1" showErrorMessage="1" sqref="J379">
      <formula1>'6월'!$AB$379:$AI$379</formula1>
    </dataValidation>
    <dataValidation type="list" allowBlank="1" showErrorMessage="1" sqref="J469">
      <formula1>'6월'!$AB$469:$AI$469</formula1>
    </dataValidation>
    <dataValidation type="list" allowBlank="1" showErrorMessage="1" sqref="J105">
      <formula1>'6월'!$AB$105:$AI$105</formula1>
    </dataValidation>
    <dataValidation type="list" allowBlank="1" showErrorMessage="1" sqref="J171">
      <formula1>'6월'!$AB$171:$AI$171</formula1>
    </dataValidation>
    <dataValidation type="list" allowBlank="1" showErrorMessage="1" sqref="J323">
      <formula1>'6월'!$AB$323:$AI$323</formula1>
    </dataValidation>
    <dataValidation type="list" allowBlank="1" showErrorMessage="1" sqref="J403">
      <formula1>'6월'!$AB$403:$AI$403</formula1>
    </dataValidation>
    <dataValidation type="list" allowBlank="1" showErrorMessage="1" sqref="J360">
      <formula1>'6월'!$AB$360:$AI$360</formula1>
    </dataValidation>
    <dataValidation type="list" allowBlank="1" showErrorMessage="1" sqref="J270">
      <formula1>'6월'!$AB$270:$AI$270</formula1>
    </dataValidation>
    <dataValidation type="list" allowBlank="1" showErrorMessage="1" sqref="J413">
      <formula1>'6월'!$AB$413:$AI$413</formula1>
    </dataValidation>
    <dataValidation type="list" allowBlank="1" showErrorMessage="1" sqref="J106">
      <formula1>'6월'!$AB$106:$AI$106</formula1>
    </dataValidation>
    <dataValidation type="list" allowBlank="1" showErrorMessage="1" sqref="J390">
      <formula1>'6월'!$AB$390:$AI$390</formula1>
    </dataValidation>
    <dataValidation type="list" allowBlank="1" showErrorMessage="1" sqref="J182">
      <formula1>'6월'!$AB$182:$AI$182</formula1>
    </dataValidation>
    <dataValidation type="list" allowBlank="1" showErrorMessage="1" sqref="J224">
      <formula1>'6월'!$AB$224:$AI$224</formula1>
    </dataValidation>
    <dataValidation type="list" allowBlank="1" showErrorMessage="1" sqref="J314">
      <formula1>'6월'!$AB$314:$AI$314</formula1>
    </dataValidation>
    <dataValidation type="list" allowBlank="1" showErrorMessage="1" sqref="J498">
      <formula1>'6월'!$AB$498:$AI$498</formula1>
    </dataValidation>
    <dataValidation type="list" allowBlank="1" showErrorMessage="1" sqref="J135">
      <formula1>'6월'!$AB$135:$AI$135</formula1>
    </dataValidation>
    <dataValidation type="list" allowBlank="1" showErrorMessage="1" sqref="J499">
      <formula1>'6월'!$AB$499:$AI$499</formula1>
    </dataValidation>
    <dataValidation type="list" allowBlank="1" showErrorMessage="1" sqref="J442">
      <formula1>'6월'!$AB$442:$AI$442</formula1>
    </dataValidation>
    <dataValidation type="list" allowBlank="1" showErrorMessage="1" sqref="J324">
      <formula1>'6월'!$AB$324:$AI$324</formula1>
    </dataValidation>
    <dataValidation type="list" allowBlank="1" showErrorMessage="1" sqref="J172">
      <formula1>'6월'!$AB$172:$AI$172</formula1>
    </dataValidation>
    <dataValidation type="list" allowBlank="1" showErrorMessage="1" sqref="J234">
      <formula1>'6월'!$AB$234:$AI$234</formula1>
    </dataValidation>
    <dataValidation type="list" allowBlank="1" showErrorMessage="1" sqref="J145">
      <formula1>'6월'!$AB$145:$AI$145</formula1>
    </dataValidation>
    <dataValidation type="list" allowBlank="1" showErrorMessage="1" sqref="J495">
      <formula1>'6월'!$AB$495:$AI$495</formula1>
    </dataValidation>
    <dataValidation type="list" allowBlank="1" showErrorMessage="1" sqref="J69">
      <formula1>'6월'!$AB$69:$AI$69</formula1>
    </dataValidation>
    <dataValidation type="list" allowBlank="1" showErrorMessage="1" sqref="J107">
      <formula1>'6월'!$AB$107:$AI$107</formula1>
    </dataValidation>
    <dataValidation type="list" allowBlank="1" showErrorMessage="1" sqref="J457">
      <formula1>'6월'!$AB$457:$AI$457</formula1>
    </dataValidation>
    <dataValidation type="list" allowBlank="1" showErrorMessage="1" sqref="J363">
      <formula1>'6월'!$AB$363:$AI$363</formula1>
    </dataValidation>
    <dataValidation type="list" allowBlank="1" showErrorMessage="1" sqref="J183">
      <formula1>'6월'!$AB$183:$AI$183</formula1>
    </dataValidation>
    <dataValidation type="list" allowBlank="1" showErrorMessage="1" sqref="J452">
      <formula1>'6월'!$AB$452:$AI$452</formula1>
    </dataValidation>
    <dataValidation type="list" allowBlank="1" showErrorMessage="1" sqref="J277">
      <formula1>'6월'!$AB$277:$AI$277</formula1>
    </dataValidation>
    <dataValidation type="list" allowBlank="1" showErrorMessage="1" sqref="J325">
      <formula1>'6월'!$AB$325:$AI$325</formula1>
    </dataValidation>
    <dataValidation type="list" allowBlank="1" showErrorMessage="1" sqref="J490">
      <formula1>'6월'!$AB$490:$AI$490</formula1>
    </dataValidation>
    <dataValidation type="list" allowBlank="1" showErrorMessage="1" sqref="J188">
      <formula1>'6월'!$AB$188:$AI$188</formula1>
    </dataValidation>
    <dataValidation type="list" allowBlank="1" showErrorMessage="1" sqref="J328">
      <formula1>'6월'!$AB$328:$AI$328</formula1>
    </dataValidation>
    <dataValidation type="list" allowBlank="1" showErrorMessage="1" sqref="J401">
      <formula1>'6월'!$AB$401:$AI$401</formula1>
    </dataValidation>
    <dataValidation type="list" allowBlank="1" showErrorMessage="1" sqref="J63">
      <formula1>'6월'!$AB$63:$AI$63</formula1>
    </dataValidation>
    <dataValidation type="list" allowBlank="1" showErrorMessage="1" sqref="J221">
      <formula1>'6월'!$AB$221:$AI$221</formula1>
    </dataValidation>
    <dataValidation type="list" allowBlank="1" showErrorMessage="1" sqref="J274">
      <formula1>'6월'!$AB$274:$AI$274</formula1>
    </dataValidation>
    <dataValidation type="list" allowBlank="1" showErrorMessage="1" sqref="J368">
      <formula1>'6월'!$AB$368:$AI$368</formula1>
    </dataValidation>
    <dataValidation type="list" allowBlank="1" showErrorMessage="1" sqref="J236">
      <formula1>'6월'!$AB$236:$AI$236</formula1>
    </dataValidation>
    <dataValidation type="list" allowBlank="1" showErrorMessage="1" sqref="J170">
      <formula1>'6월'!$AB$170:$AI$170</formula1>
    </dataValidation>
    <dataValidation type="list" allowBlank="1" showErrorMessage="1" sqref="J350">
      <formula1>'6월'!$AB$350:$AI$350</formula1>
    </dataValidation>
    <dataValidation type="list" allowBlank="1" showErrorMessage="1" sqref="J417">
      <formula1>'6월'!$AB$417:$AI$417</formula1>
    </dataValidation>
    <dataValidation type="list" allowBlank="1" showErrorMessage="1" sqref="J454">
      <formula1>'6월'!$AB$454:$AI$454</formula1>
    </dataValidation>
    <dataValidation type="list" allowBlank="1" showErrorMessage="1" sqref="J279">
      <formula1>'6월'!$AB$279:$AI$279</formula1>
    </dataValidation>
    <dataValidation type="list" allowBlank="1" showErrorMessage="1" sqref="J68">
      <formula1>'6월'!$AB$68:$AI$68</formula1>
    </dataValidation>
    <dataValidation type="list" allowBlank="1" showErrorMessage="1" sqref="J132">
      <formula1>'6월'!$AB$132:$AI$132</formula1>
    </dataValidation>
    <dataValidation type="list" allowBlank="1" showErrorMessage="1" sqref="J312">
      <formula1>'6월'!$AB$312:$AI$312</formula1>
    </dataValidation>
    <dataValidation type="list" allowBlank="1" showErrorMessage="1" sqref="J237">
      <formula1>'6월'!$AB$237:$AI$237</formula1>
    </dataValidation>
    <dataValidation type="list" allowBlank="1" showErrorMessage="1" sqref="J147">
      <formula1>'6월'!$AB$147:$AI$147</formula1>
    </dataValidation>
    <dataValidation type="list" allowBlank="1" showErrorMessage="1" sqref="J327">
      <formula1>'6월'!$AB$327:$AI$327</formula1>
    </dataValidation>
    <dataValidation type="list" allowBlank="1" showErrorMessage="1" sqref="J62">
      <formula1>'6월'!$AB$62:$AI$62</formula1>
    </dataValidation>
    <dataValidation type="list" allowBlank="1" showErrorMessage="1" sqref="J493">
      <formula1>'6월'!$AB$493:$AI$493</formula1>
    </dataValidation>
    <dataValidation type="list" allowBlank="1" showErrorMessage="1" sqref="J492">
      <formula1>'6월'!$AB$492:$AI$492</formula1>
    </dataValidation>
    <dataValidation type="list" allowBlank="1" showErrorMessage="1" sqref="J148">
      <formula1>'6월'!$AB$148:$AI$148</formula1>
    </dataValidation>
    <dataValidation type="list" allowBlank="1" showErrorMessage="1" sqref="J275">
      <formula1>'6월'!$AB$275:$AI$275</formula1>
    </dataValidation>
    <dataValidation type="list" allowBlank="1" showErrorMessage="1" sqref="J365">
      <formula1>'6월'!$AB$365:$AI$365</formula1>
    </dataValidation>
    <dataValidation type="list" allowBlank="1" showErrorMessage="1" sqref="J185">
      <formula1>'6월'!$AB$185:$AI$185</formula1>
    </dataValidation>
    <dataValidation type="list" allowBlank="1" showErrorMessage="1" sqref="J455">
      <formula1>'6월'!$AB$455:$AI$455</formula1>
    </dataValidation>
    <dataValidation type="list" allowBlank="1" showErrorMessage="1" sqref="J130">
      <formula1>'6월'!$AB$130:$AI$130</formula1>
    </dataValidation>
    <dataValidation type="list" allowBlank="1" showErrorMessage="1" sqref="J238">
      <formula1>'6월'!$AB$238:$AI$238</formula1>
    </dataValidation>
    <dataValidation type="list" allowBlank="1" showErrorMessage="1" sqref="J494">
      <formula1>'6월'!$AB$494:$AI$494</formula1>
    </dataValidation>
    <dataValidation type="list" allowBlank="1" showErrorMessage="1" sqref="J366">
      <formula1>'6월'!$AB$366:$AI$366</formula1>
    </dataValidation>
    <dataValidation type="list" allowBlank="1" showErrorMessage="1" sqref="J276">
      <formula1>'6월'!$AB$276:$AI$276</formula1>
    </dataValidation>
    <dataValidation type="list" allowBlank="1" showErrorMessage="1" sqref="J64">
      <formula1>'6월'!$AB$64:$AI$64</formula1>
    </dataValidation>
    <dataValidation type="list" allowBlank="1" showErrorMessage="1" sqref="J220">
      <formula1>'6월'!$AB$220:$AI$220</formula1>
    </dataValidation>
    <dataValidation type="list" allowBlank="1" showErrorMessage="1" sqref="J187">
      <formula1>'6월'!$AB$187:$AI$187</formula1>
    </dataValidation>
    <dataValidation type="list" allowBlank="1" showErrorMessage="1" sqref="J310">
      <formula1>'6월'!$AB$310:$AI$310</formula1>
    </dataValidation>
    <dataValidation type="list" allowBlank="1" showErrorMessage="1" sqref="J65">
      <formula1>'6월'!$AB$65:$AI$65</formula1>
    </dataValidation>
    <dataValidation type="list" allowBlank="1" showErrorMessage="1" sqref="J456">
      <formula1>'6월'!$AB$456:$AI$456</formula1>
    </dataValidation>
    <dataValidation type="list" allowBlank="1" showErrorMessage="1" sqref="J186">
      <formula1>'6월'!$AB$186:$AI$186</formula1>
    </dataValidation>
    <dataValidation type="list" allowBlank="1" showErrorMessage="1" sqref="J149">
      <formula1>'6월'!$AB$149:$AI$149</formula1>
    </dataValidation>
    <dataValidation type="list" allowBlank="1" showErrorMessage="1" sqref="J419">
      <formula1>'6월'!$AB$419:$AI$419</formula1>
    </dataValidation>
    <dataValidation type="list" allowBlank="1" showErrorMessage="1" sqref="J239">
      <formula1>'6월'!$AB$239:$AI$239</formula1>
    </dataValidation>
    <dataValidation type="list" allowBlank="1" showErrorMessage="1" sqref="J329">
      <formula1>'6월'!$AB$329:$AI$329</formula1>
    </dataValidation>
    <dataValidation type="list" allowBlank="1" showErrorMessage="1" sqref="J301">
      <formula1>'6월'!$AB$301:$AI$301</formula1>
    </dataValidation>
    <dataValidation type="list" allowBlank="1" showErrorMessage="1" sqref="J66">
      <formula1>'6월'!$AB$66:$AI$66</formula1>
    </dataValidation>
    <dataValidation type="list" allowBlank="1" showErrorMessage="1" sqref="J481">
      <formula1>'6월'!$AB$481:$AI$481</formula1>
    </dataValidation>
    <dataValidation type="list" allowBlank="1" showErrorMessage="1" sqref="J466">
      <formula1>'6월'!$AB$466:$AI$466</formula1>
    </dataValidation>
    <dataValidation type="list" allowBlank="1" showErrorMessage="1" sqref="J174">
      <formula1>'6월'!$AB$174:$AI$174</formula1>
    </dataValidation>
    <dataValidation type="list" allowBlank="1" showErrorMessage="1" sqref="J159">
      <formula1>'6월'!$AB$159:$AI$159</formula1>
    </dataValidation>
    <dataValidation type="list" allowBlank="1" showErrorMessage="1" sqref="J103">
      <formula1>'6월'!$AB$103:$AI$103</formula1>
    </dataValidation>
    <dataValidation type="list" allowBlank="1" showErrorMessage="1" sqref="J154">
      <formula1>'6월'!$AB$154:$AI$154</formula1>
    </dataValidation>
    <dataValidation type="list" allowBlank="1" showErrorMessage="1" sqref="J486">
      <formula1>'6월'!$AB$486:$AI$486</formula1>
    </dataValidation>
    <dataValidation type="list" allowBlank="1" showErrorMessage="1" sqref="J81">
      <formula1>'6월'!$AB$81:$AI$81</formula1>
    </dataValidation>
    <dataValidation type="list" allowBlank="1" showErrorMessage="1" sqref="J263">
      <formula1>'6월'!$AB$263:$AI$263</formula1>
    </dataValidation>
    <dataValidation type="list" allowBlank="1" showErrorMessage="1" sqref="J415">
      <formula1>'6월'!$AB$415:$AI$415</formula1>
    </dataValidation>
    <dataValidation type="list" allowBlank="1" showErrorMessage="1" sqref="J268">
      <formula1>'6월'!$AB$268:$AI$268</formula1>
    </dataValidation>
    <dataValidation type="list" allowBlank="1" showErrorMessage="1" sqref="J410">
      <formula1>'6월'!$AB$410:$AI$410</formula1>
    </dataValidation>
    <dataValidation type="list" allowBlank="1" showErrorMessage="1" sqref="J372">
      <formula1>'6월'!$AB$372:$AI$372</formula1>
    </dataValidation>
    <dataValidation type="list" allowBlank="1" showErrorMessage="1" sqref="J377">
      <formula1>'6월'!$AB$377:$AI$377</formula1>
    </dataValidation>
    <dataValidation type="list" allowBlank="1" showErrorMessage="1" sqref="J430">
      <formula1>'6월'!$AB$430:$AI$430</formula1>
    </dataValidation>
    <dataValidation type="list" allowBlank="1" showErrorMessage="1" sqref="J288">
      <formula1>'6월'!$AB$288:$AI$288</formula1>
    </dataValidation>
    <dataValidation type="list" allowBlank="1" showErrorMessage="1" sqref="J194">
      <formula1>'6월'!$AB$194:$AI$194</formula1>
    </dataValidation>
    <dataValidation type="list" allowBlank="1" showErrorMessage="1" sqref="J321">
      <formula1>'6월'!$AB$321:$AI$321</formula1>
    </dataValidation>
    <dataValidation type="list" allowBlank="1" showErrorMessage="1" sqref="J217">
      <formula1>'6월'!$AB$217:$AI$217</formula1>
    </dataValidation>
    <dataValidation type="list" allowBlank="1" showErrorMessage="1" sqref="J212">
      <formula1>'6월'!$AB$212:$AI$212</formula1>
    </dataValidation>
    <dataValidation type="list" allowBlank="1" showErrorMessage="1" sqref="J179">
      <formula1>'6월'!$AB$179:$AI$179</formula1>
    </dataValidation>
    <dataValidation type="list" allowBlank="1" showErrorMessage="1" sqref="J232">
      <formula1>'6월'!$AB$232:$AI$232</formula1>
    </dataValidation>
    <dataValidation type="list" allowBlank="1" showErrorMessage="1" sqref="J283">
      <formula1>'6월'!$AB$283:$AI$283</formula1>
    </dataValidation>
    <dataValidation type="list" allowBlank="1" showErrorMessage="1" sqref="J435">
      <formula1>'6월'!$AB$435:$AI$435</formula1>
    </dataValidation>
    <dataValidation type="list" allowBlank="1" showErrorMessage="1" sqref="J119">
      <formula1>'6월'!$AB$119:$AI$119</formula1>
    </dataValidation>
    <dataValidation type="list" allowBlank="1" showErrorMessage="1" sqref="J326">
      <formula1>'6월'!$AB$326:$AI$326</formula1>
    </dataValidation>
    <dataValidation type="list" allowBlank="1" showErrorMessage="1" sqref="J392">
      <formula1>'6월'!$AB$392:$AI$392</formula1>
    </dataValidation>
    <dataValidation type="list" allowBlank="1" showErrorMessage="1" sqref="J123">
      <formula1>'6월'!$AB$123:$AI$123</formula1>
    </dataValidation>
    <dataValidation type="list" allowBlank="1" showErrorMessage="1" sqref="J397">
      <formula1>'6월'!$AB$397:$AI$397</formula1>
    </dataValidation>
    <dataValidation type="list" allowBlank="1" showErrorMessage="1" sqref="J223">
      <formula1>'6월'!$AB$223:$AI$223</formula1>
    </dataValidation>
    <dataValidation type="list" allowBlank="1" showErrorMessage="1" sqref="J317">
      <formula1>'6월'!$AB$317:$AI$317</formula1>
    </dataValidation>
    <dataValidation type="list" allowBlank="1" showErrorMessage="1" sqref="J78">
      <formula1>'6월'!$AB$78:$AI$78</formula1>
    </dataValidation>
    <dataValidation type="list" allowBlank="1" showErrorMessage="1" sqref="J143">
      <formula1>'6월'!$AB$143:$AI$143</formula1>
    </dataValidation>
    <dataValidation type="list" allowBlank="1" showErrorMessage="1" sqref="J497">
      <formula1>'6월'!$AB$497:$AI$497</formula1>
    </dataValidation>
    <dataValidation type="list" allowBlank="1" showErrorMessage="1" sqref="J208">
      <formula1>'6월'!$AB$208:$AI$208</formula1>
    </dataValidation>
    <dataValidation type="list" allowBlank="1" showErrorMessage="1" sqref="J114">
      <formula1>'6월'!$AB$114:$AI$114</formula1>
    </dataValidation>
    <dataValidation type="list" allowBlank="1" showErrorMessage="1" sqref="J199">
      <formula1>'6월'!$AB$199:$AI$199</formula1>
    </dataValidation>
    <dataValidation type="list" allowBlank="1" showErrorMessage="1" sqref="J388">
      <formula1>'6월'!$AB$388:$AI$388</formula1>
    </dataValidation>
    <dataValidation type="list" allowBlank="1" showErrorMessage="1" sqref="J83">
      <formula1>'6월'!$AB$83:$AI$83</formula1>
    </dataValidation>
    <dataValidation type="list" allowBlank="1" showErrorMessage="1" sqref="J252">
      <formula1>'6월'!$AB$252:$AI$252</formula1>
    </dataValidation>
    <dataValidation type="list" allowBlank="1" showErrorMessage="1" sqref="J299">
      <formula1>'6월'!$AB$299:$AI$299</formula1>
    </dataValidation>
    <dataValidation type="list" allowBlank="1" showErrorMessage="1" sqref="J441">
      <formula1>'6월'!$AB$441:$AI$441</formula1>
    </dataValidation>
    <dataValidation type="list" allowBlank="1" showErrorMessage="1" sqref="J341">
      <formula1>'6월'!$AB$341:$AI$341</formula1>
    </dataValidation>
    <dataValidation type="list" allowBlank="1" showErrorMessage="1" sqref="J406">
      <formula1>'6월'!$AB$406:$AI$406</formula1>
    </dataValidation>
    <dataValidation type="list" allowBlank="1" showErrorMessage="1" sqref="J108">
      <formula1>'6월'!$AB$108:$AI$108</formula1>
    </dataValidation>
    <dataValidation type="list" allowBlank="1" showErrorMessage="1" sqref="J450">
      <formula1>'6월'!$AB$450:$AI$450</formula1>
    </dataValidation>
    <dataValidation type="list" allowBlank="1" showErrorMessage="1" sqref="J180">
      <formula1>'6월'!$AB$180:$AI$180</formula1>
    </dataValidation>
    <dataValidation type="list" allowBlank="1" showErrorMessage="1" sqref="J332">
      <formula1>'6월'!$AB$332:$AI$332</formula1>
    </dataValidation>
    <dataValidation type="list" allowBlank="1" showErrorMessage="1" sqref="J163">
      <formula1>'6월'!$AB$163:$AI$163</formula1>
    </dataValidation>
    <dataValidation type="list" allowBlank="1" showErrorMessage="1" sqref="J352">
      <formula1>'6월'!$AB$352:$AI$352</formula1>
    </dataValidation>
    <dataValidation type="list" allowBlank="1" showErrorMessage="1" sqref="J461">
      <formula1>'6월'!$AB$461:$AI$461</formula1>
    </dataValidation>
    <dataValidation type="list" allowBlank="1" showErrorMessage="1" sqref="J243">
      <formula1>'6월'!$AB$243:$AI$243</formula1>
    </dataValidation>
    <dataValidation type="list" allowBlank="1" showErrorMessage="1" sqref="J272">
      <formula1>'6월'!$AB$272:$AI$272</formula1>
    </dataValidation>
    <dataValidation type="list" allowBlank="1" showErrorMessage="1" sqref="J306">
      <formula1>'6월'!$AB$306:$AI$306</formula1>
    </dataValidation>
    <dataValidation type="list" allowBlank="1" showErrorMessage="1" sqref="J404">
      <formula1>'6월'!$AB$404:$AI$404</formula1>
    </dataValidation>
    <dataValidation type="list" allowBlank="1" showErrorMessage="1" sqref="J134">
      <formula1>'6월'!$AB$134:$AI$134</formula1>
    </dataValidation>
    <dataValidation type="list" allowBlank="1" showErrorMessage="1" sqref="J361">
      <formula1>'6월'!$AB$361:$AI$361</formula1>
    </dataValidation>
    <dataValidation type="list" allowBlank="1" showErrorMessage="1" sqref="J470">
      <formula1>'6월'!$AB$470:$AI$470</formula1>
    </dataValidation>
    <dataValidation type="list" allowBlank="1" showErrorMessage="1" sqref="J206">
      <formula1>'6월'!$AB$206:$AI$206</formula1>
    </dataValidation>
    <dataValidation type="list" allowBlank="1" showErrorMessage="1" sqref="J409">
      <formula1>'6월'!$AB$409:$AI$409</formula1>
    </dataValidation>
    <dataValidation type="list" allowBlank="1" showErrorMessage="1" sqref="J315">
      <formula1>'6월'!$AB$315:$AI$315</formula1>
    </dataValidation>
    <dataValidation type="list" allowBlank="1" showErrorMessage="1" sqref="J424">
      <formula1>'6월'!$AB$424:$AI$424</formula1>
    </dataValidation>
    <dataValidation type="list" allowBlank="1" showErrorMessage="1" sqref="J140">
      <formula1>'6월'!$AB$140:$AI$140</formula1>
    </dataValidation>
    <dataValidation type="list" allowBlank="1" showErrorMessage="1" sqref="J117">
      <formula1>'6월'!$AB$117:$AI$117</formula1>
    </dataValidation>
    <dataValidation type="list" allowBlank="1" showErrorMessage="1" sqref="J226">
      <formula1>'6월'!$AB$226:$AI$226</formula1>
    </dataValidation>
    <dataValidation type="list" allowBlank="1" showErrorMessage="1" sqref="J444">
      <formula1>'6월'!$AB$444:$AI$444</formula1>
    </dataValidation>
    <dataValidation type="list" allowBlank="1" showErrorMessage="1" sqref="J335">
      <formula1>'6월'!$AB$335:$AI$335</formula1>
    </dataValidation>
    <dataValidation type="list" allowBlank="1" showErrorMessage="1" sqref="J85">
      <formula1>'6월'!$AB$85:$AI$85</formula1>
    </dataValidation>
    <dataValidation type="list" allowBlank="1" showErrorMessage="1" sqref="J97">
      <formula1>'6월'!$AB$97:$AI$97</formula1>
    </dataValidation>
    <dataValidation type="list" allowBlank="1" showErrorMessage="1" sqref="J246">
      <formula1>'6월'!$AB$246:$AI$246</formula1>
    </dataValidation>
    <dataValidation type="list" allowBlank="1" showErrorMessage="1" sqref="J137">
      <formula1>'6월'!$AB$137:$AI$137</formula1>
    </dataValidation>
    <dataValidation type="list" allowBlank="1" showErrorMessage="1" sqref="J160">
      <formula1>'6월'!$AB$160:$AI$160</formula1>
    </dataValidation>
    <dataValidation type="list" allowBlank="1" showErrorMessage="1" sqref="J91">
      <formula1>'6월'!$AB$91:$AI$91</formula1>
    </dataValidation>
    <dataValidation type="list" allowBlank="1" showErrorMessage="1" sqref="J176">
      <formula1>'6월'!$AB$176:$AI$176</formula1>
    </dataValidation>
    <dataValidation type="list" allowBlank="1" showErrorMessage="1" sqref="J464">
      <formula1>'6월'!$AB$464:$AI$464</formula1>
    </dataValidation>
    <dataValidation type="list" allowBlank="1" showErrorMessage="1" sqref="J426">
      <formula1>'6월'!$AB$426:$AI$426</formula1>
    </dataValidation>
    <dataValidation type="list" allowBlank="1" showErrorMessage="1" sqref="J100">
      <formula1>'6월'!$AB$100:$AI$100</formula1>
    </dataValidation>
    <dataValidation type="list" allowBlank="1" showErrorMessage="1" sqref="J355">
      <formula1>'6월'!$AB$355:$AI$355</formula1>
    </dataValidation>
    <dataValidation type="list" allowBlank="1" showErrorMessage="1" sqref="J449">
      <formula1>'6월'!$AB$449:$AI$449</formula1>
    </dataValidation>
    <dataValidation type="list" allowBlank="1" showErrorMessage="1" sqref="J285">
      <formula1>'6월'!$AB$285:$AI$285</formula1>
    </dataValidation>
    <dataValidation type="list" allowBlank="1" showErrorMessage="1" sqref="J228">
      <formula1>'6월'!$AB$228:$AI$228</formula1>
    </dataValidation>
    <dataValidation type="list" allowBlank="1" showErrorMessage="1" sqref="J266">
      <formula1>'6월'!$AB$266:$AI$266</formula1>
    </dataValidation>
    <dataValidation type="list" allowBlank="1" showErrorMessage="1" sqref="J374">
      <formula1>'6월'!$AB$374:$AI$374</formula1>
    </dataValidation>
    <dataValidation type="list" allowBlank="1" showErrorMessage="1" sqref="J93">
      <formula1>'6월'!$AB$93:$AI$93</formula1>
    </dataValidation>
    <dataValidation type="list" allowBlank="1" showErrorMessage="1" sqref="J337">
      <formula1>'6월'!$AB$337:$AI$337</formula1>
    </dataValidation>
    <dataValidation type="list" allowBlank="1" showErrorMessage="1" sqref="J157">
      <formula1>'6월'!$AB$157:$AI$157</formula1>
    </dataValidation>
    <dataValidation type="list" allowBlank="1" showErrorMessage="1" sqref="J483">
      <formula1>'6월'!$AB$483:$AI$483</formula1>
    </dataValidation>
    <dataValidation type="list" allowBlank="1" showErrorMessage="1" sqref="J210">
      <formula1>'6월'!$AB$210:$AI$210</formula1>
    </dataValidation>
    <dataValidation type="list" allowBlank="1" showErrorMessage="1" sqref="J196">
      <formula1>'6월'!$AB$196:$AI$196</formula1>
    </dataValidation>
    <dataValidation type="list" allowBlank="1" showErrorMessage="1" sqref="J286">
      <formula1>'6월'!$AB$286:$AI$286</formula1>
    </dataValidation>
    <dataValidation type="list" allowBlank="1" showErrorMessage="1" sqref="J446">
      <formula1>'6월'!$AB$446:$AI$446</formula1>
    </dataValidation>
    <dataValidation type="list" allowBlank="1" showErrorMessage="1" sqref="J139">
      <formula1>'6월'!$AB$139:$AI$139</formula1>
    </dataValidation>
    <dataValidation type="list" allowBlank="1" showErrorMessage="1" sqref="J88">
      <formula1>'6월'!$AB$88:$AI$88</formula1>
    </dataValidation>
    <dataValidation type="list" allowBlank="1" showErrorMessage="1" sqref="J395">
      <formula1>'6월'!$AB$395:$AI$395</formula1>
    </dataValidation>
    <dataValidation type="list" allowBlank="1" showErrorMessage="1" sqref="J429">
      <formula1>'6월'!$AB$429:$AI$429</formula1>
    </dataValidation>
    <dataValidation type="list" allowBlank="1" showErrorMessage="1" sqref="J339">
      <formula1>'6월'!$AB$339:$AI$339</formula1>
    </dataValidation>
    <dataValidation type="list" allowBlank="1" showErrorMessage="1" sqref="J101">
      <formula1>'6월'!$AB$101:$AI$101</formula1>
    </dataValidation>
    <dataValidation type="list" allowBlank="1" showErrorMessage="1" sqref="J375">
      <formula1>'6월'!$AB$375:$AI$375</formula1>
    </dataValidation>
    <dataValidation type="list" allowBlank="1" showErrorMessage="1" sqref="J95">
      <formula1>'6월'!$AB$95:$AI$95</formula1>
    </dataValidation>
    <dataValidation type="list" allowBlank="1" showErrorMessage="1" sqref="J120">
      <formula1>'6월'!$AB$120:$AI$120</formula1>
    </dataValidation>
    <dataValidation type="list" allowBlank="1" showErrorMessage="1" sqref="J394">
      <formula1>'6월'!$AB$394:$AI$394</formula1>
    </dataValidation>
    <dataValidation type="list" allowBlank="1" showErrorMessage="1" sqref="J248">
      <formula1>'6월'!$AB$248:$AI$248</formula1>
    </dataValidation>
    <dataValidation type="list" allowBlank="1" showErrorMessage="1" sqref="J484">
      <formula1>'6월'!$AB$484:$AI$484</formula1>
    </dataValidation>
    <dataValidation type="list" allowBlank="1" showErrorMessage="1" sqref="J357">
      <formula1>'6월'!$AB$357:$AI$357</formula1>
    </dataValidation>
    <dataValidation type="list" allowBlank="1" showErrorMessage="1" sqref="J177">
      <formula1>'6월'!$AB$177:$AI$177</formula1>
    </dataValidation>
    <dataValidation type="list" allowBlank="1" showErrorMessage="1" sqref="J334">
      <formula1>'6월'!$AB$334:$AI$334</formula1>
    </dataValidation>
    <dataValidation type="list" allowBlank="1" showErrorMessage="1" sqref="J240">
      <formula1>'6월'!$AB$240:$AI$240</formula1>
    </dataValidation>
    <dataValidation type="list" allowBlank="1" showErrorMessage="1" sqref="J428">
      <formula1>'6월'!$AB$428:$AI$428</formula1>
    </dataValidation>
    <dataValidation type="list" allowBlank="1" showErrorMessage="1" sqref="J433">
      <formula1>'6월'!$AB$433:$AI$433</formula1>
    </dataValidation>
    <dataValidation type="list" allowBlank="1" showErrorMessage="1" sqref="J126">
      <formula1>'6월'!$AB$126:$AI$126</formula1>
    </dataValidation>
    <dataValidation type="list" allowBlank="1" showErrorMessage="1" sqref="J121">
      <formula1>'6월'!$AB$121:$AI$121</formula1>
    </dataValidation>
    <dataValidation type="list" allowBlank="1" showErrorMessage="1" sqref="J344">
      <formula1>'6월'!$AB$344:$AI$344</formula1>
    </dataValidation>
    <dataValidation type="list" allowBlank="1" showErrorMessage="1" sqref="J296">
      <formula1>'6월'!$AB$296:$AI$296</formula1>
    </dataValidation>
    <dataValidation type="list" allowBlank="1" showErrorMessage="1" sqref="J192">
      <formula1>'6월'!$AB$192:$AI$192</formula1>
    </dataValidation>
    <dataValidation type="list" allowBlank="1" showErrorMessage="1" sqref="J448">
      <formula1>'6월'!$AB$448:$AI$448</formula1>
    </dataValidation>
    <dataValidation type="list" allowBlank="1" showErrorMessage="1" sqref="J309">
      <formula1>'6월'!$AB$309:$AI$309</formula1>
    </dataValidation>
    <dataValidation type="list" allowBlank="1" showErrorMessage="1" sqref="J349">
      <formula1>'6월'!$AB$349:$AI$349</formula1>
    </dataValidation>
    <dataValidation type="list" allowBlank="1" showErrorMessage="1" sqref="J463">
      <formula1>'6월'!$AB$463:$AI$463</formula1>
    </dataValidation>
    <dataValidation type="list" allowBlank="1" showErrorMessage="1" sqref="J255">
      <formula1>'6월'!$AB$255:$AI$255</formula1>
    </dataValidation>
    <dataValidation type="list" allowBlank="1" showErrorMessage="1" sqref="J73">
      <formula1>'6월'!$AB$73:$AI$73</formula1>
    </dataValidation>
    <dataValidation type="list" allowBlank="1" showErrorMessage="1" sqref="J161">
      <formula1>'6월'!$AB$161:$AI$161</formula1>
    </dataValidation>
    <dataValidation type="list" allowBlank="1" showErrorMessage="1" sqref="L62:L500">
      <formula1>'설정시트'!$D$23:$N$23</formula1>
    </dataValidation>
    <dataValidation type="list" allowBlank="1" showErrorMessage="1" sqref="J245">
      <formula1>'6월'!$AB$245:$AI$245</formula1>
    </dataValidation>
    <dataValidation type="list" allowBlank="1" showErrorMessage="1" sqref="J359">
      <formula1>'6월'!$AB$359:$AI$359</formula1>
    </dataValidation>
    <dataValidation type="list" allowBlank="1" showErrorMessage="1" sqref="J473">
      <formula1>'6월'!$AB$473:$AI$473</formula1>
    </dataValidation>
    <dataValidation type="list" allowBlank="1" showErrorMessage="1" sqref="J74">
      <formula1>'6월'!$AB$74:$AI$74</formula1>
    </dataValidation>
    <dataValidation type="list" allowBlank="1" showErrorMessage="1" sqref="J250">
      <formula1>'6월'!$AB$250:$AI$250</formula1>
    </dataValidation>
    <dataValidation type="list" allowBlank="1" showErrorMessage="1" sqref="J151">
      <formula1>'6월'!$AB$151:$AI$151</formula1>
    </dataValidation>
    <dataValidation type="list" allowBlank="1" showErrorMessage="1" sqref="J156">
      <formula1>'6월'!$AB$156:$AI$156</formula1>
    </dataValidation>
    <dataValidation type="list" allowBlank="1" showErrorMessage="1" sqref="J370">
      <formula1>'6월'!$AB$370:$AI$370</formula1>
    </dataValidation>
    <dataValidation type="list" allowBlank="1" showErrorMessage="1" sqref="J478">
      <formula1>'6월'!$AB$478:$AI$478</formula1>
    </dataValidation>
    <dataValidation type="list" allowBlank="1" showErrorMessage="1" sqref="J303">
      <formula1>'6월'!$AB$303:$AI$303</formula1>
    </dataValidation>
    <dataValidation type="list" allowBlank="1" showErrorMessage="1" sqref="J204">
      <formula1>'6월'!$AB$204:$AI$204</formula1>
    </dataValidation>
    <dataValidation type="list" allowBlank="1" showErrorMessage="1" sqref="J280">
      <formula1>'6월'!$AB$280:$AI$280</formula1>
    </dataValidation>
    <dataValidation type="list" allowBlank="1" showErrorMessage="1" sqref="J162">
      <formula1>'6월'!$AB$162:$AI$162</formula1>
    </dataValidation>
    <dataValidation type="list" allowBlank="1" showErrorMessage="1" sqref="J214">
      <formula1>'6월'!$AB$214:$AI$214</formula1>
    </dataValidation>
    <dataValidation type="list" allowBlank="1" showErrorMessage="1" sqref="J90">
      <formula1>'6월'!$AB$90:$AI$90</formula1>
    </dataValidation>
    <dataValidation type="list" allowBlank="1" showErrorMessage="1" sqref="J251">
      <formula1>'6월'!$AB$251:$AI$251</formula1>
    </dataValidation>
    <dataValidation type="list" allowBlank="1" showErrorMessage="1" sqref="J389">
      <formula1>'6월'!$AB$389:$AI$389</formula1>
    </dataValidation>
    <dataValidation type="list" allowBlank="1" showErrorMessage="1" sqref="J115">
      <formula1>'6월'!$AB$115:$AI$115</formula1>
    </dataValidation>
    <dataValidation type="list" allowBlank="1" showErrorMessage="1" sqref="J304">
      <formula1>'6월'!$AB$304:$AI$304</formula1>
    </dataValidation>
    <dataValidation type="list" allowBlank="1" showErrorMessage="1" sqref="J152">
      <formula1>'6월'!$AB$152:$AI$152</formula1>
    </dataValidation>
    <dataValidation type="list" allowBlank="1" showErrorMessage="1" sqref="J488">
      <formula1>'6월'!$AB$488:$AI$488</formula1>
    </dataValidation>
    <dataValidation type="list" allowBlank="1" showErrorMessage="1" sqref="J75">
      <formula1>'6월'!$AB$75:$AI$75</formula1>
    </dataValidation>
    <dataValidation type="list" allowBlank="1" showErrorMessage="1" sqref="J422">
      <formula1>'6월'!$AB$422:$AI$422</formula1>
    </dataValidation>
    <dataValidation type="list" allowBlank="1" showErrorMessage="1" sqref="J205">
      <formula1>'6월'!$AB$205:$AI$205</formula1>
    </dataValidation>
    <dataValidation type="list" allowBlank="1" showErrorMessage="1" sqref="J291">
      <formula1>'6월'!$AB$291:$AI$291</formula1>
    </dataValidation>
    <dataValidation type="list" allowBlank="1" showErrorMessage="1" sqref="J479">
      <formula1>'6월'!$AB$479:$AI$479</formula1>
    </dataValidation>
    <dataValidation type="list" allowBlank="1" showErrorMessage="1" sqref="J333">
      <formula1>'6월'!$AB$333:$AI$333</formula1>
    </dataValidation>
    <dataValidation type="list" allowBlank="1" showErrorMessage="1" sqref="J125">
      <formula1>'6월'!$AB$125:$AI$125</formula1>
    </dataValidation>
    <dataValidation type="list" allowBlank="1" showErrorMessage="1" sqref="J399">
      <formula1>'6월'!$AB$399:$AI$399</formula1>
    </dataValidation>
    <dataValidation type="list" allowBlank="1" showErrorMessage="1" sqref="J76">
      <formula1>'6월'!$AB$76:$AI$76</formula1>
    </dataValidation>
    <dataValidation type="list" allowBlank="1" showErrorMessage="1" sqref="J432">
      <formula1>'6월'!$AB$432:$AI$432</formula1>
    </dataValidation>
    <dataValidation type="list" allowBlank="1" showErrorMessage="1" sqref="J343">
      <formula1>'6월'!$AB$343:$AI$343</formula1>
    </dataValidation>
    <dataValidation type="list" allowBlank="1" showErrorMessage="1" sqref="J281">
      <formula1>'6월'!$AB$281:$AI$281</formula1>
    </dataValidation>
    <dataValidation type="list" allowBlank="1" showErrorMessage="1" sqref="J191">
      <formula1>'6월'!$AB$191:$AI$191</formula1>
    </dataValidation>
    <dataValidation type="list" allowBlank="1" showErrorMessage="1" sqref="J423">
      <formula1>'6월'!$AB$423:$AI$423</formula1>
    </dataValidation>
    <dataValidation type="list" allowBlank="1" showErrorMessage="1" sqref="J215">
      <formula1>'6월'!$AB$215:$AI$215</formula1>
    </dataValidation>
    <dataValidation type="list" allowBlank="1" showErrorMessage="1" sqref="J489">
      <formula1>'6월'!$AB$489:$AI$489</formula1>
    </dataValidation>
    <dataValidation type="list" allowBlank="1" showErrorMessage="1" sqref="J380">
      <formula1>'6월'!$AB$380:$AI$380</formula1>
    </dataValidation>
    <dataValidation type="list" allowBlank="1" showErrorMessage="1" sqref="J290">
      <formula1>'6월'!$AB$290:$AI$290</formula1>
    </dataValidation>
    <dataValidation type="list" allowBlank="1" showErrorMessage="1" sqref="J116">
      <formula1>'6월'!$AB$116:$AI$116</formula1>
    </dataValidation>
    <dataValidation type="list" allowBlank="1" showErrorMessage="1" sqref="J112">
      <formula1>'6월'!$AB$112:$AI$112</formula1>
    </dataValidation>
    <dataValidation type="list" allowBlank="1" showErrorMessage="1" sqref="J292">
      <formula1>'6월'!$AB$292:$AI$292</formula1>
    </dataValidation>
    <dataValidation type="list" allowBlank="1" showErrorMessage="1" sqref="J386">
      <formula1>'6월'!$AB$386:$AI$386</formula1>
    </dataValidation>
    <dataValidation type="list" allowBlank="1" showErrorMessage="1" sqref="J348">
      <formula1>'6월'!$AB$348:$AI$348</formula1>
    </dataValidation>
    <dataValidation type="list" allowBlank="1" showErrorMessage="1" sqref="J150">
      <formula1>'6월'!$AB$150:$AI$150</formula1>
    </dataValidation>
    <dataValidation type="list" allowBlank="1" showErrorMessage="1" sqref="J330">
      <formula1>'6월'!$AB$330:$AI$330</formula1>
    </dataValidation>
    <dataValidation type="list" allowBlank="1" showErrorMessage="1" sqref="J71">
      <formula1>'6월'!$AB$71:$AI$71</formula1>
    </dataValidation>
    <dataValidation type="list" allowBlank="1" showErrorMessage="1" sqref="J216">
      <formula1>'6월'!$AB$216:$AI$216</formula1>
    </dataValidation>
    <dataValidation type="list" allowBlank="1" showErrorMessage="1" sqref="J259">
      <formula1>'6월'!$AB$259:$AI$259</formula1>
    </dataValidation>
    <dataValidation type="list" allowBlank="1" showErrorMessage="1" sqref="J381">
      <formula1>'6월'!$AB$381:$AI$381</formula1>
    </dataValidation>
    <dataValidation type="list" allowBlank="1" showErrorMessage="1" sqref="J434">
      <formula1>'6월'!$AB$434:$AI$434</formula1>
    </dataValidation>
    <dataValidation type="list" allowBlank="1" showErrorMessage="1" sqref="J254">
      <formula1>'6월'!$AB$254:$AI$254</formula1>
    </dataValidation>
    <dataValidation type="list" allowBlank="1" showErrorMessage="1" sqref="J219">
      <formula1>'6월'!$AB$219:$AI$219</formula1>
    </dataValidation>
    <dataValidation type="list" allowBlank="1" showErrorMessage="1" sqref="J127">
      <formula1>'6월'!$AB$127:$AI$127</formula1>
    </dataValidation>
    <dataValidation type="list" allowBlank="1" showErrorMessage="1" sqref="J241">
      <formula1>'6월'!$AB$241:$AI$241</formula1>
    </dataValidation>
    <dataValidation type="list" allowBlank="1" showErrorMessage="1" sqref="J477">
      <formula1>'6월'!$AB$477:$AI$477</formula1>
    </dataValidation>
    <dataValidation type="list" allowBlank="1" showErrorMessage="1" sqref="J203">
      <formula1>'6월'!$AB$203:$AI$203</formula1>
    </dataValidation>
    <dataValidation type="list" allowBlank="1" showErrorMessage="1" sqref="J383">
      <formula1>'6월'!$AB$383:$AI$383</formula1>
    </dataValidation>
    <dataValidation type="list" allowBlank="1" showErrorMessage="1" sqref="J421">
      <formula1>'6월'!$AB$421:$AI$421</formula1>
    </dataValidation>
    <dataValidation type="list" allowBlank="1" showErrorMessage="1" sqref="J472">
      <formula1>'6월'!$AB$472:$AI$472</formula1>
    </dataValidation>
    <dataValidation type="list" allowBlank="1" showErrorMessage="1" sqref="J308">
      <formula1>'6월'!$AB$308:$AI$308</formula1>
    </dataValidation>
    <dataValidation type="list" allowBlank="1" showErrorMessage="1" sqref="J297">
      <formula1>'6월'!$AB$297:$AI$297</formula1>
    </dataValidation>
    <dataValidation type="list" allowBlank="1" showErrorMessage="1" sqref="J345">
      <formula1>'6월'!$AB$345:$AI$345</formula1>
    </dataValidation>
    <dataValidation type="list" allowBlank="1" showErrorMessage="1" sqref="J165">
      <formula1>'6월'!$AB$165:$AI$165</formula1>
    </dataValidation>
    <dataValidation type="list" allowBlank="1" showErrorMessage="1" sqref="J256">
      <formula1>'6월'!$AB$256:$AI$256</formula1>
    </dataValidation>
    <dataValidation type="list" allowBlank="1" showErrorMessage="1" sqref="J128">
      <formula1>'6월'!$AB$128:$AI$128</formula1>
    </dataValidation>
    <dataValidation type="list" allowBlank="1" showErrorMessage="1" sqref="J110">
      <formula1>'6월'!$AB$110:$AI$110</formula1>
    </dataValidation>
    <dataValidation type="list" allowBlank="1" showErrorMessage="1" sqref="J294">
      <formula1>'6월'!$AB$294:$AI$294</formula1>
    </dataValidation>
    <dataValidation type="list" allowBlank="1" showErrorMessage="1" sqref="J384">
      <formula1>'6월'!$AB$384:$AI$384</formula1>
    </dataValidation>
    <dataValidation type="list" allowBlank="1" showErrorMessage="1" sqref="J166">
      <formula1>'6월'!$AB$166:$AI$166</formula1>
    </dataValidation>
    <dataValidation type="list" allowBlank="1" showErrorMessage="1" sqref="J346">
      <formula1>'6월'!$AB$346:$AI$346</formula1>
    </dataValidation>
    <dataValidation type="list" allowBlank="1" showErrorMessage="1" sqref="J436">
      <formula1>'6월'!$AB$436:$AI$436</formula1>
    </dataValidation>
    <dataValidation type="list" allowBlank="1" showErrorMessage="1" sqref="J200">
      <formula1>'6월'!$AB$200:$AI$200</formula1>
    </dataValidation>
    <dataValidation type="list" allowBlank="1" showErrorMessage="1" sqref="J474">
      <formula1>'6월'!$AB$474:$AI$474</formula1>
    </dataValidation>
    <dataValidation type="list" allowBlank="1" showErrorMessage="1" sqref="J72">
      <formula1>'6월'!$AB$72:$AI$72</formula1>
    </dataValidation>
    <dataValidation type="list" allowBlank="1" showErrorMessage="1" sqref="J439">
      <formula1>'6월'!$AB$439:$AI$439</formula1>
    </dataValidation>
    <dataValidation type="list" allowBlank="1" showErrorMessage="1" sqref="J129">
      <formula1>'6월'!$AB$129:$AI$129</formula1>
    </dataValidation>
    <dataValidation type="list" allowBlank="1" showErrorMessage="1" sqref="J167">
      <formula1>'6월'!$AB$167:$AI$167</formula1>
    </dataValidation>
    <dataValidation type="list" allowBlank="1" showErrorMessage="1" sqref="J257">
      <formula1>'6월'!$AB$257:$AI$257</formula1>
    </dataValidation>
    <dataValidation type="list" allowBlank="1" showErrorMessage="1" sqref="J347">
      <formula1>'6월'!$AB$347:$AI$347</formula1>
    </dataValidation>
    <dataValidation type="list" allowBlank="1" showErrorMessage="1" sqref="J437">
      <formula1>'6월'!$AB$437:$AI$437</formula1>
    </dataValidation>
    <dataValidation type="list" allowBlank="1" showErrorMessage="1" sqref="J438">
      <formula1>'6월'!$AB$438:$AI$438</formula1>
    </dataValidation>
    <dataValidation type="list" allowBlank="1" showErrorMessage="1" sqref="J168">
      <formula1>'6월'!$AB$168:$AI$168</formula1>
    </dataValidation>
    <dataValidation type="list" allowBlank="1" showErrorMessage="1" sqref="J475">
      <formula1>'6월'!$AB$475:$AI$475</formula1>
    </dataValidation>
    <dataValidation type="list" allowBlank="1" showErrorMessage="1" sqref="I62:I500">
      <formula1>'설정시트'!$C$7:$C$20</formula1>
    </dataValidation>
    <dataValidation type="list" allowBlank="1" showErrorMessage="1" sqref="J111">
      <formula1>'6월'!$AB$111:$AI$111</formula1>
    </dataValidation>
    <dataValidation type="list" allowBlank="1" showErrorMessage="1" sqref="J201">
      <formula1>'6월'!$AB$201:$AI$201</formula1>
    </dataValidation>
    <dataValidation type="list" allowBlank="1" showErrorMessage="1" sqref="J70">
      <formula1>'6월'!$AB$70:$AI$70</formula1>
    </dataValidation>
    <dataValidation type="list" allowBlank="1" showErrorMessage="1" sqref="J295">
      <formula1>'6월'!$AB$295:$AI$295</formula1>
    </dataValidation>
    <dataValidation type="list" allowBlank="1" showErrorMessage="1" sqref="J385">
      <formula1>'6월'!$AB$385:$AI$385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7.0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45837</v>
      </c>
      <c r="S9" s="117">
        <f t="shared" ref="S9:X9" si="1">R9 + 1</f>
        <v>45838</v>
      </c>
      <c r="T9" s="118">
        <f t="shared" si="1"/>
        <v>45839</v>
      </c>
      <c r="U9" s="118">
        <f t="shared" si="1"/>
        <v>45840</v>
      </c>
      <c r="V9" s="118">
        <f t="shared" si="1"/>
        <v>45841</v>
      </c>
      <c r="W9" s="118">
        <f t="shared" si="1"/>
        <v>45842</v>
      </c>
      <c r="X9" s="119">
        <f t="shared" si="1"/>
        <v>45843</v>
      </c>
      <c r="Y9" s="120"/>
      <c r="AB9" s="121" t="str">
        <f>$H$25</f>
        <v>🍪고정비</v>
      </c>
      <c r="AC9" s="122">
        <f>$K$31</f>
        <v>0</v>
      </c>
      <c r="AD9" s="123">
        <f t="shared" ref="AD9:AD20" si="4">_xlfn.RANK.EQ(AC9,$AB$9:$AC$20,0) + ROW(AB1)/10000</f>
        <v>12.0001</v>
      </c>
      <c r="AE9" s="123">
        <f t="shared" ref="AE9:AE20" si="5">SMALL($AD$9:$AD$20, ROW(AB1))</f>
        <v>1.0009</v>
      </c>
      <c r="AF9" s="123" t="str">
        <f t="shared" ref="AF9:AF20" si="6">INDEX($AB$9:$AB$20,MATCH(AE9,$AD$9:$AD$20,0))</f>
        <v>🍪기타</v>
      </c>
      <c r="AG9" s="122">
        <f t="shared" ref="AG9:AG20" si="7">INDEX($AC$9:$AC$20,MATCH(AE9,$AD$9:$AD$20,0))</f>
        <v>1090500</v>
      </c>
    </row>
    <row r="10">
      <c r="E10" s="114" t="s">
        <v>55</v>
      </c>
      <c r="F10" s="115">
        <f t="shared" si="2"/>
        <v>0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431700</v>
      </c>
      <c r="U10" s="126">
        <f t="shared" si="3"/>
        <v>36000</v>
      </c>
      <c r="V10" s="126">
        <f t="shared" si="3"/>
        <v>164600</v>
      </c>
      <c r="W10" s="126">
        <f t="shared" si="3"/>
        <v>60910</v>
      </c>
      <c r="X10" s="126">
        <f t="shared" si="3"/>
        <v>633780</v>
      </c>
      <c r="Y10" s="126">
        <f>SUM(R10:X10)</f>
        <v>1326990</v>
      </c>
      <c r="AB10" s="121" t="str">
        <f>$H$33</f>
        <v>🐻고정비</v>
      </c>
      <c r="AC10" s="122">
        <f>$K$39</f>
        <v>384300</v>
      </c>
      <c r="AD10" s="123">
        <f t="shared" si="4"/>
        <v>4.0002</v>
      </c>
      <c r="AE10" s="123">
        <f t="shared" si="5"/>
        <v>2.001</v>
      </c>
      <c r="AF10" s="123" t="str">
        <f t="shared" si="6"/>
        <v>🐻기타</v>
      </c>
      <c r="AG10" s="122">
        <f t="shared" si="7"/>
        <v>539200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45844</v>
      </c>
      <c r="S11" s="128">
        <f t="shared" si="8"/>
        <v>45845</v>
      </c>
      <c r="T11" s="117">
        <f t="shared" si="8"/>
        <v>45846</v>
      </c>
      <c r="U11" s="117">
        <f t="shared" si="8"/>
        <v>45847</v>
      </c>
      <c r="V11" s="118">
        <f t="shared" si="8"/>
        <v>45848</v>
      </c>
      <c r="W11" s="129">
        <f t="shared" si="8"/>
        <v>45849</v>
      </c>
      <c r="X11" s="130">
        <f t="shared" si="8"/>
        <v>45850</v>
      </c>
      <c r="Y11" s="131"/>
      <c r="AB11" s="121" t="str">
        <f>$H$41</f>
        <v>🍪생필품</v>
      </c>
      <c r="AC11" s="122">
        <f>$K$47</f>
        <v>108180</v>
      </c>
      <c r="AD11" s="123">
        <f t="shared" si="4"/>
        <v>9.0003</v>
      </c>
      <c r="AE11" s="123">
        <f t="shared" si="5"/>
        <v>3.0012</v>
      </c>
      <c r="AF11" s="123" t="str">
        <f t="shared" si="6"/>
        <v>🐻 이벤트성</v>
      </c>
      <c r="AG11" s="122">
        <f t="shared" si="7"/>
        <v>475510</v>
      </c>
    </row>
    <row r="12">
      <c r="C12" s="132" t="s">
        <v>136</v>
      </c>
      <c r="D12" s="133">
        <f>F33</f>
        <v>4699920</v>
      </c>
      <c r="E12" s="114" t="s">
        <v>57</v>
      </c>
      <c r="F12" s="115">
        <f t="shared" si="2"/>
        <v>0</v>
      </c>
      <c r="R12" s="134">
        <f t="shared" ref="R12:X12" si="9">SUMIFS($K$62:$K$500,$H$62:$H$500,R11,$I$62:$I$500,"&lt;&gt;수입",$I$62:$I$500,"&lt;&gt;저축")</f>
        <v>88500</v>
      </c>
      <c r="S12" s="135">
        <f t="shared" si="9"/>
        <v>88530</v>
      </c>
      <c r="T12" s="136">
        <f t="shared" si="9"/>
        <v>112800</v>
      </c>
      <c r="U12" s="136">
        <f t="shared" si="9"/>
        <v>12900</v>
      </c>
      <c r="V12" s="134">
        <f t="shared" si="9"/>
        <v>91200</v>
      </c>
      <c r="W12" s="137">
        <f t="shared" si="9"/>
        <v>5200</v>
      </c>
      <c r="X12" s="137">
        <f t="shared" si="9"/>
        <v>0</v>
      </c>
      <c r="Y12" s="137">
        <f>SUM(R12:X12)</f>
        <v>399130</v>
      </c>
      <c r="AB12" s="121" t="str">
        <f>$H$49</f>
        <v>🐻생필품</v>
      </c>
      <c r="AC12" s="122">
        <f>$K$55</f>
        <v>15000</v>
      </c>
      <c r="AD12" s="123">
        <f t="shared" si="4"/>
        <v>10.0004</v>
      </c>
      <c r="AE12" s="123">
        <f t="shared" si="5"/>
        <v>4.0002</v>
      </c>
      <c r="AF12" s="123" t="str">
        <f t="shared" si="6"/>
        <v>🐻고정비</v>
      </c>
      <c r="AG12" s="122">
        <f t="shared" si="7"/>
        <v>384300</v>
      </c>
    </row>
    <row r="13">
      <c r="C13" s="46"/>
      <c r="D13" s="138"/>
      <c r="E13" s="114" t="s">
        <v>58</v>
      </c>
      <c r="F13" s="115">
        <f t="shared" si="2"/>
        <v>968900</v>
      </c>
      <c r="I13" s="94"/>
      <c r="J13" s="94"/>
      <c r="R13" s="127">
        <f t="shared" ref="R13:X13" si="10">R11+7</f>
        <v>45851</v>
      </c>
      <c r="S13" s="128">
        <f t="shared" si="10"/>
        <v>45852</v>
      </c>
      <c r="T13" s="117">
        <f t="shared" si="10"/>
        <v>45853</v>
      </c>
      <c r="U13" s="117">
        <f t="shared" si="10"/>
        <v>45854</v>
      </c>
      <c r="V13" s="118">
        <f t="shared" si="10"/>
        <v>45855</v>
      </c>
      <c r="W13" s="129">
        <f t="shared" si="10"/>
        <v>45856</v>
      </c>
      <c r="X13" s="130">
        <f t="shared" si="10"/>
        <v>45857</v>
      </c>
      <c r="Y13" s="131"/>
      <c r="AB13" s="121" t="str">
        <f>$M$25</f>
        <v>🍪식비</v>
      </c>
      <c r="AC13" s="122">
        <f>$P$31</f>
        <v>166080</v>
      </c>
      <c r="AD13" s="123">
        <f t="shared" si="4"/>
        <v>7.0005</v>
      </c>
      <c r="AE13" s="123">
        <f t="shared" si="5"/>
        <v>5.0006</v>
      </c>
      <c r="AF13" s="123" t="str">
        <f t="shared" si="6"/>
        <v>🐻식비</v>
      </c>
      <c r="AG13" s="122">
        <f t="shared" si="7"/>
        <v>282660</v>
      </c>
    </row>
    <row r="14">
      <c r="C14" s="132" t="s">
        <v>137</v>
      </c>
      <c r="D14" s="133">
        <f>SUM($K$31+$K$39+$K$47+$K$55+$P$31+$P$39+$P$47+$P$55+X31+X39+X47+X55)</f>
        <v>3474320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0</v>
      </c>
      <c r="S14" s="135">
        <f t="shared" si="11"/>
        <v>28600</v>
      </c>
      <c r="T14" s="136">
        <f t="shared" si="11"/>
        <v>22910</v>
      </c>
      <c r="U14" s="136">
        <f t="shared" si="11"/>
        <v>288500</v>
      </c>
      <c r="V14" s="134">
        <f t="shared" si="11"/>
        <v>41000</v>
      </c>
      <c r="W14" s="137">
        <f t="shared" si="11"/>
        <v>23000</v>
      </c>
      <c r="X14" s="137">
        <f t="shared" si="11"/>
        <v>6000</v>
      </c>
      <c r="Y14" s="137">
        <f>SUM(R14:X14)</f>
        <v>410010</v>
      </c>
      <c r="AB14" s="121" t="str">
        <f>$M$33</f>
        <v>🐻식비</v>
      </c>
      <c r="AC14" s="122">
        <f>$P$39</f>
        <v>282660</v>
      </c>
      <c r="AD14" s="123">
        <f t="shared" si="4"/>
        <v>5.0006</v>
      </c>
      <c r="AE14" s="123">
        <f t="shared" si="5"/>
        <v>6.0011</v>
      </c>
      <c r="AF14" s="123" t="str">
        <f t="shared" si="6"/>
        <v>🍪이벤트성</v>
      </c>
      <c r="AG14" s="122">
        <f t="shared" si="7"/>
        <v>269000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45858</v>
      </c>
      <c r="S15" s="128">
        <f t="shared" si="12"/>
        <v>45859</v>
      </c>
      <c r="T15" s="117">
        <f t="shared" si="12"/>
        <v>45860</v>
      </c>
      <c r="U15" s="117">
        <f t="shared" si="12"/>
        <v>45861</v>
      </c>
      <c r="V15" s="118">
        <f t="shared" si="12"/>
        <v>45862</v>
      </c>
      <c r="W15" s="129">
        <f t="shared" si="12"/>
        <v>45863</v>
      </c>
      <c r="X15" s="130">
        <f t="shared" si="12"/>
        <v>45864</v>
      </c>
      <c r="Y15" s="131"/>
      <c r="AB15" s="121" t="str">
        <f>$M$41</f>
        <v>🍪여가비</v>
      </c>
      <c r="AC15" s="122">
        <f>$P$47</f>
        <v>13600</v>
      </c>
      <c r="AD15" s="123">
        <f t="shared" si="4"/>
        <v>11.0007</v>
      </c>
      <c r="AE15" s="123">
        <f t="shared" si="5"/>
        <v>7.0005</v>
      </c>
      <c r="AF15" s="123" t="str">
        <f t="shared" si="6"/>
        <v>🍪식비</v>
      </c>
      <c r="AG15" s="122">
        <f t="shared" si="7"/>
        <v>166080</v>
      </c>
    </row>
    <row r="16">
      <c r="C16" s="132" t="s">
        <v>138</v>
      </c>
      <c r="D16" s="133">
        <f>F43</f>
        <v>100000</v>
      </c>
      <c r="E16" s="114" t="s">
        <v>61</v>
      </c>
      <c r="F16" s="115">
        <f t="shared" si="2"/>
        <v>410100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23000</v>
      </c>
      <c r="S16" s="135">
        <f t="shared" si="13"/>
        <v>44240</v>
      </c>
      <c r="T16" s="136">
        <f t="shared" si="13"/>
        <v>10000</v>
      </c>
      <c r="U16" s="136">
        <f t="shared" si="13"/>
        <v>401200</v>
      </c>
      <c r="V16" s="134">
        <f t="shared" si="13"/>
        <v>100000</v>
      </c>
      <c r="W16" s="137">
        <f t="shared" si="13"/>
        <v>340160</v>
      </c>
      <c r="X16" s="137">
        <f t="shared" si="13"/>
        <v>4000</v>
      </c>
      <c r="Y16" s="137">
        <f>SUM(R16:X16)</f>
        <v>922600</v>
      </c>
      <c r="AB16" s="121" t="str">
        <f>$M$49</f>
        <v>🐻여가비</v>
      </c>
      <c r="AC16" s="122">
        <f>$P$55</f>
        <v>130290</v>
      </c>
      <c r="AD16" s="123">
        <f t="shared" si="4"/>
        <v>8.0008</v>
      </c>
      <c r="AE16" s="123">
        <f t="shared" si="5"/>
        <v>8.0008</v>
      </c>
      <c r="AF16" s="123" t="str">
        <f t="shared" si="6"/>
        <v>🐻여가비</v>
      </c>
      <c r="AG16" s="122">
        <f t="shared" si="7"/>
        <v>130290</v>
      </c>
    </row>
    <row r="17">
      <c r="C17" s="46"/>
      <c r="D17" s="138"/>
      <c r="E17" s="114" t="s">
        <v>62</v>
      </c>
      <c r="F17" s="115">
        <f t="shared" si="2"/>
        <v>133010</v>
      </c>
      <c r="H17" s="142"/>
      <c r="I17" s="143"/>
      <c r="J17" s="144"/>
      <c r="K17" s="145"/>
      <c r="R17" s="127">
        <f t="shared" ref="R17:X17" si="14">R15+7</f>
        <v>45865</v>
      </c>
      <c r="S17" s="128">
        <f t="shared" si="14"/>
        <v>45866</v>
      </c>
      <c r="T17" s="117">
        <f t="shared" si="14"/>
        <v>45867</v>
      </c>
      <c r="U17" s="117">
        <f t="shared" si="14"/>
        <v>45868</v>
      </c>
      <c r="V17" s="118">
        <f t="shared" si="14"/>
        <v>45869</v>
      </c>
      <c r="W17" s="129">
        <f t="shared" si="14"/>
        <v>45870</v>
      </c>
      <c r="X17" s="130">
        <f t="shared" si="14"/>
        <v>45871</v>
      </c>
      <c r="Y17" s="131"/>
      <c r="AB17" s="121" t="str">
        <f>$R$25</f>
        <v>🍪기타</v>
      </c>
      <c r="AC17" s="122">
        <f>$X$31</f>
        <v>1090500</v>
      </c>
      <c r="AD17" s="123">
        <f t="shared" si="4"/>
        <v>1.0009</v>
      </c>
      <c r="AE17" s="123">
        <f t="shared" si="5"/>
        <v>9.0003</v>
      </c>
      <c r="AF17" s="123" t="str">
        <f t="shared" si="6"/>
        <v>🍪생필품</v>
      </c>
      <c r="AG17" s="122">
        <f t="shared" si="7"/>
        <v>108180</v>
      </c>
    </row>
    <row r="18">
      <c r="C18" s="146" t="s">
        <v>140</v>
      </c>
      <c r="D18" s="147">
        <f>D12-D14-D16</f>
        <v>1125600</v>
      </c>
      <c r="E18" s="114" t="s">
        <v>63</v>
      </c>
      <c r="F18" s="115">
        <f t="shared" si="2"/>
        <v>132200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0</v>
      </c>
      <c r="S18" s="148">
        <f t="shared" si="15"/>
        <v>270200</v>
      </c>
      <c r="T18" s="149">
        <f t="shared" si="15"/>
        <v>15000</v>
      </c>
      <c r="U18" s="149">
        <f t="shared" si="15"/>
        <v>124500</v>
      </c>
      <c r="V18" s="126">
        <f t="shared" si="15"/>
        <v>15890</v>
      </c>
      <c r="W18" s="150">
        <f t="shared" si="15"/>
        <v>0</v>
      </c>
      <c r="X18" s="150">
        <f t="shared" si="15"/>
        <v>0</v>
      </c>
      <c r="Y18" s="150">
        <f>SUM(R18:X18)</f>
        <v>425590</v>
      </c>
      <c r="AB18" s="121" t="str">
        <f>$R$33</f>
        <v>🐻기타</v>
      </c>
      <c r="AC18" s="122">
        <f>$X$39</f>
        <v>539200</v>
      </c>
      <c r="AD18" s="123">
        <f t="shared" si="4"/>
        <v>2.001</v>
      </c>
      <c r="AE18" s="123">
        <f t="shared" si="5"/>
        <v>10.0004</v>
      </c>
      <c r="AF18" s="123" t="str">
        <f t="shared" si="6"/>
        <v>🐻생필품</v>
      </c>
      <c r="AG18" s="122">
        <f t="shared" si="7"/>
        <v>15000</v>
      </c>
    </row>
    <row r="19">
      <c r="C19" s="151" t="s">
        <v>141</v>
      </c>
      <c r="D19" s="152">
        <f>(D16+D18)/D12</f>
        <v>0.2607703961</v>
      </c>
      <c r="E19" s="114" t="s">
        <v>64</v>
      </c>
      <c r="F19" s="115">
        <f t="shared" si="2"/>
        <v>1840110</v>
      </c>
      <c r="H19" s="142"/>
      <c r="I19" s="143"/>
      <c r="J19" s="144"/>
      <c r="K19" s="145"/>
      <c r="R19" s="153">
        <f t="shared" ref="R19:X19" si="16">R17+7</f>
        <v>45872</v>
      </c>
      <c r="S19" s="154">
        <f t="shared" si="16"/>
        <v>45873</v>
      </c>
      <c r="T19" s="155">
        <f t="shared" si="16"/>
        <v>45874</v>
      </c>
      <c r="U19" s="155">
        <f t="shared" si="16"/>
        <v>45875</v>
      </c>
      <c r="V19" s="156">
        <f t="shared" si="16"/>
        <v>45876</v>
      </c>
      <c r="W19" s="157">
        <f t="shared" si="16"/>
        <v>45877</v>
      </c>
      <c r="X19" s="158">
        <f t="shared" si="16"/>
        <v>45878</v>
      </c>
      <c r="Y19" s="159"/>
      <c r="AB19" s="121" t="str">
        <f>$R$41</f>
        <v>🍪이벤트성</v>
      </c>
      <c r="AC19" s="122">
        <f>$X$47</f>
        <v>269000</v>
      </c>
      <c r="AD19" s="123">
        <f t="shared" si="4"/>
        <v>6.0011</v>
      </c>
      <c r="AE19" s="123">
        <f t="shared" si="5"/>
        <v>11.0007</v>
      </c>
      <c r="AF19" s="123" t="str">
        <f t="shared" si="6"/>
        <v>🍪여가비</v>
      </c>
      <c r="AG19" s="122">
        <f t="shared" si="7"/>
        <v>13600</v>
      </c>
    </row>
    <row r="20">
      <c r="C20" s="160" t="s">
        <v>142</v>
      </c>
      <c r="D20" s="161">
        <f>D18/D12</f>
        <v>0.2394934382</v>
      </c>
      <c r="E20" s="162" t="s">
        <v>65</v>
      </c>
      <c r="F20" s="163">
        <f>SUM($F$9:$F$19)</f>
        <v>3484320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475510</v>
      </c>
      <c r="AD20" s="123">
        <f t="shared" si="4"/>
        <v>3.0012</v>
      </c>
      <c r="AE20" s="123">
        <f t="shared" si="5"/>
        <v>12.0001</v>
      </c>
      <c r="AF20" s="123" t="str">
        <f t="shared" si="6"/>
        <v>🍪고정비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24600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0</v>
      </c>
      <c r="M26" s="45"/>
      <c r="N26" s="41" t="s">
        <v>28</v>
      </c>
      <c r="O26" s="179"/>
      <c r="P26" s="115">
        <f t="shared" si="20"/>
        <v>135400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965900</v>
      </c>
      <c r="Y26" s="145"/>
    </row>
    <row r="27">
      <c r="C27" s="45"/>
      <c r="D27" s="41" t="s">
        <v>6</v>
      </c>
      <c r="E27" s="179"/>
      <c r="F27" s="115">
        <f t="shared" si="18"/>
        <v>4399920</v>
      </c>
      <c r="H27" s="45"/>
      <c r="I27" s="41" t="s">
        <v>17</v>
      </c>
      <c r="J27" s="179"/>
      <c r="K27" s="115">
        <f t="shared" si="19"/>
        <v>0</v>
      </c>
      <c r="M27" s="45"/>
      <c r="N27" s="41" t="s">
        <v>29</v>
      </c>
      <c r="O27" s="179"/>
      <c r="P27" s="115">
        <f t="shared" si="20"/>
        <v>30680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0</v>
      </c>
      <c r="M28" s="45"/>
      <c r="N28" s="41" t="s">
        <v>30</v>
      </c>
      <c r="O28" s="179"/>
      <c r="P28" s="115">
        <f t="shared" si="20"/>
        <v>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100000</v>
      </c>
      <c r="Y28" s="145"/>
    </row>
    <row r="29">
      <c r="C29" s="45"/>
      <c r="D29" s="41" t="s">
        <v>8</v>
      </c>
      <c r="E29" s="179"/>
      <c r="F29" s="115">
        <f t="shared" si="18"/>
        <v>300000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0</v>
      </c>
      <c r="M31" s="187" t="str">
        <f>IF(M25=0,"","총"&amp;M25)</f>
        <v>총🍪식비</v>
      </c>
      <c r="N31" s="188"/>
      <c r="O31" s="175"/>
      <c r="P31" s="189">
        <f>SUM(P25:P30)</f>
        <v>166080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1090500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0</v>
      </c>
      <c r="M32" s="184"/>
      <c r="N32" s="191"/>
      <c r="O32" s="185"/>
      <c r="P32" s="193">
        <f>P31-O25</f>
        <v>166080</v>
      </c>
      <c r="R32" s="184"/>
      <c r="S32" s="191"/>
      <c r="T32" s="191"/>
      <c r="U32" s="191"/>
      <c r="V32" s="191"/>
      <c r="W32" s="185"/>
      <c r="X32" s="194">
        <f>X31-V25</f>
        <v>1090500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4699920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266290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7210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0</v>
      </c>
      <c r="Y33" s="145"/>
    </row>
    <row r="34">
      <c r="C34" s="184"/>
      <c r="D34" s="191"/>
      <c r="E34" s="185"/>
      <c r="F34" s="195">
        <f>F33-E25</f>
        <v>4699920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431200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0</v>
      </c>
      <c r="M35" s="45"/>
      <c r="N35" s="41" t="s">
        <v>29</v>
      </c>
      <c r="O35" s="179"/>
      <c r="P35" s="115">
        <f t="shared" si="23"/>
        <v>58750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88010</v>
      </c>
      <c r="M36" s="45"/>
      <c r="N36" s="41" t="s">
        <v>30</v>
      </c>
      <c r="O36" s="179"/>
      <c r="P36" s="115">
        <f t="shared" si="23"/>
        <v>192900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10000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30000</v>
      </c>
      <c r="M37" s="45"/>
      <c r="N37" s="41" t="s">
        <v>8</v>
      </c>
      <c r="O37" s="179"/>
      <c r="P37" s="115">
        <f t="shared" si="23"/>
        <v>23800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98000</v>
      </c>
      <c r="Y37" s="145"/>
    </row>
    <row r="38">
      <c r="C38" s="45"/>
      <c r="D38" s="41" t="s">
        <v>13</v>
      </c>
      <c r="E38" s="179"/>
      <c r="F38" s="115">
        <f t="shared" si="25"/>
        <v>100000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384300</v>
      </c>
      <c r="M39" s="187" t="str">
        <f>IF(M33=0,"","총"&amp;M33)</f>
        <v>총🐻식비</v>
      </c>
      <c r="N39" s="188"/>
      <c r="O39" s="175"/>
      <c r="P39" s="189">
        <f>SUM(P33:P38)</f>
        <v>282660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539200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384300</v>
      </c>
      <c r="M40" s="184"/>
      <c r="N40" s="191"/>
      <c r="O40" s="185"/>
      <c r="P40" s="193">
        <f>P39-O33</f>
        <v>282660</v>
      </c>
      <c r="R40" s="184"/>
      <c r="S40" s="191"/>
      <c r="T40" s="191"/>
      <c r="U40" s="191"/>
      <c r="V40" s="191"/>
      <c r="W40" s="185"/>
      <c r="X40" s="194">
        <f>X39-V33</f>
        <v>539200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49280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58900</v>
      </c>
      <c r="M42" s="45"/>
      <c r="N42" s="41" t="s">
        <v>34</v>
      </c>
      <c r="O42" s="179"/>
      <c r="P42" s="115">
        <f t="shared" si="27"/>
        <v>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100000</v>
      </c>
      <c r="H43" s="45"/>
      <c r="I43" s="41" t="s">
        <v>8</v>
      </c>
      <c r="J43" s="179"/>
      <c r="K43" s="115">
        <f t="shared" si="26"/>
        <v>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100000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13600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269000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108180</v>
      </c>
      <c r="M47" s="187" t="str">
        <f>IF(M41=0,"","총"&amp;M41)</f>
        <v>총🍪여가비</v>
      </c>
      <c r="N47" s="188"/>
      <c r="O47" s="175"/>
      <c r="P47" s="189">
        <f>SUM(P41:P46)</f>
        <v>13600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269000</v>
      </c>
      <c r="Y47" s="145"/>
    </row>
    <row r="48">
      <c r="H48" s="184"/>
      <c r="I48" s="191"/>
      <c r="J48" s="185"/>
      <c r="K48" s="193">
        <f>K47-J41</f>
        <v>108180</v>
      </c>
      <c r="M48" s="184"/>
      <c r="N48" s="191"/>
      <c r="O48" s="185"/>
      <c r="P48" s="193">
        <f>P47-O41</f>
        <v>13600</v>
      </c>
      <c r="R48" s="184"/>
      <c r="S48" s="191"/>
      <c r="T48" s="191"/>
      <c r="U48" s="191"/>
      <c r="V48" s="191"/>
      <c r="W48" s="185"/>
      <c r="X48" s="194">
        <f>X47-V41</f>
        <v>269000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5000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0</v>
      </c>
      <c r="Y49" s="145"/>
    </row>
    <row r="50">
      <c r="H50" s="45"/>
      <c r="I50" s="41" t="s">
        <v>24</v>
      </c>
      <c r="J50" s="179"/>
      <c r="K50" s="115">
        <f t="shared" si="29"/>
        <v>0</v>
      </c>
      <c r="M50" s="45"/>
      <c r="N50" s="41" t="s">
        <v>34</v>
      </c>
      <c r="O50" s="179"/>
      <c r="P50" s="115">
        <f t="shared" si="30"/>
        <v>7890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29600</v>
      </c>
      <c r="Y50" s="145"/>
    </row>
    <row r="51">
      <c r="H51" s="45"/>
      <c r="I51" s="41" t="s">
        <v>8</v>
      </c>
      <c r="J51" s="179"/>
      <c r="K51" s="115">
        <f t="shared" si="29"/>
        <v>15000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117400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445910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15000</v>
      </c>
      <c r="M55" s="187" t="str">
        <f>IF(M49=0,"","총"&amp;M49)</f>
        <v>총🐻여가비</v>
      </c>
      <c r="N55" s="188"/>
      <c r="O55" s="175"/>
      <c r="P55" s="189">
        <f>SUM(P49:P54)</f>
        <v>130290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475510</v>
      </c>
      <c r="Y55" s="145"/>
    </row>
    <row r="56">
      <c r="H56" s="196"/>
      <c r="I56" s="197"/>
      <c r="J56" s="198"/>
      <c r="K56" s="200">
        <f>K55-J49</f>
        <v>15000</v>
      </c>
      <c r="M56" s="196"/>
      <c r="N56" s="197"/>
      <c r="O56" s="198"/>
      <c r="P56" s="200">
        <f>P55-O49</f>
        <v>130290</v>
      </c>
      <c r="R56" s="196"/>
      <c r="S56" s="197"/>
      <c r="T56" s="197"/>
      <c r="U56" s="197"/>
      <c r="V56" s="197"/>
      <c r="W56" s="198"/>
      <c r="X56" s="201">
        <f>X55-V49</f>
        <v>475510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-3474320</v>
      </c>
      <c r="Y61" s="8"/>
    </row>
    <row r="62">
      <c r="H62" s="208">
        <v>45839.0</v>
      </c>
      <c r="I62" s="209" t="s">
        <v>31</v>
      </c>
      <c r="J62" s="209" t="s">
        <v>29</v>
      </c>
      <c r="K62" s="210">
        <v>1200.0</v>
      </c>
      <c r="L62" s="211" t="s">
        <v>64</v>
      </c>
      <c r="M62" s="143"/>
      <c r="N62" s="211" t="s">
        <v>616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IFERROR(__xludf.DUMMYFUNCTION("FILTER('설정시트'!$D$7:$L$20,'설정시트'!$C$7:$C$20=I62)"),"식재료비")</f>
        <v>식재료비</v>
      </c>
      <c r="AC62" s="214" t="str">
        <f>IFERROR(__xludf.DUMMYFUNCTION("""COMPUTED_VALUE"""),"회사점심")</f>
        <v>회사점심</v>
      </c>
      <c r="AD62" s="214" t="str">
        <f>IFERROR(__xludf.DUMMYFUNCTION("""COMPUTED_VALUE"""),"간식/카페")</f>
        <v>간식/카페</v>
      </c>
      <c r="AE62" s="214" t="str">
        <f>IFERROR(__xludf.DUMMYFUNCTION("""COMPUTED_VALUE"""),"외식/배달")</f>
        <v>외식/배달</v>
      </c>
      <c r="AF62" s="214" t="str">
        <f>IFERROR(__xludf.DUMMYFUNCTION("""COMPUTED_VALUE"""),"기타")</f>
        <v>기타</v>
      </c>
      <c r="AG62" s="214"/>
      <c r="AH62" s="214"/>
      <c r="AI62" s="214"/>
      <c r="AJ62" s="215"/>
    </row>
    <row r="63">
      <c r="H63" s="208">
        <v>45839.0</v>
      </c>
      <c r="I63" s="209" t="s">
        <v>21</v>
      </c>
      <c r="J63" s="209" t="s">
        <v>20</v>
      </c>
      <c r="K63" s="210">
        <v>10000.0</v>
      </c>
      <c r="L63" s="211" t="s">
        <v>62</v>
      </c>
      <c r="M63" s="143"/>
      <c r="N63" s="211" t="s">
        <v>419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IFERROR(__xludf.DUMMYFUNCTION("FILTER('설정시트'!$D$7:$L$20,'설정시트'!$C$7:$C$20=I63)"),"관리비")</f>
        <v>관리비</v>
      </c>
      <c r="AC63" s="214" t="str">
        <f>IFERROR(__xludf.DUMMYFUNCTION("""COMPUTED_VALUE"""),"대출이자")</f>
        <v>대출이자</v>
      </c>
      <c r="AD63" s="214" t="str">
        <f>IFERROR(__xludf.DUMMYFUNCTION("""COMPUTED_VALUE"""),"통신비")</f>
        <v>통신비</v>
      </c>
      <c r="AE63" s="214" t="str">
        <f>IFERROR(__xludf.DUMMYFUNCTION("""COMPUTED_VALUE"""),"보험료")</f>
        <v>보험료</v>
      </c>
      <c r="AF63" s="214" t="str">
        <f>IFERROR(__xludf.DUMMYFUNCTION("""COMPUTED_VALUE"""),"곗돈")</f>
        <v>곗돈</v>
      </c>
      <c r="AG63" s="214"/>
      <c r="AH63" s="214"/>
      <c r="AI63" s="214"/>
      <c r="AJ63" s="215"/>
    </row>
    <row r="64">
      <c r="H64" s="208">
        <v>45839.0</v>
      </c>
      <c r="I64" s="209" t="s">
        <v>26</v>
      </c>
      <c r="J64" s="209" t="s">
        <v>28</v>
      </c>
      <c r="K64" s="210">
        <v>13000.0</v>
      </c>
      <c r="L64" s="211" t="s">
        <v>64</v>
      </c>
      <c r="M64" s="143"/>
      <c r="N64" s="211" t="s">
        <v>703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IFERROR(__xludf.DUMMYFUNCTION("FILTER('설정시트'!$D$7:$L$20,'설정시트'!$C$7:$C$20=I64)"),"식재료비")</f>
        <v>식재료비</v>
      </c>
      <c r="AC64" s="214" t="str">
        <f>IFERROR(__xludf.DUMMYFUNCTION("""COMPUTED_VALUE"""),"회사점심")</f>
        <v>회사점심</v>
      </c>
      <c r="AD64" s="214" t="str">
        <f>IFERROR(__xludf.DUMMYFUNCTION("""COMPUTED_VALUE"""),"간식/카페")</f>
        <v>간식/카페</v>
      </c>
      <c r="AE64" s="214" t="str">
        <f>IFERROR(__xludf.DUMMYFUNCTION("""COMPUTED_VALUE"""),"외식/배달")</f>
        <v>외식/배달</v>
      </c>
      <c r="AF64" s="214" t="str">
        <f>IFERROR(__xludf.DUMMYFUNCTION("""COMPUTED_VALUE"""),"기타")</f>
        <v>기타</v>
      </c>
      <c r="AG64" s="214"/>
      <c r="AH64" s="214"/>
      <c r="AI64" s="214"/>
      <c r="AJ64" s="215"/>
    </row>
    <row r="65">
      <c r="H65" s="208">
        <v>45839.0</v>
      </c>
      <c r="I65" s="209" t="s">
        <v>45</v>
      </c>
      <c r="J65" s="209" t="s">
        <v>41</v>
      </c>
      <c r="K65" s="210">
        <v>257800.0</v>
      </c>
      <c r="L65" s="211" t="s">
        <v>64</v>
      </c>
      <c r="M65" s="143"/>
      <c r="N65" s="211" t="s">
        <v>704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IFERROR(__xludf.DUMMYFUNCTION("FILTER('설정시트'!$D$7:$L$20,'설정시트'!$C$7:$C$20=I65)"),"약국")</f>
        <v>약국</v>
      </c>
      <c r="AC65" s="214" t="str">
        <f>IFERROR(__xludf.DUMMYFUNCTION("""COMPUTED_VALUE"""),"병원비")</f>
        <v>병원비</v>
      </c>
      <c r="AD65" s="214" t="str">
        <f>IFERROR(__xludf.DUMMYFUNCTION("""COMPUTED_VALUE"""),"영양제")</f>
        <v>영양제</v>
      </c>
      <c r="AE65" s="214" t="str">
        <f>IFERROR(__xludf.DUMMYFUNCTION("""COMPUTED_VALUE"""),"교통비")</f>
        <v>교통비</v>
      </c>
      <c r="AF65" s="214" t="str">
        <f>IFERROR(__xludf.DUMMYFUNCTION("""COMPUTED_VALUE"""),"주유비")</f>
        <v>주유비</v>
      </c>
      <c r="AG65" s="214"/>
      <c r="AH65" s="214" t="str">
        <f>IFERROR(__xludf.DUMMYFUNCTION("""COMPUTED_VALUE"""),"기타")</f>
        <v>기타</v>
      </c>
      <c r="AI65" s="214"/>
      <c r="AJ65" s="215"/>
    </row>
    <row r="66">
      <c r="H66" s="208">
        <v>45839.0</v>
      </c>
      <c r="I66" s="209" t="s">
        <v>45</v>
      </c>
      <c r="J66" s="209" t="s">
        <v>41</v>
      </c>
      <c r="K66" s="210">
        <v>132200.0</v>
      </c>
      <c r="L66" s="211" t="s">
        <v>63</v>
      </c>
      <c r="M66" s="143"/>
      <c r="N66" s="211" t="s">
        <v>704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IFERROR(__xludf.DUMMYFUNCTION("FILTER('설정시트'!$D$7:$L$20,'설정시트'!$C$7:$C$20=I66)"),"약국")</f>
        <v>약국</v>
      </c>
      <c r="AC66" s="214" t="str">
        <f>IFERROR(__xludf.DUMMYFUNCTION("""COMPUTED_VALUE"""),"병원비")</f>
        <v>병원비</v>
      </c>
      <c r="AD66" s="214" t="str">
        <f>IFERROR(__xludf.DUMMYFUNCTION("""COMPUTED_VALUE"""),"영양제")</f>
        <v>영양제</v>
      </c>
      <c r="AE66" s="214" t="str">
        <f>IFERROR(__xludf.DUMMYFUNCTION("""COMPUTED_VALUE"""),"교통비")</f>
        <v>교통비</v>
      </c>
      <c r="AF66" s="214" t="str">
        <f>IFERROR(__xludf.DUMMYFUNCTION("""COMPUTED_VALUE"""),"주유비")</f>
        <v>주유비</v>
      </c>
      <c r="AG66" s="214"/>
      <c r="AH66" s="214" t="str">
        <f>IFERROR(__xludf.DUMMYFUNCTION("""COMPUTED_VALUE"""),"기타")</f>
        <v>기타</v>
      </c>
      <c r="AI66" s="214"/>
      <c r="AJ66" s="215"/>
    </row>
    <row r="67">
      <c r="H67" s="208">
        <v>45839.0</v>
      </c>
      <c r="I67" s="209" t="s">
        <v>39</v>
      </c>
      <c r="J67" s="209" t="s">
        <v>41</v>
      </c>
      <c r="K67" s="210">
        <v>17500.0</v>
      </c>
      <c r="L67" s="211" t="s">
        <v>64</v>
      </c>
      <c r="M67" s="143"/>
      <c r="N67" s="211" t="s">
        <v>705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IFERROR(__xludf.DUMMYFUNCTION("FILTER('설정시트'!$D$7:$L$20,'설정시트'!$C$7:$C$20=I67)"),"약국")</f>
        <v>약국</v>
      </c>
      <c r="AC67" s="214" t="str">
        <f>IFERROR(__xludf.DUMMYFUNCTION("""COMPUTED_VALUE"""),"병원비")</f>
        <v>병원비</v>
      </c>
      <c r="AD67" s="214" t="str">
        <f>IFERROR(__xludf.DUMMYFUNCTION("""COMPUTED_VALUE"""),"영양제")</f>
        <v>영양제</v>
      </c>
      <c r="AE67" s="214" t="str">
        <f>IFERROR(__xludf.DUMMYFUNCTION("""COMPUTED_VALUE"""),"교통비")</f>
        <v>교통비</v>
      </c>
      <c r="AF67" s="214" t="str">
        <f>IFERROR(__xludf.DUMMYFUNCTION("""COMPUTED_VALUE"""),"주유비")</f>
        <v>주유비</v>
      </c>
      <c r="AG67" s="214"/>
      <c r="AH67" s="214" t="str">
        <f>IFERROR(__xludf.DUMMYFUNCTION("""COMPUTED_VALUE"""),"기타")</f>
        <v>기타</v>
      </c>
      <c r="AI67" s="214"/>
      <c r="AJ67" s="215"/>
    </row>
    <row r="68">
      <c r="H68" s="208">
        <v>45840.0</v>
      </c>
      <c r="I68" s="209" t="s">
        <v>26</v>
      </c>
      <c r="J68" s="209" t="s">
        <v>28</v>
      </c>
      <c r="K68" s="210">
        <v>36000.0</v>
      </c>
      <c r="L68" s="211" t="s">
        <v>64</v>
      </c>
      <c r="M68" s="143"/>
      <c r="N68" s="211" t="s">
        <v>706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IFERROR(__xludf.DUMMYFUNCTION("FILTER('설정시트'!$D$7:$L$20,'설정시트'!$C$7:$C$20=I68)"),"식재료비")</f>
        <v>식재료비</v>
      </c>
      <c r="AC68" s="214" t="str">
        <f>IFERROR(__xludf.DUMMYFUNCTION("""COMPUTED_VALUE"""),"회사점심")</f>
        <v>회사점심</v>
      </c>
      <c r="AD68" s="214" t="str">
        <f>IFERROR(__xludf.DUMMYFUNCTION("""COMPUTED_VALUE"""),"간식/카페")</f>
        <v>간식/카페</v>
      </c>
      <c r="AE68" s="214" t="str">
        <f>IFERROR(__xludf.DUMMYFUNCTION("""COMPUTED_VALUE"""),"외식/배달")</f>
        <v>외식/배달</v>
      </c>
      <c r="AF68" s="214" t="str">
        <f>IFERROR(__xludf.DUMMYFUNCTION("""COMPUTED_VALUE"""),"기타")</f>
        <v>기타</v>
      </c>
      <c r="AG68" s="214"/>
      <c r="AH68" s="214"/>
      <c r="AI68" s="214"/>
      <c r="AJ68" s="215"/>
    </row>
    <row r="69">
      <c r="H69" s="208">
        <v>45841.0</v>
      </c>
      <c r="I69" s="209" t="s">
        <v>39</v>
      </c>
      <c r="J69" s="209" t="s">
        <v>41</v>
      </c>
      <c r="K69" s="210">
        <v>148600.0</v>
      </c>
      <c r="L69" s="211" t="s">
        <v>58</v>
      </c>
      <c r="M69" s="143"/>
      <c r="N69" s="211" t="s">
        <v>691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IFERROR(__xludf.DUMMYFUNCTION("FILTER('설정시트'!$D$7:$L$20,'설정시트'!$C$7:$C$20=I69)"),"약국")</f>
        <v>약국</v>
      </c>
      <c r="AC69" s="214" t="str">
        <f>IFERROR(__xludf.DUMMYFUNCTION("""COMPUTED_VALUE"""),"병원비")</f>
        <v>병원비</v>
      </c>
      <c r="AD69" s="214" t="str">
        <f>IFERROR(__xludf.DUMMYFUNCTION("""COMPUTED_VALUE"""),"영양제")</f>
        <v>영양제</v>
      </c>
      <c r="AE69" s="214" t="str">
        <f>IFERROR(__xludf.DUMMYFUNCTION("""COMPUTED_VALUE"""),"교통비")</f>
        <v>교통비</v>
      </c>
      <c r="AF69" s="214" t="str">
        <f>IFERROR(__xludf.DUMMYFUNCTION("""COMPUTED_VALUE"""),"주유비")</f>
        <v>주유비</v>
      </c>
      <c r="AG69" s="214"/>
      <c r="AH69" s="214" t="str">
        <f>IFERROR(__xludf.DUMMYFUNCTION("""COMPUTED_VALUE"""),"기타")</f>
        <v>기타</v>
      </c>
      <c r="AI69" s="214"/>
      <c r="AJ69" s="215"/>
    </row>
    <row r="70">
      <c r="H70" s="208">
        <v>45841.0</v>
      </c>
      <c r="I70" s="209" t="s">
        <v>39</v>
      </c>
      <c r="J70" s="209" t="s">
        <v>40</v>
      </c>
      <c r="K70" s="210">
        <v>4100.0</v>
      </c>
      <c r="L70" s="211" t="s">
        <v>64</v>
      </c>
      <c r="M70" s="143"/>
      <c r="N70" s="211" t="s">
        <v>707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IFERROR(__xludf.DUMMYFUNCTION("FILTER('설정시트'!$D$7:$L$20,'설정시트'!$C$7:$C$20=I70)"),"약국")</f>
        <v>약국</v>
      </c>
      <c r="AC70" s="214" t="str">
        <f>IFERROR(__xludf.DUMMYFUNCTION("""COMPUTED_VALUE"""),"병원비")</f>
        <v>병원비</v>
      </c>
      <c r="AD70" s="214" t="str">
        <f>IFERROR(__xludf.DUMMYFUNCTION("""COMPUTED_VALUE"""),"영양제")</f>
        <v>영양제</v>
      </c>
      <c r="AE70" s="214" t="str">
        <f>IFERROR(__xludf.DUMMYFUNCTION("""COMPUTED_VALUE"""),"교통비")</f>
        <v>교통비</v>
      </c>
      <c r="AF70" s="214" t="str">
        <f>IFERROR(__xludf.DUMMYFUNCTION("""COMPUTED_VALUE"""),"주유비")</f>
        <v>주유비</v>
      </c>
      <c r="AG70" s="214"/>
      <c r="AH70" s="214" t="str">
        <f>IFERROR(__xludf.DUMMYFUNCTION("""COMPUTED_VALUE"""),"기타")</f>
        <v>기타</v>
      </c>
      <c r="AI70" s="214"/>
      <c r="AJ70" s="215"/>
    </row>
    <row r="71">
      <c r="H71" s="208">
        <v>45841.0</v>
      </c>
      <c r="I71" s="209" t="s">
        <v>31</v>
      </c>
      <c r="J71" s="209" t="s">
        <v>30</v>
      </c>
      <c r="K71" s="210">
        <v>11900.0</v>
      </c>
      <c r="L71" s="211" t="s">
        <v>64</v>
      </c>
      <c r="M71" s="143"/>
      <c r="N71" s="211" t="s">
        <v>708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IFERROR(__xludf.DUMMYFUNCTION("FILTER('설정시트'!$D$7:$L$20,'설정시트'!$C$7:$C$20=I71)"),"식재료비")</f>
        <v>식재료비</v>
      </c>
      <c r="AC71" s="214" t="str">
        <f>IFERROR(__xludf.DUMMYFUNCTION("""COMPUTED_VALUE"""),"회사점심")</f>
        <v>회사점심</v>
      </c>
      <c r="AD71" s="214" t="str">
        <f>IFERROR(__xludf.DUMMYFUNCTION("""COMPUTED_VALUE"""),"간식/카페")</f>
        <v>간식/카페</v>
      </c>
      <c r="AE71" s="214" t="str">
        <f>IFERROR(__xludf.DUMMYFUNCTION("""COMPUTED_VALUE"""),"외식/배달")</f>
        <v>외식/배달</v>
      </c>
      <c r="AF71" s="214" t="str">
        <f>IFERROR(__xludf.DUMMYFUNCTION("""COMPUTED_VALUE"""),"기타")</f>
        <v>기타</v>
      </c>
      <c r="AG71" s="214"/>
      <c r="AH71" s="214"/>
      <c r="AI71" s="214"/>
      <c r="AJ71" s="215"/>
    </row>
    <row r="72">
      <c r="H72" s="208">
        <v>45842.0</v>
      </c>
      <c r="I72" s="209" t="s">
        <v>3</v>
      </c>
      <c r="J72" s="209" t="s">
        <v>6</v>
      </c>
      <c r="K72" s="210">
        <v>4399920.0</v>
      </c>
      <c r="L72" s="211"/>
      <c r="M72" s="143"/>
      <c r="N72" s="211" t="s">
        <v>709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IFERROR(__xludf.DUMMYFUNCTION("FILTER('설정시트'!$D$7:$L$20,'설정시트'!$C$7:$C$20=I72)"),"🍪 월급")</f>
        <v>🍪 월급</v>
      </c>
      <c r="AC72" s="214" t="str">
        <f>IFERROR(__xludf.DUMMYFUNCTION("""COMPUTED_VALUE"""),"🍪 부수입")</f>
        <v>🍪 부수입</v>
      </c>
      <c r="AD72" s="214" t="str">
        <f>IFERROR(__xludf.DUMMYFUNCTION("""COMPUTED_VALUE"""),"🐻 월급")</f>
        <v>🐻 월급</v>
      </c>
      <c r="AE72" s="214" t="str">
        <f>IFERROR(__xludf.DUMMYFUNCTION("""COMPUTED_VALUE"""),"🐻 부수입")</f>
        <v>🐻 부수입</v>
      </c>
      <c r="AF72" s="214" t="str">
        <f>IFERROR(__xludf.DUMMYFUNCTION("""COMPUTED_VALUE"""),"기타")</f>
        <v>기타</v>
      </c>
      <c r="AG72" s="214"/>
      <c r="AH72" s="214"/>
      <c r="AI72" s="214"/>
      <c r="AJ72" s="215"/>
    </row>
    <row r="73">
      <c r="H73" s="208">
        <v>45842.0</v>
      </c>
      <c r="I73" s="209" t="s">
        <v>31</v>
      </c>
      <c r="J73" s="209" t="s">
        <v>29</v>
      </c>
      <c r="K73" s="210">
        <v>1200.0</v>
      </c>
      <c r="L73" s="211" t="s">
        <v>64</v>
      </c>
      <c r="M73" s="143"/>
      <c r="N73" s="211" t="s">
        <v>710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IFERROR(__xludf.DUMMYFUNCTION("FILTER('설정시트'!$D$7:$L$20,'설정시트'!$C$7:$C$20=I73)"),"식재료비")</f>
        <v>식재료비</v>
      </c>
      <c r="AC73" s="214" t="str">
        <f>IFERROR(__xludf.DUMMYFUNCTION("""COMPUTED_VALUE"""),"회사점심")</f>
        <v>회사점심</v>
      </c>
      <c r="AD73" s="214" t="str">
        <f>IFERROR(__xludf.DUMMYFUNCTION("""COMPUTED_VALUE"""),"간식/카페")</f>
        <v>간식/카페</v>
      </c>
      <c r="AE73" s="214" t="str">
        <f>IFERROR(__xludf.DUMMYFUNCTION("""COMPUTED_VALUE"""),"외식/배달")</f>
        <v>외식/배달</v>
      </c>
      <c r="AF73" s="214" t="str">
        <f>IFERROR(__xludf.DUMMYFUNCTION("""COMPUTED_VALUE"""),"기타")</f>
        <v>기타</v>
      </c>
      <c r="AG73" s="214"/>
      <c r="AH73" s="214"/>
      <c r="AI73" s="214"/>
      <c r="AJ73" s="215"/>
    </row>
    <row r="74">
      <c r="H74" s="208">
        <v>45842.0</v>
      </c>
      <c r="I74" s="209" t="s">
        <v>31</v>
      </c>
      <c r="J74" s="209" t="s">
        <v>30</v>
      </c>
      <c r="K74" s="210">
        <v>50000.0</v>
      </c>
      <c r="L74" s="211" t="s">
        <v>64</v>
      </c>
      <c r="M74" s="143"/>
      <c r="N74" s="211" t="s">
        <v>711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IFERROR(__xludf.DUMMYFUNCTION("FILTER('설정시트'!$D$7:$L$20,'설정시트'!$C$7:$C$20=I74)"),"식재료비")</f>
        <v>식재료비</v>
      </c>
      <c r="AC74" s="214" t="str">
        <f>IFERROR(__xludf.DUMMYFUNCTION("""COMPUTED_VALUE"""),"회사점심")</f>
        <v>회사점심</v>
      </c>
      <c r="AD74" s="214" t="str">
        <f>IFERROR(__xludf.DUMMYFUNCTION("""COMPUTED_VALUE"""),"간식/카페")</f>
        <v>간식/카페</v>
      </c>
      <c r="AE74" s="214" t="str">
        <f>IFERROR(__xludf.DUMMYFUNCTION("""COMPUTED_VALUE"""),"외식/배달")</f>
        <v>외식/배달</v>
      </c>
      <c r="AF74" s="214" t="str">
        <f>IFERROR(__xludf.DUMMYFUNCTION("""COMPUTED_VALUE"""),"기타")</f>
        <v>기타</v>
      </c>
      <c r="AG74" s="214"/>
      <c r="AH74" s="214"/>
      <c r="AI74" s="214"/>
      <c r="AJ74" s="215"/>
    </row>
    <row r="75">
      <c r="H75" s="208">
        <v>45842.0</v>
      </c>
      <c r="I75" s="209" t="s">
        <v>31</v>
      </c>
      <c r="J75" s="209" t="s">
        <v>29</v>
      </c>
      <c r="K75" s="210">
        <v>2500.0</v>
      </c>
      <c r="L75" s="211" t="s">
        <v>64</v>
      </c>
      <c r="M75" s="143"/>
      <c r="N75" s="211" t="s">
        <v>712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IFERROR(__xludf.DUMMYFUNCTION("FILTER('설정시트'!$D$7:$L$20,'설정시트'!$C$7:$C$20=I75)"),"식재료비")</f>
        <v>식재료비</v>
      </c>
      <c r="AC75" s="214" t="str">
        <f>IFERROR(__xludf.DUMMYFUNCTION("""COMPUTED_VALUE"""),"회사점심")</f>
        <v>회사점심</v>
      </c>
      <c r="AD75" s="214" t="str">
        <f>IFERROR(__xludf.DUMMYFUNCTION("""COMPUTED_VALUE"""),"간식/카페")</f>
        <v>간식/카페</v>
      </c>
      <c r="AE75" s="214" t="str">
        <f>IFERROR(__xludf.DUMMYFUNCTION("""COMPUTED_VALUE"""),"외식/배달")</f>
        <v>외식/배달</v>
      </c>
      <c r="AF75" s="214" t="str">
        <f>IFERROR(__xludf.DUMMYFUNCTION("""COMPUTED_VALUE"""),"기타")</f>
        <v>기타</v>
      </c>
      <c r="AG75" s="214"/>
      <c r="AH75" s="214"/>
      <c r="AI75" s="214"/>
      <c r="AJ75" s="215"/>
    </row>
    <row r="76">
      <c r="H76" s="208">
        <v>45842.0</v>
      </c>
      <c r="I76" s="209" t="s">
        <v>31</v>
      </c>
      <c r="J76" s="209" t="s">
        <v>27</v>
      </c>
      <c r="K76" s="210">
        <v>7210.0</v>
      </c>
      <c r="L76" s="211" t="s">
        <v>64</v>
      </c>
      <c r="M76" s="143"/>
      <c r="N76" s="211" t="s">
        <v>713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IFERROR(__xludf.DUMMYFUNCTION("FILTER('설정시트'!$D$7:$L$20,'설정시트'!$C$7:$C$20=I76)"),"식재료비")</f>
        <v>식재료비</v>
      </c>
      <c r="AC76" s="214" t="str">
        <f>IFERROR(__xludf.DUMMYFUNCTION("""COMPUTED_VALUE"""),"회사점심")</f>
        <v>회사점심</v>
      </c>
      <c r="AD76" s="214" t="str">
        <f>IFERROR(__xludf.DUMMYFUNCTION("""COMPUTED_VALUE"""),"간식/카페")</f>
        <v>간식/카페</v>
      </c>
      <c r="AE76" s="214" t="str">
        <f>IFERROR(__xludf.DUMMYFUNCTION("""COMPUTED_VALUE"""),"외식/배달")</f>
        <v>외식/배달</v>
      </c>
      <c r="AF76" s="214" t="str">
        <f>IFERROR(__xludf.DUMMYFUNCTION("""COMPUTED_VALUE"""),"기타")</f>
        <v>기타</v>
      </c>
      <c r="AG76" s="214"/>
      <c r="AH76" s="214"/>
      <c r="AI76" s="214"/>
      <c r="AJ76" s="215"/>
    </row>
    <row r="77">
      <c r="H77" s="208">
        <v>45843.0</v>
      </c>
      <c r="I77" s="209" t="s">
        <v>39</v>
      </c>
      <c r="J77" s="209" t="s">
        <v>41</v>
      </c>
      <c r="K77" s="210">
        <v>531800.0</v>
      </c>
      <c r="L77" s="211" t="s">
        <v>58</v>
      </c>
      <c r="M77" s="143"/>
      <c r="N77" s="211" t="s">
        <v>714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IFERROR(__xludf.DUMMYFUNCTION("FILTER('설정시트'!$D$7:$L$20,'설정시트'!$C$7:$C$20=I77)"),"약국")</f>
        <v>약국</v>
      </c>
      <c r="AC77" s="214" t="str">
        <f>IFERROR(__xludf.DUMMYFUNCTION("""COMPUTED_VALUE"""),"병원비")</f>
        <v>병원비</v>
      </c>
      <c r="AD77" s="214" t="str">
        <f>IFERROR(__xludf.DUMMYFUNCTION("""COMPUTED_VALUE"""),"영양제")</f>
        <v>영양제</v>
      </c>
      <c r="AE77" s="214" t="str">
        <f>IFERROR(__xludf.DUMMYFUNCTION("""COMPUTED_VALUE"""),"교통비")</f>
        <v>교통비</v>
      </c>
      <c r="AF77" s="214" t="str">
        <f>IFERROR(__xludf.DUMMYFUNCTION("""COMPUTED_VALUE"""),"주유비")</f>
        <v>주유비</v>
      </c>
      <c r="AG77" s="214"/>
      <c r="AH77" s="214" t="str">
        <f>IFERROR(__xludf.DUMMYFUNCTION("""COMPUTED_VALUE"""),"기타")</f>
        <v>기타</v>
      </c>
      <c r="AI77" s="214"/>
      <c r="AJ77" s="215"/>
    </row>
    <row r="78">
      <c r="H78" s="208">
        <v>45843.0</v>
      </c>
      <c r="I78" s="209" t="s">
        <v>45</v>
      </c>
      <c r="J78" s="209" t="s">
        <v>41</v>
      </c>
      <c r="K78" s="210">
        <v>41200.0</v>
      </c>
      <c r="L78" s="211" t="s">
        <v>64</v>
      </c>
      <c r="M78" s="143"/>
      <c r="N78" s="211" t="s">
        <v>715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IFERROR(__xludf.DUMMYFUNCTION("FILTER('설정시트'!$D$7:$L$20,'설정시트'!$C$7:$C$20=I78)"),"약국")</f>
        <v>약국</v>
      </c>
      <c r="AC78" s="214" t="str">
        <f>IFERROR(__xludf.DUMMYFUNCTION("""COMPUTED_VALUE"""),"병원비")</f>
        <v>병원비</v>
      </c>
      <c r="AD78" s="214" t="str">
        <f>IFERROR(__xludf.DUMMYFUNCTION("""COMPUTED_VALUE"""),"영양제")</f>
        <v>영양제</v>
      </c>
      <c r="AE78" s="214" t="str">
        <f>IFERROR(__xludf.DUMMYFUNCTION("""COMPUTED_VALUE"""),"교통비")</f>
        <v>교통비</v>
      </c>
      <c r="AF78" s="214" t="str">
        <f>IFERROR(__xludf.DUMMYFUNCTION("""COMPUTED_VALUE"""),"주유비")</f>
        <v>주유비</v>
      </c>
      <c r="AG78" s="214"/>
      <c r="AH78" s="214" t="str">
        <f>IFERROR(__xludf.DUMMYFUNCTION("""COMPUTED_VALUE"""),"기타")</f>
        <v>기타</v>
      </c>
      <c r="AI78" s="214"/>
      <c r="AJ78" s="215"/>
    </row>
    <row r="79">
      <c r="H79" s="208">
        <v>45843.0</v>
      </c>
      <c r="I79" s="209" t="s">
        <v>26</v>
      </c>
      <c r="J79" s="209" t="s">
        <v>29</v>
      </c>
      <c r="K79" s="210">
        <v>3900.0</v>
      </c>
      <c r="L79" s="211" t="s">
        <v>64</v>
      </c>
      <c r="M79" s="143"/>
      <c r="N79" s="211" t="s">
        <v>716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IFERROR(__xludf.DUMMYFUNCTION("FILTER('설정시트'!$D$7:$L$20,'설정시트'!$C$7:$C$20=I79)"),"식재료비")</f>
        <v>식재료비</v>
      </c>
      <c r="AC79" s="214" t="str">
        <f>IFERROR(__xludf.DUMMYFUNCTION("""COMPUTED_VALUE"""),"회사점심")</f>
        <v>회사점심</v>
      </c>
      <c r="AD79" s="214" t="str">
        <f>IFERROR(__xludf.DUMMYFUNCTION("""COMPUTED_VALUE"""),"간식/카페")</f>
        <v>간식/카페</v>
      </c>
      <c r="AE79" s="214" t="str">
        <f>IFERROR(__xludf.DUMMYFUNCTION("""COMPUTED_VALUE"""),"외식/배달")</f>
        <v>외식/배달</v>
      </c>
      <c r="AF79" s="214" t="str">
        <f>IFERROR(__xludf.DUMMYFUNCTION("""COMPUTED_VALUE"""),"기타")</f>
        <v>기타</v>
      </c>
      <c r="AG79" s="214"/>
      <c r="AH79" s="214"/>
      <c r="AI79" s="214"/>
      <c r="AJ79" s="215"/>
    </row>
    <row r="80">
      <c r="H80" s="208">
        <v>45843.0</v>
      </c>
      <c r="I80" s="209" t="s">
        <v>45</v>
      </c>
      <c r="J80" s="209" t="s">
        <v>43</v>
      </c>
      <c r="K80" s="210">
        <v>2000.0</v>
      </c>
      <c r="L80" s="211" t="s">
        <v>64</v>
      </c>
      <c r="M80" s="143"/>
      <c r="N80" s="211" t="s">
        <v>717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IFERROR(__xludf.DUMMYFUNCTION("FILTER('설정시트'!$D$7:$L$20,'설정시트'!$C$7:$C$20=I80)"),"약국")</f>
        <v>약국</v>
      </c>
      <c r="AC80" s="214" t="str">
        <f>IFERROR(__xludf.DUMMYFUNCTION("""COMPUTED_VALUE"""),"병원비")</f>
        <v>병원비</v>
      </c>
      <c r="AD80" s="214" t="str">
        <f>IFERROR(__xludf.DUMMYFUNCTION("""COMPUTED_VALUE"""),"영양제")</f>
        <v>영양제</v>
      </c>
      <c r="AE80" s="214" t="str">
        <f>IFERROR(__xludf.DUMMYFUNCTION("""COMPUTED_VALUE"""),"교통비")</f>
        <v>교통비</v>
      </c>
      <c r="AF80" s="214" t="str">
        <f>IFERROR(__xludf.DUMMYFUNCTION("""COMPUTED_VALUE"""),"주유비")</f>
        <v>주유비</v>
      </c>
      <c r="AG80" s="214"/>
      <c r="AH80" s="214" t="str">
        <f>IFERROR(__xludf.DUMMYFUNCTION("""COMPUTED_VALUE"""),"기타")</f>
        <v>기타</v>
      </c>
      <c r="AI80" s="214"/>
      <c r="AJ80" s="215"/>
    </row>
    <row r="81">
      <c r="H81" s="208">
        <v>45843.0</v>
      </c>
      <c r="I81" s="209" t="s">
        <v>26</v>
      </c>
      <c r="J81" s="209" t="s">
        <v>29</v>
      </c>
      <c r="K81" s="210">
        <v>12880.0</v>
      </c>
      <c r="L81" s="211" t="s">
        <v>64</v>
      </c>
      <c r="M81" s="143"/>
      <c r="N81" s="211" t="s">
        <v>718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IFERROR(__xludf.DUMMYFUNCTION("FILTER('설정시트'!$D$7:$L$20,'설정시트'!$C$7:$C$20=I81)"),"식재료비")</f>
        <v>식재료비</v>
      </c>
      <c r="AC81" s="214" t="str">
        <f>IFERROR(__xludf.DUMMYFUNCTION("""COMPUTED_VALUE"""),"회사점심")</f>
        <v>회사점심</v>
      </c>
      <c r="AD81" s="214" t="str">
        <f>IFERROR(__xludf.DUMMYFUNCTION("""COMPUTED_VALUE"""),"간식/카페")</f>
        <v>간식/카페</v>
      </c>
      <c r="AE81" s="214" t="str">
        <f>IFERROR(__xludf.DUMMYFUNCTION("""COMPUTED_VALUE"""),"외식/배달")</f>
        <v>외식/배달</v>
      </c>
      <c r="AF81" s="214" t="str">
        <f>IFERROR(__xludf.DUMMYFUNCTION("""COMPUTED_VALUE"""),"기타")</f>
        <v>기타</v>
      </c>
      <c r="AG81" s="214"/>
      <c r="AH81" s="214"/>
      <c r="AI81" s="214"/>
      <c r="AJ81" s="215"/>
    </row>
    <row r="82">
      <c r="H82" s="208">
        <v>45843.0</v>
      </c>
      <c r="I82" s="209" t="s">
        <v>31</v>
      </c>
      <c r="J82" s="209" t="s">
        <v>30</v>
      </c>
      <c r="K82" s="210">
        <v>42000.0</v>
      </c>
      <c r="L82" s="211" t="s">
        <v>64</v>
      </c>
      <c r="M82" s="143"/>
      <c r="N82" s="211" t="s">
        <v>719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IFERROR(__xludf.DUMMYFUNCTION("FILTER('설정시트'!$D$7:$L$20,'설정시트'!$C$7:$C$20=I82)"),"식재료비")</f>
        <v>식재료비</v>
      </c>
      <c r="AC82" s="214" t="str">
        <f>IFERROR(__xludf.DUMMYFUNCTION("""COMPUTED_VALUE"""),"회사점심")</f>
        <v>회사점심</v>
      </c>
      <c r="AD82" s="214" t="str">
        <f>IFERROR(__xludf.DUMMYFUNCTION("""COMPUTED_VALUE"""),"간식/카페")</f>
        <v>간식/카페</v>
      </c>
      <c r="AE82" s="214" t="str">
        <f>IFERROR(__xludf.DUMMYFUNCTION("""COMPUTED_VALUE"""),"외식/배달")</f>
        <v>외식/배달</v>
      </c>
      <c r="AF82" s="214" t="str">
        <f>IFERROR(__xludf.DUMMYFUNCTION("""COMPUTED_VALUE"""),"기타")</f>
        <v>기타</v>
      </c>
      <c r="AG82" s="214"/>
      <c r="AH82" s="214"/>
      <c r="AI82" s="214"/>
      <c r="AJ82" s="215"/>
    </row>
    <row r="83">
      <c r="H83" s="208">
        <v>45844.0</v>
      </c>
      <c r="I83" s="209" t="s">
        <v>52</v>
      </c>
      <c r="J83" s="209" t="s">
        <v>48</v>
      </c>
      <c r="K83" s="210">
        <v>29600.0</v>
      </c>
      <c r="L83" s="211" t="s">
        <v>64</v>
      </c>
      <c r="M83" s="143"/>
      <c r="N83" s="211" t="s">
        <v>720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IFERROR(__xludf.DUMMYFUNCTION("FILTER('설정시트'!$D$7:$L$20,'설정시트'!$C$7:$C$20=I83)"),"축의/부의금")</f>
        <v>축의/부의금</v>
      </c>
      <c r="AC83" s="214" t="str">
        <f>IFERROR(__xludf.DUMMYFUNCTION("""COMPUTED_VALUE"""),"생신/생일선물")</f>
        <v>생신/생일선물</v>
      </c>
      <c r="AD83" s="214" t="str">
        <f>IFERROR(__xludf.DUMMYFUNCTION("""COMPUTED_VALUE"""),"명절/어버이날")</f>
        <v>명절/어버이날</v>
      </c>
      <c r="AE83" s="214" t="str">
        <f>IFERROR(__xludf.DUMMYFUNCTION("""COMPUTED_VALUE"""),"여행")</f>
        <v>여행</v>
      </c>
      <c r="AF83" s="214" t="str">
        <f>IFERROR(__xludf.DUMMYFUNCTION("""COMPUTED_VALUE"""),"기타")</f>
        <v>기타</v>
      </c>
      <c r="AG83" s="214" t="str">
        <f>IFERROR(__xludf.DUMMYFUNCTION("""COMPUTED_VALUE"""),"출산")</f>
        <v>출산</v>
      </c>
      <c r="AH83" s="214"/>
      <c r="AI83" s="214"/>
      <c r="AJ83" s="215"/>
    </row>
    <row r="84">
      <c r="H84" s="208">
        <v>45844.0</v>
      </c>
      <c r="I84" s="209" t="s">
        <v>22</v>
      </c>
      <c r="J84" s="209" t="s">
        <v>24</v>
      </c>
      <c r="K84" s="210">
        <v>58900.0</v>
      </c>
      <c r="L84" s="211" t="s">
        <v>64</v>
      </c>
      <c r="M84" s="143"/>
      <c r="N84" s="211" t="s">
        <v>721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IFERROR(__xludf.DUMMYFUNCTION("FILTER('설정시트'!$D$7:$L$20,'설정시트'!$C$7:$C$20=I84)"),"주방/욕실")</f>
        <v>주방/욕실</v>
      </c>
      <c r="AC84" s="214" t="str">
        <f>IFERROR(__xludf.DUMMYFUNCTION("""COMPUTED_VALUE"""),"소모품")</f>
        <v>소모품</v>
      </c>
      <c r="AD84" s="214" t="str">
        <f>IFERROR(__xludf.DUMMYFUNCTION("""COMPUTED_VALUE"""),"기타")</f>
        <v>기타</v>
      </c>
      <c r="AE84" s="214"/>
      <c r="AF84" s="214"/>
      <c r="AG84" s="214"/>
      <c r="AH84" s="214"/>
      <c r="AI84" s="214"/>
      <c r="AJ84" s="215"/>
    </row>
    <row r="85">
      <c r="H85" s="208">
        <v>45845.0</v>
      </c>
      <c r="I85" s="209" t="s">
        <v>31</v>
      </c>
      <c r="J85" s="209" t="s">
        <v>29</v>
      </c>
      <c r="K85" s="210">
        <v>33750.0</v>
      </c>
      <c r="L85" s="211" t="s">
        <v>64</v>
      </c>
      <c r="M85" s="143"/>
      <c r="N85" s="211" t="s">
        <v>722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  <c r="AJ85" s="215"/>
    </row>
    <row r="86">
      <c r="H86" s="208">
        <v>45845.0</v>
      </c>
      <c r="I86" s="209" t="s">
        <v>22</v>
      </c>
      <c r="J86" s="209" t="s">
        <v>23</v>
      </c>
      <c r="K86" s="210">
        <v>32980.0</v>
      </c>
      <c r="L86" s="211" t="s">
        <v>64</v>
      </c>
      <c r="M86" s="143"/>
      <c r="N86" s="211" t="s">
        <v>723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IFERROR(__xludf.DUMMYFUNCTION("FILTER('설정시트'!$D$7:$L$20,'설정시트'!$C$7:$C$20=I86)"),"주방/욕실")</f>
        <v>주방/욕실</v>
      </c>
      <c r="AC86" s="214" t="str">
        <f>IFERROR(__xludf.DUMMYFUNCTION("""COMPUTED_VALUE"""),"소모품")</f>
        <v>소모품</v>
      </c>
      <c r="AD86" s="214" t="str">
        <f>IFERROR(__xludf.DUMMYFUNCTION("""COMPUTED_VALUE"""),"기타")</f>
        <v>기타</v>
      </c>
      <c r="AE86" s="214"/>
      <c r="AF86" s="214"/>
      <c r="AG86" s="214"/>
      <c r="AH86" s="214"/>
      <c r="AI86" s="214"/>
      <c r="AJ86" s="215"/>
    </row>
    <row r="87">
      <c r="H87" s="208">
        <v>45845.0</v>
      </c>
      <c r="I87" s="209" t="s">
        <v>22</v>
      </c>
      <c r="J87" s="209" t="s">
        <v>23</v>
      </c>
      <c r="K87" s="210">
        <v>16300.0</v>
      </c>
      <c r="L87" s="211" t="s">
        <v>64</v>
      </c>
      <c r="M87" s="143"/>
      <c r="N87" s="211" t="s">
        <v>724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IFERROR(__xludf.DUMMYFUNCTION("FILTER('설정시트'!$D$7:$L$20,'설정시트'!$C$7:$C$20=I87)"),"주방/욕실")</f>
        <v>주방/욕실</v>
      </c>
      <c r="AC87" s="214" t="str">
        <f>IFERROR(__xludf.DUMMYFUNCTION("""COMPUTED_VALUE"""),"소모품")</f>
        <v>소모품</v>
      </c>
      <c r="AD87" s="214" t="str">
        <f>IFERROR(__xludf.DUMMYFUNCTION("""COMPUTED_VALUE"""),"기타")</f>
        <v>기타</v>
      </c>
      <c r="AE87" s="214"/>
      <c r="AF87" s="214"/>
      <c r="AG87" s="214"/>
      <c r="AH87" s="214"/>
      <c r="AI87" s="214"/>
      <c r="AJ87" s="215"/>
    </row>
    <row r="88">
      <c r="H88" s="208">
        <v>45845.0</v>
      </c>
      <c r="I88" s="209" t="s">
        <v>26</v>
      </c>
      <c r="J88" s="209" t="s">
        <v>28</v>
      </c>
      <c r="K88" s="210">
        <v>5500.0</v>
      </c>
      <c r="L88" s="211" t="s">
        <v>64</v>
      </c>
      <c r="M88" s="143"/>
      <c r="N88" s="211" t="s">
        <v>725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IFERROR(__xludf.DUMMYFUNCTION("FILTER('설정시트'!$D$7:$L$20,'설정시트'!$C$7:$C$20=I88)"),"식재료비")</f>
        <v>식재료비</v>
      </c>
      <c r="AC88" s="214" t="str">
        <f>IFERROR(__xludf.DUMMYFUNCTION("""COMPUTED_VALUE"""),"회사점심")</f>
        <v>회사점심</v>
      </c>
      <c r="AD88" s="214" t="str">
        <f>IFERROR(__xludf.DUMMYFUNCTION("""COMPUTED_VALUE"""),"간식/카페")</f>
        <v>간식/카페</v>
      </c>
      <c r="AE88" s="214" t="str">
        <f>IFERROR(__xludf.DUMMYFUNCTION("""COMPUTED_VALUE"""),"외식/배달")</f>
        <v>외식/배달</v>
      </c>
      <c r="AF88" s="214" t="str">
        <f>IFERROR(__xludf.DUMMYFUNCTION("""COMPUTED_VALUE"""),"기타")</f>
        <v>기타</v>
      </c>
      <c r="AG88" s="214"/>
      <c r="AH88" s="214"/>
      <c r="AI88" s="214"/>
      <c r="AJ88" s="215"/>
    </row>
    <row r="89">
      <c r="H89" s="208">
        <v>45846.0</v>
      </c>
      <c r="I89" s="209" t="s">
        <v>26</v>
      </c>
      <c r="J89" s="209" t="s">
        <v>28</v>
      </c>
      <c r="K89" s="210">
        <v>11900.0</v>
      </c>
      <c r="L89" s="211" t="s">
        <v>64</v>
      </c>
      <c r="M89" s="143"/>
      <c r="N89" s="211" t="s">
        <v>726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IFERROR(__xludf.DUMMYFUNCTION("FILTER('설정시트'!$D$7:$L$20,'설정시트'!$C$7:$C$20=I89)"),"식재료비")</f>
        <v>식재료비</v>
      </c>
      <c r="AC89" s="214" t="str">
        <f>IFERROR(__xludf.DUMMYFUNCTION("""COMPUTED_VALUE"""),"회사점심")</f>
        <v>회사점심</v>
      </c>
      <c r="AD89" s="214" t="str">
        <f>IFERROR(__xludf.DUMMYFUNCTION("""COMPUTED_VALUE"""),"간식/카페")</f>
        <v>간식/카페</v>
      </c>
      <c r="AE89" s="214" t="str">
        <f>IFERROR(__xludf.DUMMYFUNCTION("""COMPUTED_VALUE"""),"외식/배달")</f>
        <v>외식/배달</v>
      </c>
      <c r="AF89" s="214" t="str">
        <f>IFERROR(__xludf.DUMMYFUNCTION("""COMPUTED_VALUE"""),"기타")</f>
        <v>기타</v>
      </c>
      <c r="AG89" s="214"/>
      <c r="AH89" s="214"/>
      <c r="AI89" s="214"/>
      <c r="AJ89" s="215"/>
    </row>
    <row r="90">
      <c r="H90" s="208">
        <v>45846.0</v>
      </c>
      <c r="I90" s="209" t="s">
        <v>31</v>
      </c>
      <c r="J90" s="209" t="s">
        <v>29</v>
      </c>
      <c r="K90" s="210">
        <v>2900.0</v>
      </c>
      <c r="L90" s="211" t="s">
        <v>61</v>
      </c>
      <c r="M90" s="143"/>
      <c r="N90" s="211" t="s">
        <v>281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IFERROR(__xludf.DUMMYFUNCTION("FILTER('설정시트'!$D$7:$L$20,'설정시트'!$C$7:$C$20=I90)"),"식재료비")</f>
        <v>식재료비</v>
      </c>
      <c r="AC90" s="214" t="str">
        <f>IFERROR(__xludf.DUMMYFUNCTION("""COMPUTED_VALUE"""),"회사점심")</f>
        <v>회사점심</v>
      </c>
      <c r="AD90" s="214" t="str">
        <f>IFERROR(__xludf.DUMMYFUNCTION("""COMPUTED_VALUE"""),"간식/카페")</f>
        <v>간식/카페</v>
      </c>
      <c r="AE90" s="214" t="str">
        <f>IFERROR(__xludf.DUMMYFUNCTION("""COMPUTED_VALUE"""),"외식/배달")</f>
        <v>외식/배달</v>
      </c>
      <c r="AF90" s="214" t="str">
        <f>IFERROR(__xludf.DUMMYFUNCTION("""COMPUTED_VALUE"""),"기타")</f>
        <v>기타</v>
      </c>
      <c r="AG90" s="214"/>
      <c r="AH90" s="214"/>
      <c r="AI90" s="214"/>
      <c r="AJ90" s="215"/>
    </row>
    <row r="91">
      <c r="H91" s="208">
        <v>45846.0</v>
      </c>
      <c r="I91" s="209" t="s">
        <v>45</v>
      </c>
      <c r="J91" s="209" t="s">
        <v>44</v>
      </c>
      <c r="K91" s="210">
        <v>98000.0</v>
      </c>
      <c r="L91" s="211" t="s">
        <v>64</v>
      </c>
      <c r="M91" s="143"/>
      <c r="N91" s="213"/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IFERROR(__xludf.DUMMYFUNCTION("FILTER('설정시트'!$D$7:$L$20,'설정시트'!$C$7:$C$20=I91)"),"약국")</f>
        <v>약국</v>
      </c>
      <c r="AC91" s="214" t="str">
        <f>IFERROR(__xludf.DUMMYFUNCTION("""COMPUTED_VALUE"""),"병원비")</f>
        <v>병원비</v>
      </c>
      <c r="AD91" s="214" t="str">
        <f>IFERROR(__xludf.DUMMYFUNCTION("""COMPUTED_VALUE"""),"영양제")</f>
        <v>영양제</v>
      </c>
      <c r="AE91" s="214" t="str">
        <f>IFERROR(__xludf.DUMMYFUNCTION("""COMPUTED_VALUE"""),"교통비")</f>
        <v>교통비</v>
      </c>
      <c r="AF91" s="214" t="str">
        <f>IFERROR(__xludf.DUMMYFUNCTION("""COMPUTED_VALUE"""),"주유비")</f>
        <v>주유비</v>
      </c>
      <c r="AG91" s="214"/>
      <c r="AH91" s="214" t="str">
        <f>IFERROR(__xludf.DUMMYFUNCTION("""COMPUTED_VALUE"""),"기타")</f>
        <v>기타</v>
      </c>
      <c r="AI91" s="214"/>
      <c r="AJ91" s="215"/>
    </row>
    <row r="92">
      <c r="H92" s="208">
        <v>45847.0</v>
      </c>
      <c r="I92" s="209" t="s">
        <v>38</v>
      </c>
      <c r="J92" s="209" t="s">
        <v>37</v>
      </c>
      <c r="K92" s="210">
        <v>12900.0</v>
      </c>
      <c r="L92" s="211" t="s">
        <v>64</v>
      </c>
      <c r="M92" s="143"/>
      <c r="N92" s="211" t="s">
        <v>727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IFERROR(__xludf.DUMMYFUNCTION("FILTER('설정시트'!$D$7:$L$20,'설정시트'!$C$7:$C$20=I92)"),"의류/잡화")</f>
        <v>의류/잡화</v>
      </c>
      <c r="AC92" s="214" t="str">
        <f>IFERROR(__xludf.DUMMYFUNCTION("""COMPUTED_VALUE"""),"OTT")</f>
        <v>OTT</v>
      </c>
      <c r="AD92" s="214" t="str">
        <f>IFERROR(__xludf.DUMMYFUNCTION("""COMPUTED_VALUE"""),"문화생활")</f>
        <v>문화생활</v>
      </c>
      <c r="AE92" s="214" t="str">
        <f>IFERROR(__xludf.DUMMYFUNCTION("""COMPUTED_VALUE"""),"자기계발")</f>
        <v>자기계발</v>
      </c>
      <c r="AF92" s="214" t="str">
        <f>IFERROR(__xludf.DUMMYFUNCTION("""COMPUTED_VALUE"""),"미용")</f>
        <v>미용</v>
      </c>
      <c r="AG92" s="214"/>
      <c r="AH92" s="214" t="str">
        <f>IFERROR(__xludf.DUMMYFUNCTION("""COMPUTED_VALUE"""),"기타")</f>
        <v>기타</v>
      </c>
      <c r="AI92" s="214"/>
      <c r="AJ92" s="215"/>
    </row>
    <row r="93">
      <c r="H93" s="208">
        <v>45848.0</v>
      </c>
      <c r="I93" s="209" t="s">
        <v>31</v>
      </c>
      <c r="J93" s="209" t="s">
        <v>29</v>
      </c>
      <c r="K93" s="210">
        <v>1200.0</v>
      </c>
      <c r="L93" s="211" t="s">
        <v>61</v>
      </c>
      <c r="M93" s="143"/>
      <c r="N93" s="211" t="s">
        <v>728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IFERROR(__xludf.DUMMYFUNCTION("FILTER('설정시트'!$D$7:$L$20,'설정시트'!$C$7:$C$20=I93)"),"식재료비")</f>
        <v>식재료비</v>
      </c>
      <c r="AC93" s="214" t="str">
        <f>IFERROR(__xludf.DUMMYFUNCTION("""COMPUTED_VALUE"""),"회사점심")</f>
        <v>회사점심</v>
      </c>
      <c r="AD93" s="214" t="str">
        <f>IFERROR(__xludf.DUMMYFUNCTION("""COMPUTED_VALUE"""),"간식/카페")</f>
        <v>간식/카페</v>
      </c>
      <c r="AE93" s="214" t="str">
        <f>IFERROR(__xludf.DUMMYFUNCTION("""COMPUTED_VALUE"""),"외식/배달")</f>
        <v>외식/배달</v>
      </c>
      <c r="AF93" s="214" t="str">
        <f>IFERROR(__xludf.DUMMYFUNCTION("""COMPUTED_VALUE"""),"기타")</f>
        <v>기타</v>
      </c>
      <c r="AG93" s="214"/>
      <c r="AH93" s="214"/>
      <c r="AI93" s="214"/>
      <c r="AJ93" s="215"/>
    </row>
    <row r="94">
      <c r="H94" s="208">
        <v>45848.0</v>
      </c>
      <c r="I94" s="209" t="s">
        <v>3</v>
      </c>
      <c r="J94" s="209" t="s">
        <v>8</v>
      </c>
      <c r="K94" s="210">
        <f>100000+200000</f>
        <v>300000</v>
      </c>
      <c r="L94" s="211"/>
      <c r="M94" s="143"/>
      <c r="N94" s="211" t="s">
        <v>729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IFERROR(__xludf.DUMMYFUNCTION("FILTER('설정시트'!$D$7:$L$20,'설정시트'!$C$7:$C$20=I94)"),"🍪 월급")</f>
        <v>🍪 월급</v>
      </c>
      <c r="AC94" s="214" t="str">
        <f>IFERROR(__xludf.DUMMYFUNCTION("""COMPUTED_VALUE"""),"🍪 부수입")</f>
        <v>🍪 부수입</v>
      </c>
      <c r="AD94" s="214" t="str">
        <f>IFERROR(__xludf.DUMMYFUNCTION("""COMPUTED_VALUE"""),"🐻 월급")</f>
        <v>🐻 월급</v>
      </c>
      <c r="AE94" s="214" t="str">
        <f>IFERROR(__xludf.DUMMYFUNCTION("""COMPUTED_VALUE"""),"🐻 부수입")</f>
        <v>🐻 부수입</v>
      </c>
      <c r="AF94" s="214" t="str">
        <f>IFERROR(__xludf.DUMMYFUNCTION("""COMPUTED_VALUE"""),"기타")</f>
        <v>기타</v>
      </c>
      <c r="AG94" s="214"/>
      <c r="AH94" s="214"/>
      <c r="AI94" s="214"/>
      <c r="AJ94" s="215"/>
    </row>
    <row r="95">
      <c r="H95" s="208">
        <v>45848.0</v>
      </c>
      <c r="I95" s="209" t="s">
        <v>31</v>
      </c>
      <c r="J95" s="209" t="s">
        <v>30</v>
      </c>
      <c r="K95" s="210">
        <v>68000.0</v>
      </c>
      <c r="L95" s="211" t="s">
        <v>64</v>
      </c>
      <c r="M95" s="143"/>
      <c r="N95" s="211" t="s">
        <v>730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IFERROR(__xludf.DUMMYFUNCTION("FILTER('설정시트'!$D$7:$L$20,'설정시트'!$C$7:$C$20=I95)"),"식재료비")</f>
        <v>식재료비</v>
      </c>
      <c r="AC95" s="214" t="str">
        <f>IFERROR(__xludf.DUMMYFUNCTION("""COMPUTED_VALUE"""),"회사점심")</f>
        <v>회사점심</v>
      </c>
      <c r="AD95" s="214" t="str">
        <f>IFERROR(__xludf.DUMMYFUNCTION("""COMPUTED_VALUE"""),"간식/카페")</f>
        <v>간식/카페</v>
      </c>
      <c r="AE95" s="214" t="str">
        <f>IFERROR(__xludf.DUMMYFUNCTION("""COMPUTED_VALUE"""),"외식/배달")</f>
        <v>외식/배달</v>
      </c>
      <c r="AF95" s="214" t="str">
        <f>IFERROR(__xludf.DUMMYFUNCTION("""COMPUTED_VALUE"""),"기타")</f>
        <v>기타</v>
      </c>
      <c r="AG95" s="214"/>
      <c r="AH95" s="214"/>
      <c r="AI95" s="214"/>
      <c r="AJ95" s="215"/>
    </row>
    <row r="96">
      <c r="H96" s="208">
        <v>45848.0</v>
      </c>
      <c r="I96" s="209" t="s">
        <v>31</v>
      </c>
      <c r="J96" s="209" t="s">
        <v>8</v>
      </c>
      <c r="K96" s="210">
        <v>3800.0</v>
      </c>
      <c r="L96" s="211" t="s">
        <v>64</v>
      </c>
      <c r="M96" s="143"/>
      <c r="N96" s="211" t="s">
        <v>662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  <c r="AJ96" s="215"/>
    </row>
    <row r="97">
      <c r="H97" s="208">
        <v>45848.0</v>
      </c>
      <c r="I97" s="209" t="s">
        <v>21</v>
      </c>
      <c r="J97" s="209" t="s">
        <v>15</v>
      </c>
      <c r="K97" s="210">
        <f>43200-25000</f>
        <v>18200</v>
      </c>
      <c r="L97" s="211" t="s">
        <v>64</v>
      </c>
      <c r="M97" s="143"/>
      <c r="N97" s="211" t="s">
        <v>731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IFERROR(__xludf.DUMMYFUNCTION("FILTER('설정시트'!$D$7:$L$20,'설정시트'!$C$7:$C$20=I97)"),"관리비")</f>
        <v>관리비</v>
      </c>
      <c r="AC97" s="214" t="str">
        <f>IFERROR(__xludf.DUMMYFUNCTION("""COMPUTED_VALUE"""),"대출이자")</f>
        <v>대출이자</v>
      </c>
      <c r="AD97" s="214" t="str">
        <f>IFERROR(__xludf.DUMMYFUNCTION("""COMPUTED_VALUE"""),"통신비")</f>
        <v>통신비</v>
      </c>
      <c r="AE97" s="214" t="str">
        <f>IFERROR(__xludf.DUMMYFUNCTION("""COMPUTED_VALUE"""),"보험료")</f>
        <v>보험료</v>
      </c>
      <c r="AF97" s="214" t="str">
        <f>IFERROR(__xludf.DUMMYFUNCTION("""COMPUTED_VALUE"""),"곗돈")</f>
        <v>곗돈</v>
      </c>
      <c r="AG97" s="214"/>
      <c r="AH97" s="214"/>
      <c r="AI97" s="214"/>
      <c r="AJ97" s="215"/>
    </row>
    <row r="98">
      <c r="H98" s="208">
        <v>45849.0</v>
      </c>
      <c r="I98" s="209" t="s">
        <v>31</v>
      </c>
      <c r="J98" s="209" t="s">
        <v>29</v>
      </c>
      <c r="K98" s="210">
        <v>1200.0</v>
      </c>
      <c r="L98" s="211" t="s">
        <v>61</v>
      </c>
      <c r="M98" s="143"/>
      <c r="N98" s="211" t="s">
        <v>728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IFERROR(__xludf.DUMMYFUNCTION("FILTER('설정시트'!$D$7:$L$20,'설정시트'!$C$7:$C$20=I98)"),"식재료비")</f>
        <v>식재료비</v>
      </c>
      <c r="AC98" s="214" t="str">
        <f>IFERROR(__xludf.DUMMYFUNCTION("""COMPUTED_VALUE"""),"회사점심")</f>
        <v>회사점심</v>
      </c>
      <c r="AD98" s="214" t="str">
        <f>IFERROR(__xludf.DUMMYFUNCTION("""COMPUTED_VALUE"""),"간식/카페")</f>
        <v>간식/카페</v>
      </c>
      <c r="AE98" s="214" t="str">
        <f>IFERROR(__xludf.DUMMYFUNCTION("""COMPUTED_VALUE"""),"외식/배달")</f>
        <v>외식/배달</v>
      </c>
      <c r="AF98" s="214" t="str">
        <f>IFERROR(__xludf.DUMMYFUNCTION("""COMPUTED_VALUE"""),"기타")</f>
        <v>기타</v>
      </c>
      <c r="AG98" s="214"/>
      <c r="AH98" s="214"/>
      <c r="AI98" s="214"/>
      <c r="AJ98" s="215"/>
    </row>
    <row r="99">
      <c r="H99" s="208">
        <v>45849.0</v>
      </c>
      <c r="I99" s="209" t="s">
        <v>31</v>
      </c>
      <c r="J99" s="209" t="s">
        <v>29</v>
      </c>
      <c r="K99" s="210">
        <v>4000.0</v>
      </c>
      <c r="L99" s="211" t="s">
        <v>64</v>
      </c>
      <c r="M99" s="143"/>
      <c r="N99" s="211" t="s">
        <v>732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IFERROR(__xludf.DUMMYFUNCTION("FILTER('설정시트'!$D$7:$L$20,'설정시트'!$C$7:$C$20=I99)"),"식재료비")</f>
        <v>식재료비</v>
      </c>
      <c r="AC99" s="214" t="str">
        <f>IFERROR(__xludf.DUMMYFUNCTION("""COMPUTED_VALUE"""),"회사점심")</f>
        <v>회사점심</v>
      </c>
      <c r="AD99" s="214" t="str">
        <f>IFERROR(__xludf.DUMMYFUNCTION("""COMPUTED_VALUE"""),"간식/카페")</f>
        <v>간식/카페</v>
      </c>
      <c r="AE99" s="214" t="str">
        <f>IFERROR(__xludf.DUMMYFUNCTION("""COMPUTED_VALUE"""),"외식/배달")</f>
        <v>외식/배달</v>
      </c>
      <c r="AF99" s="214" t="str">
        <f>IFERROR(__xludf.DUMMYFUNCTION("""COMPUTED_VALUE"""),"기타")</f>
        <v>기타</v>
      </c>
      <c r="AG99" s="214"/>
      <c r="AH99" s="214"/>
      <c r="AI99" s="214"/>
      <c r="AJ99" s="215"/>
    </row>
    <row r="100">
      <c r="H100" s="208">
        <v>45852.0</v>
      </c>
      <c r="I100" s="209" t="s">
        <v>45</v>
      </c>
      <c r="J100" s="209" t="s">
        <v>8</v>
      </c>
      <c r="K100" s="210">
        <v>10000.0</v>
      </c>
      <c r="L100" s="211" t="s">
        <v>62</v>
      </c>
      <c r="M100" s="143"/>
      <c r="N100" s="211" t="s">
        <v>733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IFERROR(__xludf.DUMMYFUNCTION("FILTER('설정시트'!$D$7:$L$20,'설정시트'!$C$7:$C$20=I100)"),"약국")</f>
        <v>약국</v>
      </c>
      <c r="AC100" s="214" t="str">
        <f>IFERROR(__xludf.DUMMYFUNCTION("""COMPUTED_VALUE"""),"병원비")</f>
        <v>병원비</v>
      </c>
      <c r="AD100" s="214" t="str">
        <f>IFERROR(__xludf.DUMMYFUNCTION("""COMPUTED_VALUE"""),"영양제")</f>
        <v>영양제</v>
      </c>
      <c r="AE100" s="214" t="str">
        <f>IFERROR(__xludf.DUMMYFUNCTION("""COMPUTED_VALUE"""),"교통비")</f>
        <v>교통비</v>
      </c>
      <c r="AF100" s="214" t="str">
        <f>IFERROR(__xludf.DUMMYFUNCTION("""COMPUTED_VALUE"""),"주유비")</f>
        <v>주유비</v>
      </c>
      <c r="AG100" s="214"/>
      <c r="AH100" s="214" t="str">
        <f>IFERROR(__xludf.DUMMYFUNCTION("""COMPUTED_VALUE"""),"기타")</f>
        <v>기타</v>
      </c>
      <c r="AI100" s="214"/>
      <c r="AJ100" s="215"/>
    </row>
    <row r="101">
      <c r="H101" s="208">
        <v>45852.0</v>
      </c>
      <c r="I101" s="209" t="s">
        <v>38</v>
      </c>
      <c r="J101" s="209" t="s">
        <v>33</v>
      </c>
      <c r="K101" s="210">
        <v>5000.0</v>
      </c>
      <c r="L101" s="211" t="s">
        <v>62</v>
      </c>
      <c r="M101" s="143"/>
      <c r="N101" s="211" t="s">
        <v>734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IFERROR(__xludf.DUMMYFUNCTION("FILTER('설정시트'!$D$7:$L$20,'설정시트'!$C$7:$C$20=I101)"),"의류/잡화")</f>
        <v>의류/잡화</v>
      </c>
      <c r="AC101" s="214" t="str">
        <f>IFERROR(__xludf.DUMMYFUNCTION("""COMPUTED_VALUE"""),"OTT")</f>
        <v>OTT</v>
      </c>
      <c r="AD101" s="214" t="str">
        <f>IFERROR(__xludf.DUMMYFUNCTION("""COMPUTED_VALUE"""),"문화생활")</f>
        <v>문화생활</v>
      </c>
      <c r="AE101" s="214" t="str">
        <f>IFERROR(__xludf.DUMMYFUNCTION("""COMPUTED_VALUE"""),"자기계발")</f>
        <v>자기계발</v>
      </c>
      <c r="AF101" s="214" t="str">
        <f>IFERROR(__xludf.DUMMYFUNCTION("""COMPUTED_VALUE"""),"미용")</f>
        <v>미용</v>
      </c>
      <c r="AG101" s="214"/>
      <c r="AH101" s="214" t="str">
        <f>IFERROR(__xludf.DUMMYFUNCTION("""COMPUTED_VALUE"""),"기타")</f>
        <v>기타</v>
      </c>
      <c r="AI101" s="214"/>
      <c r="AJ101" s="215"/>
    </row>
    <row r="102">
      <c r="H102" s="208">
        <v>45852.0</v>
      </c>
      <c r="I102" s="209" t="s">
        <v>32</v>
      </c>
      <c r="J102" s="209" t="s">
        <v>36</v>
      </c>
      <c r="K102" s="216">
        <v>13600.0</v>
      </c>
      <c r="L102" s="211" t="s">
        <v>64</v>
      </c>
      <c r="M102" s="143"/>
      <c r="N102" s="211" t="s">
        <v>735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IFERROR(__xludf.DUMMYFUNCTION("FILTER('설정시트'!$D$7:$L$20,'설정시트'!$C$7:$C$20=I102)"),"의류/잡화")</f>
        <v>의류/잡화</v>
      </c>
      <c r="AC102" s="214" t="str">
        <f>IFERROR(__xludf.DUMMYFUNCTION("""COMPUTED_VALUE"""),"OTT")</f>
        <v>OTT</v>
      </c>
      <c r="AD102" s="214" t="str">
        <f>IFERROR(__xludf.DUMMYFUNCTION("""COMPUTED_VALUE"""),"문화생활")</f>
        <v>문화생활</v>
      </c>
      <c r="AE102" s="214" t="str">
        <f>IFERROR(__xludf.DUMMYFUNCTION("""COMPUTED_VALUE"""),"자기계발")</f>
        <v>자기계발</v>
      </c>
      <c r="AF102" s="214" t="str">
        <f>IFERROR(__xludf.DUMMYFUNCTION("""COMPUTED_VALUE"""),"미용")</f>
        <v>미용</v>
      </c>
      <c r="AG102" s="214"/>
      <c r="AH102" s="214" t="str">
        <f>IFERROR(__xludf.DUMMYFUNCTION("""COMPUTED_VALUE"""),"기타")</f>
        <v>기타</v>
      </c>
      <c r="AI102" s="214"/>
      <c r="AJ102" s="215"/>
    </row>
    <row r="103">
      <c r="H103" s="208">
        <v>45853.0</v>
      </c>
      <c r="I103" s="209" t="s">
        <v>52</v>
      </c>
      <c r="J103" s="209" t="s">
        <v>8</v>
      </c>
      <c r="K103" s="210">
        <v>22910.0</v>
      </c>
      <c r="L103" s="211" t="s">
        <v>64</v>
      </c>
      <c r="M103" s="143"/>
      <c r="N103" s="211" t="s">
        <v>736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IFERROR(__xludf.DUMMYFUNCTION("FILTER('설정시트'!$D$7:$L$20,'설정시트'!$C$7:$C$20=I103)"),"축의/부의금")</f>
        <v>축의/부의금</v>
      </c>
      <c r="AC103" s="214" t="str">
        <f>IFERROR(__xludf.DUMMYFUNCTION("""COMPUTED_VALUE"""),"생신/생일선물")</f>
        <v>생신/생일선물</v>
      </c>
      <c r="AD103" s="214" t="str">
        <f>IFERROR(__xludf.DUMMYFUNCTION("""COMPUTED_VALUE"""),"명절/어버이날")</f>
        <v>명절/어버이날</v>
      </c>
      <c r="AE103" s="214" t="str">
        <f>IFERROR(__xludf.DUMMYFUNCTION("""COMPUTED_VALUE"""),"여행")</f>
        <v>여행</v>
      </c>
      <c r="AF103" s="214" t="str">
        <f>IFERROR(__xludf.DUMMYFUNCTION("""COMPUTED_VALUE"""),"기타")</f>
        <v>기타</v>
      </c>
      <c r="AG103" s="214" t="str">
        <f>IFERROR(__xludf.DUMMYFUNCTION("""COMPUTED_VALUE"""),"출산")</f>
        <v>출산</v>
      </c>
      <c r="AH103" s="214"/>
      <c r="AI103" s="214"/>
      <c r="AJ103" s="215"/>
    </row>
    <row r="104">
      <c r="H104" s="208">
        <v>45854.0</v>
      </c>
      <c r="I104" s="209" t="s">
        <v>39</v>
      </c>
      <c r="J104" s="209" t="s">
        <v>41</v>
      </c>
      <c r="K104" s="210">
        <f>214100</f>
        <v>214100</v>
      </c>
      <c r="L104" s="211" t="s">
        <v>58</v>
      </c>
      <c r="M104" s="143"/>
      <c r="N104" s="211" t="s">
        <v>737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IFERROR(__xludf.DUMMYFUNCTION("FILTER('설정시트'!$D$7:$L$20,'설정시트'!$C$7:$C$20=I104)"),"약국")</f>
        <v>약국</v>
      </c>
      <c r="AC104" s="214" t="str">
        <f>IFERROR(__xludf.DUMMYFUNCTION("""COMPUTED_VALUE"""),"병원비")</f>
        <v>병원비</v>
      </c>
      <c r="AD104" s="214" t="str">
        <f>IFERROR(__xludf.DUMMYFUNCTION("""COMPUTED_VALUE"""),"영양제")</f>
        <v>영양제</v>
      </c>
      <c r="AE104" s="214" t="str">
        <f>IFERROR(__xludf.DUMMYFUNCTION("""COMPUTED_VALUE"""),"교통비")</f>
        <v>교통비</v>
      </c>
      <c r="AF104" s="214" t="str">
        <f>IFERROR(__xludf.DUMMYFUNCTION("""COMPUTED_VALUE"""),"주유비")</f>
        <v>주유비</v>
      </c>
      <c r="AG104" s="214"/>
      <c r="AH104" s="214" t="str">
        <f>IFERROR(__xludf.DUMMYFUNCTION("""COMPUTED_VALUE"""),"기타")</f>
        <v>기타</v>
      </c>
      <c r="AI104" s="214"/>
      <c r="AJ104" s="215"/>
    </row>
    <row r="105">
      <c r="H105" s="208">
        <v>45854.0</v>
      </c>
      <c r="I105" s="209" t="s">
        <v>39</v>
      </c>
      <c r="J105" s="209" t="s">
        <v>41</v>
      </c>
      <c r="K105" s="210">
        <v>53900.0</v>
      </c>
      <c r="L105" s="211" t="s">
        <v>58</v>
      </c>
      <c r="M105" s="143"/>
      <c r="N105" s="211" t="s">
        <v>737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IFERROR(__xludf.DUMMYFUNCTION("FILTER('설정시트'!$D$7:$L$20,'설정시트'!$C$7:$C$20=I105)"),"약국")</f>
        <v>약국</v>
      </c>
      <c r="AC105" s="214" t="str">
        <f>IFERROR(__xludf.DUMMYFUNCTION("""COMPUTED_VALUE"""),"병원비")</f>
        <v>병원비</v>
      </c>
      <c r="AD105" s="214" t="str">
        <f>IFERROR(__xludf.DUMMYFUNCTION("""COMPUTED_VALUE"""),"영양제")</f>
        <v>영양제</v>
      </c>
      <c r="AE105" s="214" t="str">
        <f>IFERROR(__xludf.DUMMYFUNCTION("""COMPUTED_VALUE"""),"교통비")</f>
        <v>교통비</v>
      </c>
      <c r="AF105" s="214" t="str">
        <f>IFERROR(__xludf.DUMMYFUNCTION("""COMPUTED_VALUE"""),"주유비")</f>
        <v>주유비</v>
      </c>
      <c r="AG105" s="214"/>
      <c r="AH105" s="214" t="str">
        <f>IFERROR(__xludf.DUMMYFUNCTION("""COMPUTED_VALUE"""),"기타")</f>
        <v>기타</v>
      </c>
      <c r="AI105" s="214"/>
      <c r="AJ105" s="215"/>
    </row>
    <row r="106">
      <c r="H106" s="208">
        <v>45854.0</v>
      </c>
      <c r="I106" s="209" t="s">
        <v>39</v>
      </c>
      <c r="J106" s="209" t="s">
        <v>40</v>
      </c>
      <c r="K106" s="216">
        <v>20500.0</v>
      </c>
      <c r="L106" s="211" t="s">
        <v>58</v>
      </c>
      <c r="M106" s="143"/>
      <c r="N106" s="211" t="s">
        <v>40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IFERROR(__xludf.DUMMYFUNCTION("FILTER('설정시트'!$D$7:$L$20,'설정시트'!$C$7:$C$20=I106)"),"약국")</f>
        <v>약국</v>
      </c>
      <c r="AC106" s="214" t="str">
        <f>IFERROR(__xludf.DUMMYFUNCTION("""COMPUTED_VALUE"""),"병원비")</f>
        <v>병원비</v>
      </c>
      <c r="AD106" s="214" t="str">
        <f>IFERROR(__xludf.DUMMYFUNCTION("""COMPUTED_VALUE"""),"영양제")</f>
        <v>영양제</v>
      </c>
      <c r="AE106" s="214" t="str">
        <f>IFERROR(__xludf.DUMMYFUNCTION("""COMPUTED_VALUE"""),"교통비")</f>
        <v>교통비</v>
      </c>
      <c r="AF106" s="214" t="str">
        <f>IFERROR(__xludf.DUMMYFUNCTION("""COMPUTED_VALUE"""),"주유비")</f>
        <v>주유비</v>
      </c>
      <c r="AG106" s="214"/>
      <c r="AH106" s="214" t="str">
        <f>IFERROR(__xludf.DUMMYFUNCTION("""COMPUTED_VALUE"""),"기타")</f>
        <v>기타</v>
      </c>
      <c r="AI106" s="214"/>
      <c r="AJ106" s="215"/>
    </row>
    <row r="107">
      <c r="H107" s="208">
        <v>45855.0</v>
      </c>
      <c r="I107" s="209" t="s">
        <v>26</v>
      </c>
      <c r="J107" s="209" t="s">
        <v>29</v>
      </c>
      <c r="K107" s="216">
        <v>10000.0</v>
      </c>
      <c r="L107" s="211" t="s">
        <v>64</v>
      </c>
      <c r="M107" s="143"/>
      <c r="N107" s="211" t="s">
        <v>738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IFERROR(__xludf.DUMMYFUNCTION("FILTER('설정시트'!$D$7:$L$20,'설정시트'!$C$7:$C$20=I107)"),"식재료비")</f>
        <v>식재료비</v>
      </c>
      <c r="AC107" s="214" t="str">
        <f>IFERROR(__xludf.DUMMYFUNCTION("""COMPUTED_VALUE"""),"회사점심")</f>
        <v>회사점심</v>
      </c>
      <c r="AD107" s="214" t="str">
        <f>IFERROR(__xludf.DUMMYFUNCTION("""COMPUTED_VALUE"""),"간식/카페")</f>
        <v>간식/카페</v>
      </c>
      <c r="AE107" s="214" t="str">
        <f>IFERROR(__xludf.DUMMYFUNCTION("""COMPUTED_VALUE"""),"외식/배달")</f>
        <v>외식/배달</v>
      </c>
      <c r="AF107" s="214" t="str">
        <f>IFERROR(__xludf.DUMMYFUNCTION("""COMPUTED_VALUE"""),"기타")</f>
        <v>기타</v>
      </c>
      <c r="AG107" s="214"/>
      <c r="AH107" s="214"/>
      <c r="AI107" s="214"/>
      <c r="AJ107" s="215"/>
    </row>
    <row r="108">
      <c r="H108" s="208">
        <v>45855.0</v>
      </c>
      <c r="I108" s="209" t="s">
        <v>26</v>
      </c>
      <c r="J108" s="209" t="s">
        <v>28</v>
      </c>
      <c r="K108" s="216">
        <v>31000.0</v>
      </c>
      <c r="L108" s="211" t="s">
        <v>64</v>
      </c>
      <c r="M108" s="143"/>
      <c r="N108" s="211" t="s">
        <v>739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  <c r="AJ108" s="215"/>
    </row>
    <row r="109">
      <c r="H109" s="208">
        <v>45856.0</v>
      </c>
      <c r="I109" s="209" t="s">
        <v>31</v>
      </c>
      <c r="J109" s="209" t="s">
        <v>29</v>
      </c>
      <c r="K109" s="216">
        <v>1200.0</v>
      </c>
      <c r="L109" s="211" t="s">
        <v>61</v>
      </c>
      <c r="M109" s="143"/>
      <c r="N109" s="211" t="s">
        <v>740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IFERROR(__xludf.DUMMYFUNCTION("FILTER('설정시트'!$D$7:$L$20,'설정시트'!$C$7:$C$20=I109)"),"식재료비")</f>
        <v>식재료비</v>
      </c>
      <c r="AC109" s="214" t="str">
        <f>IFERROR(__xludf.DUMMYFUNCTION("""COMPUTED_VALUE"""),"회사점심")</f>
        <v>회사점심</v>
      </c>
      <c r="AD109" s="214" t="str">
        <f>IFERROR(__xludf.DUMMYFUNCTION("""COMPUTED_VALUE"""),"간식/카페")</f>
        <v>간식/카페</v>
      </c>
      <c r="AE109" s="214" t="str">
        <f>IFERROR(__xludf.DUMMYFUNCTION("""COMPUTED_VALUE"""),"외식/배달")</f>
        <v>외식/배달</v>
      </c>
      <c r="AF109" s="214" t="str">
        <f>IFERROR(__xludf.DUMMYFUNCTION("""COMPUTED_VALUE"""),"기타")</f>
        <v>기타</v>
      </c>
      <c r="AG109" s="214"/>
      <c r="AH109" s="214"/>
      <c r="AI109" s="214"/>
      <c r="AJ109" s="215"/>
    </row>
    <row r="110">
      <c r="H110" s="208">
        <v>45856.0</v>
      </c>
      <c r="I110" s="209" t="s">
        <v>26</v>
      </c>
      <c r="J110" s="209" t="s">
        <v>28</v>
      </c>
      <c r="K110" s="216">
        <v>4800.0</v>
      </c>
      <c r="L110" s="211" t="s">
        <v>64</v>
      </c>
      <c r="M110" s="143"/>
      <c r="N110" s="211" t="s">
        <v>741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IFERROR(__xludf.DUMMYFUNCTION("FILTER('설정시트'!$D$7:$L$20,'설정시트'!$C$7:$C$20=I110)"),"식재료비")</f>
        <v>식재료비</v>
      </c>
      <c r="AC110" s="214" t="str">
        <f>IFERROR(__xludf.DUMMYFUNCTION("""COMPUTED_VALUE"""),"회사점심")</f>
        <v>회사점심</v>
      </c>
      <c r="AD110" s="214" t="str">
        <f>IFERROR(__xludf.DUMMYFUNCTION("""COMPUTED_VALUE"""),"간식/카페")</f>
        <v>간식/카페</v>
      </c>
      <c r="AE110" s="214" t="str">
        <f>IFERROR(__xludf.DUMMYFUNCTION("""COMPUTED_VALUE"""),"외식/배달")</f>
        <v>외식/배달</v>
      </c>
      <c r="AF110" s="214" t="str">
        <f>IFERROR(__xludf.DUMMYFUNCTION("""COMPUTED_VALUE"""),"기타")</f>
        <v>기타</v>
      </c>
      <c r="AG110" s="214"/>
      <c r="AH110" s="214"/>
      <c r="AI110" s="214"/>
      <c r="AJ110" s="215"/>
    </row>
    <row r="111">
      <c r="H111" s="208">
        <v>45856.0</v>
      </c>
      <c r="I111" s="209" t="s">
        <v>31</v>
      </c>
      <c r="J111" s="209" t="s">
        <v>30</v>
      </c>
      <c r="K111" s="216">
        <v>17000.0</v>
      </c>
      <c r="L111" s="211" t="s">
        <v>64</v>
      </c>
      <c r="M111" s="143"/>
      <c r="N111" s="211" t="s">
        <v>742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IFERROR(__xludf.DUMMYFUNCTION("FILTER('설정시트'!$D$7:$L$20,'설정시트'!$C$7:$C$20=I111)"),"식재료비")</f>
        <v>식재료비</v>
      </c>
      <c r="AC111" s="214" t="str">
        <f>IFERROR(__xludf.DUMMYFUNCTION("""COMPUTED_VALUE"""),"회사점심")</f>
        <v>회사점심</v>
      </c>
      <c r="AD111" s="214" t="str">
        <f>IFERROR(__xludf.DUMMYFUNCTION("""COMPUTED_VALUE"""),"간식/카페")</f>
        <v>간식/카페</v>
      </c>
      <c r="AE111" s="214" t="str">
        <f>IFERROR(__xludf.DUMMYFUNCTION("""COMPUTED_VALUE"""),"외식/배달")</f>
        <v>외식/배달</v>
      </c>
      <c r="AF111" s="214" t="str">
        <f>IFERROR(__xludf.DUMMYFUNCTION("""COMPUTED_VALUE"""),"기타")</f>
        <v>기타</v>
      </c>
      <c r="AG111" s="214"/>
      <c r="AH111" s="214"/>
      <c r="AI111" s="214"/>
      <c r="AJ111" s="215"/>
    </row>
    <row r="112">
      <c r="H112" s="208">
        <v>45857.0</v>
      </c>
      <c r="I112" s="209" t="s">
        <v>31</v>
      </c>
      <c r="J112" s="209" t="s">
        <v>29</v>
      </c>
      <c r="K112" s="216">
        <v>6000.0</v>
      </c>
      <c r="L112" s="211" t="s">
        <v>64</v>
      </c>
      <c r="M112" s="143"/>
      <c r="N112" s="211" t="s">
        <v>743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08">
        <v>45858.0</v>
      </c>
      <c r="I113" s="209" t="s">
        <v>52</v>
      </c>
      <c r="J113" s="209" t="s">
        <v>8</v>
      </c>
      <c r="K113" s="216">
        <v>23000.0</v>
      </c>
      <c r="L113" s="211" t="s">
        <v>64</v>
      </c>
      <c r="M113" s="143"/>
      <c r="N113" s="211" t="s">
        <v>744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IFERROR(__xludf.DUMMYFUNCTION("FILTER('설정시트'!$D$7:$L$20,'설정시트'!$C$7:$C$20=I113)"),"축의/부의금")</f>
        <v>축의/부의금</v>
      </c>
      <c r="AC113" s="214" t="str">
        <f>IFERROR(__xludf.DUMMYFUNCTION("""COMPUTED_VALUE"""),"생신/생일선물")</f>
        <v>생신/생일선물</v>
      </c>
      <c r="AD113" s="214" t="str">
        <f>IFERROR(__xludf.DUMMYFUNCTION("""COMPUTED_VALUE"""),"명절/어버이날")</f>
        <v>명절/어버이날</v>
      </c>
      <c r="AE113" s="214" t="str">
        <f>IFERROR(__xludf.DUMMYFUNCTION("""COMPUTED_VALUE"""),"여행")</f>
        <v>여행</v>
      </c>
      <c r="AF113" s="214" t="str">
        <f>IFERROR(__xludf.DUMMYFUNCTION("""COMPUTED_VALUE"""),"기타")</f>
        <v>기타</v>
      </c>
      <c r="AG113" s="214" t="str">
        <f>IFERROR(__xludf.DUMMYFUNCTION("""COMPUTED_VALUE"""),"출산")</f>
        <v>출산</v>
      </c>
      <c r="AH113" s="214"/>
      <c r="AI113" s="214"/>
      <c r="AJ113" s="215"/>
    </row>
    <row r="114">
      <c r="H114" s="208">
        <v>45859.0</v>
      </c>
      <c r="I114" s="209" t="s">
        <v>26</v>
      </c>
      <c r="J114" s="209" t="s">
        <v>28</v>
      </c>
      <c r="K114" s="216">
        <v>11700.0</v>
      </c>
      <c r="L114" s="211" t="s">
        <v>64</v>
      </c>
      <c r="M114" s="143"/>
      <c r="N114" s="211" t="s">
        <v>745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IFERROR(__xludf.DUMMYFUNCTION("FILTER('설정시트'!$D$7:$L$20,'설정시트'!$C$7:$C$20=I114)"),"식재료비")</f>
        <v>식재료비</v>
      </c>
      <c r="AC114" s="214" t="str">
        <f>IFERROR(__xludf.DUMMYFUNCTION("""COMPUTED_VALUE"""),"회사점심")</f>
        <v>회사점심</v>
      </c>
      <c r="AD114" s="214" t="str">
        <f>IFERROR(__xludf.DUMMYFUNCTION("""COMPUTED_VALUE"""),"간식/카페")</f>
        <v>간식/카페</v>
      </c>
      <c r="AE114" s="214" t="str">
        <f>IFERROR(__xludf.DUMMYFUNCTION("""COMPUTED_VALUE"""),"외식/배달")</f>
        <v>외식/배달</v>
      </c>
      <c r="AF114" s="214" t="str">
        <f>IFERROR(__xludf.DUMMYFUNCTION("""COMPUTED_VALUE"""),"기타")</f>
        <v>기타</v>
      </c>
      <c r="AG114" s="214"/>
      <c r="AH114" s="214"/>
      <c r="AI114" s="214"/>
      <c r="AJ114" s="215"/>
    </row>
    <row r="115">
      <c r="H115" s="208">
        <v>45859.0</v>
      </c>
      <c r="I115" s="209" t="s">
        <v>26</v>
      </c>
      <c r="J115" s="209" t="s">
        <v>28</v>
      </c>
      <c r="K115" s="216">
        <v>11500.0</v>
      </c>
      <c r="L115" s="211" t="s">
        <v>64</v>
      </c>
      <c r="M115" s="143"/>
      <c r="N115" s="211" t="s">
        <v>745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IFERROR(__xludf.DUMMYFUNCTION("FILTER('설정시트'!$D$7:$L$20,'설정시트'!$C$7:$C$20=I115)"),"식재료비")</f>
        <v>식재료비</v>
      </c>
      <c r="AC115" s="214" t="str">
        <f>IFERROR(__xludf.DUMMYFUNCTION("""COMPUTED_VALUE"""),"회사점심")</f>
        <v>회사점심</v>
      </c>
      <c r="AD115" s="214" t="str">
        <f>IFERROR(__xludf.DUMMYFUNCTION("""COMPUTED_VALUE"""),"간식/카페")</f>
        <v>간식/카페</v>
      </c>
      <c r="AE115" s="214" t="str">
        <f>IFERROR(__xludf.DUMMYFUNCTION("""COMPUTED_VALUE"""),"외식/배달")</f>
        <v>외식/배달</v>
      </c>
      <c r="AF115" s="214" t="str">
        <f>IFERROR(__xludf.DUMMYFUNCTION("""COMPUTED_VALUE"""),"기타")</f>
        <v>기타</v>
      </c>
      <c r="AG115" s="214"/>
      <c r="AH115" s="214"/>
      <c r="AI115" s="214"/>
      <c r="AJ115" s="215"/>
    </row>
    <row r="116">
      <c r="H116" s="208">
        <v>45859.0</v>
      </c>
      <c r="I116" s="217" t="s">
        <v>21</v>
      </c>
      <c r="J116" s="217" t="s">
        <v>15</v>
      </c>
      <c r="K116" s="218">
        <v>21040.0</v>
      </c>
      <c r="L116" s="211" t="s">
        <v>64</v>
      </c>
      <c r="M116" s="143"/>
      <c r="N116" s="211" t="s">
        <v>746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IFERROR(__xludf.DUMMYFUNCTION("FILTER('설정시트'!$D$7:$L$20,'설정시트'!$C$7:$C$20=I116)"),"관리비")</f>
        <v>관리비</v>
      </c>
      <c r="AC116" s="214" t="str">
        <f>IFERROR(__xludf.DUMMYFUNCTION("""COMPUTED_VALUE"""),"대출이자")</f>
        <v>대출이자</v>
      </c>
      <c r="AD116" s="214" t="str">
        <f>IFERROR(__xludf.DUMMYFUNCTION("""COMPUTED_VALUE"""),"통신비")</f>
        <v>통신비</v>
      </c>
      <c r="AE116" s="214" t="str">
        <f>IFERROR(__xludf.DUMMYFUNCTION("""COMPUTED_VALUE"""),"보험료")</f>
        <v>보험료</v>
      </c>
      <c r="AF116" s="214" t="str">
        <f>IFERROR(__xludf.DUMMYFUNCTION("""COMPUTED_VALUE"""),"곗돈")</f>
        <v>곗돈</v>
      </c>
      <c r="AG116" s="214"/>
      <c r="AH116" s="214"/>
      <c r="AI116" s="214"/>
      <c r="AJ116" s="215"/>
    </row>
    <row r="117">
      <c r="H117" s="208">
        <v>45860.0</v>
      </c>
      <c r="I117" s="209" t="s">
        <v>26</v>
      </c>
      <c r="J117" s="209" t="s">
        <v>28</v>
      </c>
      <c r="K117" s="216">
        <v>10000.0</v>
      </c>
      <c r="L117" s="211" t="s">
        <v>64</v>
      </c>
      <c r="M117" s="143"/>
      <c r="N117" s="211" t="s">
        <v>747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IFERROR(__xludf.DUMMYFUNCTION("FILTER('설정시트'!$D$7:$L$20,'설정시트'!$C$7:$C$20=I117)"),"식재료비")</f>
        <v>식재료비</v>
      </c>
      <c r="AC117" s="214" t="str">
        <f>IFERROR(__xludf.DUMMYFUNCTION("""COMPUTED_VALUE"""),"회사점심")</f>
        <v>회사점심</v>
      </c>
      <c r="AD117" s="214" t="str">
        <f>IFERROR(__xludf.DUMMYFUNCTION("""COMPUTED_VALUE"""),"간식/카페")</f>
        <v>간식/카페</v>
      </c>
      <c r="AE117" s="214" t="str">
        <f>IFERROR(__xludf.DUMMYFUNCTION("""COMPUTED_VALUE"""),"외식/배달")</f>
        <v>외식/배달</v>
      </c>
      <c r="AF117" s="214" t="str">
        <f>IFERROR(__xludf.DUMMYFUNCTION("""COMPUTED_VALUE"""),"기타")</f>
        <v>기타</v>
      </c>
      <c r="AG117" s="214"/>
      <c r="AH117" s="214"/>
      <c r="AI117" s="214"/>
      <c r="AJ117" s="215"/>
    </row>
    <row r="118">
      <c r="H118" s="208">
        <v>45861.0</v>
      </c>
      <c r="I118" s="217" t="s">
        <v>31</v>
      </c>
      <c r="J118" s="217" t="s">
        <v>29</v>
      </c>
      <c r="K118" s="218">
        <v>1200.0</v>
      </c>
      <c r="L118" s="211" t="s">
        <v>61</v>
      </c>
      <c r="M118" s="143"/>
      <c r="N118" s="211" t="s">
        <v>748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IFERROR(__xludf.DUMMYFUNCTION("FILTER('설정시트'!$D$7:$L$20,'설정시트'!$C$7:$C$20=I118)"),"식재료비")</f>
        <v>식재료비</v>
      </c>
      <c r="AC118" s="214" t="str">
        <f>IFERROR(__xludf.DUMMYFUNCTION("""COMPUTED_VALUE"""),"회사점심")</f>
        <v>회사점심</v>
      </c>
      <c r="AD118" s="214" t="str">
        <f>IFERROR(__xludf.DUMMYFUNCTION("""COMPUTED_VALUE"""),"간식/카페")</f>
        <v>간식/카페</v>
      </c>
      <c r="AE118" s="214" t="str">
        <f>IFERROR(__xludf.DUMMYFUNCTION("""COMPUTED_VALUE"""),"외식/배달")</f>
        <v>외식/배달</v>
      </c>
      <c r="AF118" s="214" t="str">
        <f>IFERROR(__xludf.DUMMYFUNCTION("""COMPUTED_VALUE"""),"기타")</f>
        <v>기타</v>
      </c>
      <c r="AG118" s="214"/>
      <c r="AH118" s="214"/>
      <c r="AI118" s="214"/>
      <c r="AJ118" s="215"/>
    </row>
    <row r="119">
      <c r="H119" s="208">
        <v>45861.0</v>
      </c>
      <c r="I119" s="217" t="s">
        <v>52</v>
      </c>
      <c r="J119" s="217" t="s">
        <v>8</v>
      </c>
      <c r="K119" s="218">
        <f>200000*2</f>
        <v>400000</v>
      </c>
      <c r="L119" s="211" t="s">
        <v>61</v>
      </c>
      <c r="M119" s="143"/>
      <c r="N119" s="211" t="s">
        <v>749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IFERROR(__xludf.DUMMYFUNCTION("FILTER('설정시트'!$D$7:$L$20,'설정시트'!$C$7:$C$20=I119)"),"축의/부의금")</f>
        <v>축의/부의금</v>
      </c>
      <c r="AC119" s="214" t="str">
        <f>IFERROR(__xludf.DUMMYFUNCTION("""COMPUTED_VALUE"""),"생신/생일선물")</f>
        <v>생신/생일선물</v>
      </c>
      <c r="AD119" s="214" t="str">
        <f>IFERROR(__xludf.DUMMYFUNCTION("""COMPUTED_VALUE"""),"명절/어버이날")</f>
        <v>명절/어버이날</v>
      </c>
      <c r="AE119" s="214" t="str">
        <f>IFERROR(__xludf.DUMMYFUNCTION("""COMPUTED_VALUE"""),"여행")</f>
        <v>여행</v>
      </c>
      <c r="AF119" s="214" t="str">
        <f>IFERROR(__xludf.DUMMYFUNCTION("""COMPUTED_VALUE"""),"기타")</f>
        <v>기타</v>
      </c>
      <c r="AG119" s="214" t="str">
        <f>IFERROR(__xludf.DUMMYFUNCTION("""COMPUTED_VALUE"""),"출산")</f>
        <v>출산</v>
      </c>
      <c r="AH119" s="214"/>
      <c r="AI119" s="214"/>
      <c r="AJ119" s="215"/>
    </row>
    <row r="120">
      <c r="H120" s="208">
        <v>45862.0</v>
      </c>
      <c r="I120" s="217" t="s">
        <v>39</v>
      </c>
      <c r="J120" s="217" t="s">
        <v>43</v>
      </c>
      <c r="K120" s="218">
        <v>100000.0</v>
      </c>
      <c r="L120" s="211" t="s">
        <v>64</v>
      </c>
      <c r="M120" s="143"/>
      <c r="N120" s="211" t="s">
        <v>750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IFERROR(__xludf.DUMMYFUNCTION("FILTER('설정시트'!$D$7:$L$20,'설정시트'!$C$7:$C$20=I120)"),"약국")</f>
        <v>약국</v>
      </c>
      <c r="AC120" s="214" t="str">
        <f>IFERROR(__xludf.DUMMYFUNCTION("""COMPUTED_VALUE"""),"병원비")</f>
        <v>병원비</v>
      </c>
      <c r="AD120" s="214" t="str">
        <f>IFERROR(__xludf.DUMMYFUNCTION("""COMPUTED_VALUE"""),"영양제")</f>
        <v>영양제</v>
      </c>
      <c r="AE120" s="214" t="str">
        <f>IFERROR(__xludf.DUMMYFUNCTION("""COMPUTED_VALUE"""),"교통비")</f>
        <v>교통비</v>
      </c>
      <c r="AF120" s="214" t="str">
        <f>IFERROR(__xludf.DUMMYFUNCTION("""COMPUTED_VALUE"""),"주유비")</f>
        <v>주유비</v>
      </c>
      <c r="AG120" s="214"/>
      <c r="AH120" s="214" t="str">
        <f>IFERROR(__xludf.DUMMYFUNCTION("""COMPUTED_VALUE"""),"기타")</f>
        <v>기타</v>
      </c>
      <c r="AI120" s="214"/>
      <c r="AJ120" s="215"/>
    </row>
    <row r="121">
      <c r="H121" s="208">
        <v>45863.0</v>
      </c>
      <c r="I121" s="217" t="s">
        <v>31</v>
      </c>
      <c r="J121" s="217" t="s">
        <v>29</v>
      </c>
      <c r="K121" s="218">
        <v>1200.0</v>
      </c>
      <c r="L121" s="211" t="s">
        <v>61</v>
      </c>
      <c r="M121" s="143"/>
      <c r="N121" s="211" t="s">
        <v>748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45863.0</v>
      </c>
      <c r="I122" s="217" t="s">
        <v>9</v>
      </c>
      <c r="J122" s="217" t="s">
        <v>13</v>
      </c>
      <c r="K122" s="218">
        <v>100000.0</v>
      </c>
      <c r="L122" s="211"/>
      <c r="M122" s="143"/>
      <c r="N122" s="213"/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IFERROR(__xludf.DUMMYFUNCTION("FILTER('설정시트'!$D$7:$L$20,'설정시트'!$C$7:$C$20=I122)"),"주택청약")</f>
        <v>주택청약</v>
      </c>
      <c r="AC122" s="214" t="str">
        <f>IFERROR(__xludf.DUMMYFUNCTION("""COMPUTED_VALUE"""),"우리은행")</f>
        <v>우리은행</v>
      </c>
      <c r="AD122" s="214" t="str">
        <f>IFERROR(__xludf.DUMMYFUNCTION("""COMPUTED_VALUE"""),"케이뱅크")</f>
        <v>케이뱅크</v>
      </c>
      <c r="AE122" s="214" t="str">
        <f>IFERROR(__xludf.DUMMYFUNCTION("""COMPUTED_VALUE"""),"연금저축")</f>
        <v>연금저축</v>
      </c>
      <c r="AF122" s="214"/>
      <c r="AG122" s="214"/>
      <c r="AH122" s="214"/>
      <c r="AI122" s="214"/>
      <c r="AJ122" s="215"/>
    </row>
    <row r="123">
      <c r="H123" s="208">
        <v>45863.0</v>
      </c>
      <c r="I123" s="217" t="s">
        <v>21</v>
      </c>
      <c r="J123" s="217" t="s">
        <v>20</v>
      </c>
      <c r="K123" s="218">
        <v>20000.0</v>
      </c>
      <c r="L123" s="211" t="s">
        <v>62</v>
      </c>
      <c r="M123" s="143"/>
      <c r="N123" s="211" t="s">
        <v>276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IFERROR(__xludf.DUMMYFUNCTION("FILTER('설정시트'!$D$7:$L$20,'설정시트'!$C$7:$C$20=I123)"),"관리비")</f>
        <v>관리비</v>
      </c>
      <c r="AC123" s="214" t="str">
        <f>IFERROR(__xludf.DUMMYFUNCTION("""COMPUTED_VALUE"""),"대출이자")</f>
        <v>대출이자</v>
      </c>
      <c r="AD123" s="214" t="str">
        <f>IFERROR(__xludf.DUMMYFUNCTION("""COMPUTED_VALUE"""),"통신비")</f>
        <v>통신비</v>
      </c>
      <c r="AE123" s="214" t="str">
        <f>IFERROR(__xludf.DUMMYFUNCTION("""COMPUTED_VALUE"""),"보험료")</f>
        <v>보험료</v>
      </c>
      <c r="AF123" s="214" t="str">
        <f>IFERROR(__xludf.DUMMYFUNCTION("""COMPUTED_VALUE"""),"곗돈")</f>
        <v>곗돈</v>
      </c>
      <c r="AG123" s="214"/>
      <c r="AH123" s="214"/>
      <c r="AI123" s="214"/>
      <c r="AJ123" s="215"/>
    </row>
    <row r="124">
      <c r="H124" s="208">
        <v>45863.0</v>
      </c>
      <c r="I124" s="217" t="s">
        <v>26</v>
      </c>
      <c r="J124" s="217" t="s">
        <v>29</v>
      </c>
      <c r="K124" s="218">
        <v>3900.0</v>
      </c>
      <c r="L124" s="211" t="s">
        <v>64</v>
      </c>
      <c r="M124" s="143"/>
      <c r="N124" s="211" t="s">
        <v>751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45863.0</v>
      </c>
      <c r="I125" s="217" t="s">
        <v>21</v>
      </c>
      <c r="J125" s="217" t="s">
        <v>15</v>
      </c>
      <c r="K125" s="218">
        <v>227050.0</v>
      </c>
      <c r="L125" s="211" t="s">
        <v>64</v>
      </c>
      <c r="M125" s="143"/>
      <c r="N125" s="211" t="s">
        <v>752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IFERROR(__xludf.DUMMYFUNCTION("FILTER('설정시트'!$D$7:$L$20,'설정시트'!$C$7:$C$20=I125)"),"관리비")</f>
        <v>관리비</v>
      </c>
      <c r="AC125" s="214" t="str">
        <f>IFERROR(__xludf.DUMMYFUNCTION("""COMPUTED_VALUE"""),"대출이자")</f>
        <v>대출이자</v>
      </c>
      <c r="AD125" s="214" t="str">
        <f>IFERROR(__xludf.DUMMYFUNCTION("""COMPUTED_VALUE"""),"통신비")</f>
        <v>통신비</v>
      </c>
      <c r="AE125" s="214" t="str">
        <f>IFERROR(__xludf.DUMMYFUNCTION("""COMPUTED_VALUE"""),"보험료")</f>
        <v>보험료</v>
      </c>
      <c r="AF125" s="214" t="str">
        <f>IFERROR(__xludf.DUMMYFUNCTION("""COMPUTED_VALUE"""),"곗돈")</f>
        <v>곗돈</v>
      </c>
      <c r="AG125" s="214"/>
      <c r="AH125" s="214"/>
      <c r="AI125" s="214"/>
      <c r="AJ125" s="215"/>
    </row>
    <row r="126">
      <c r="H126" s="208">
        <v>45863.0</v>
      </c>
      <c r="I126" s="217" t="s">
        <v>21</v>
      </c>
      <c r="J126" s="217" t="s">
        <v>19</v>
      </c>
      <c r="K126" s="218">
        <v>88010.0</v>
      </c>
      <c r="L126" s="211" t="s">
        <v>62</v>
      </c>
      <c r="M126" s="143"/>
      <c r="N126" s="211" t="s">
        <v>496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IFERROR(__xludf.DUMMYFUNCTION("FILTER('설정시트'!$D$7:$L$20,'설정시트'!$C$7:$C$20=I126)"),"관리비")</f>
        <v>관리비</v>
      </c>
      <c r="AC126" s="214" t="str">
        <f>IFERROR(__xludf.DUMMYFUNCTION("""COMPUTED_VALUE"""),"대출이자")</f>
        <v>대출이자</v>
      </c>
      <c r="AD126" s="214" t="str">
        <f>IFERROR(__xludf.DUMMYFUNCTION("""COMPUTED_VALUE"""),"통신비")</f>
        <v>통신비</v>
      </c>
      <c r="AE126" s="214" t="str">
        <f>IFERROR(__xludf.DUMMYFUNCTION("""COMPUTED_VALUE"""),"보험료")</f>
        <v>보험료</v>
      </c>
      <c r="AF126" s="214" t="str">
        <f>IFERROR(__xludf.DUMMYFUNCTION("""COMPUTED_VALUE"""),"곗돈")</f>
        <v>곗돈</v>
      </c>
      <c r="AG126" s="214"/>
      <c r="AH126" s="214"/>
      <c r="AI126" s="214"/>
      <c r="AJ126" s="215"/>
    </row>
    <row r="127">
      <c r="H127" s="208">
        <v>45864.0</v>
      </c>
      <c r="I127" s="217" t="s">
        <v>31</v>
      </c>
      <c r="J127" s="217" t="s">
        <v>30</v>
      </c>
      <c r="K127" s="218">
        <v>4000.0</v>
      </c>
      <c r="L127" s="211" t="s">
        <v>64</v>
      </c>
      <c r="M127" s="143"/>
      <c r="N127" s="211" t="s">
        <v>753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IFERROR(__xludf.DUMMYFUNCTION("FILTER('설정시트'!$D$7:$L$20,'설정시트'!$C$7:$C$20=I127)"),"식재료비")</f>
        <v>식재료비</v>
      </c>
      <c r="AC127" s="214" t="str">
        <f>IFERROR(__xludf.DUMMYFUNCTION("""COMPUTED_VALUE"""),"회사점심")</f>
        <v>회사점심</v>
      </c>
      <c r="AD127" s="214" t="str">
        <f>IFERROR(__xludf.DUMMYFUNCTION("""COMPUTED_VALUE"""),"간식/카페")</f>
        <v>간식/카페</v>
      </c>
      <c r="AE127" s="214" t="str">
        <f>IFERROR(__xludf.DUMMYFUNCTION("""COMPUTED_VALUE"""),"외식/배달")</f>
        <v>외식/배달</v>
      </c>
      <c r="AF127" s="214" t="str">
        <f>IFERROR(__xludf.DUMMYFUNCTION("""COMPUTED_VALUE"""),"기타")</f>
        <v>기타</v>
      </c>
      <c r="AG127" s="214"/>
      <c r="AH127" s="214"/>
      <c r="AI127" s="214"/>
      <c r="AJ127" s="215"/>
    </row>
    <row r="128">
      <c r="H128" s="208">
        <v>45866.0</v>
      </c>
      <c r="I128" s="217" t="s">
        <v>31</v>
      </c>
      <c r="J128" s="217" t="s">
        <v>29</v>
      </c>
      <c r="K128" s="218">
        <v>1200.0</v>
      </c>
      <c r="L128" s="211" t="s">
        <v>61</v>
      </c>
      <c r="M128" s="143"/>
      <c r="N128" s="211" t="s">
        <v>748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IFERROR(__xludf.DUMMYFUNCTION("FILTER('설정시트'!$D$7:$L$20,'설정시트'!$C$7:$C$20=I128)"),"식재료비")</f>
        <v>식재료비</v>
      </c>
      <c r="AC128" s="214" t="str">
        <f>IFERROR(__xludf.DUMMYFUNCTION("""COMPUTED_VALUE"""),"회사점심")</f>
        <v>회사점심</v>
      </c>
      <c r="AD128" s="214" t="str">
        <f>IFERROR(__xludf.DUMMYFUNCTION("""COMPUTED_VALUE"""),"간식/카페")</f>
        <v>간식/카페</v>
      </c>
      <c r="AE128" s="214" t="str">
        <f>IFERROR(__xludf.DUMMYFUNCTION("""COMPUTED_VALUE"""),"외식/배달")</f>
        <v>외식/배달</v>
      </c>
      <c r="AF128" s="214" t="str">
        <f>IFERROR(__xludf.DUMMYFUNCTION("""COMPUTED_VALUE"""),"기타")</f>
        <v>기타</v>
      </c>
      <c r="AG128" s="214"/>
      <c r="AH128" s="214"/>
      <c r="AI128" s="214"/>
      <c r="AJ128" s="215"/>
    </row>
    <row r="129">
      <c r="H129" s="208">
        <v>45866.0</v>
      </c>
      <c r="I129" s="217" t="s">
        <v>46</v>
      </c>
      <c r="J129" s="217" t="s">
        <v>8</v>
      </c>
      <c r="K129" s="218">
        <v>269000.0</v>
      </c>
      <c r="L129" s="211" t="s">
        <v>64</v>
      </c>
      <c r="M129" s="143"/>
      <c r="N129" s="211" t="s">
        <v>754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IFERROR(__xludf.DUMMYFUNCTION("FILTER('설정시트'!$D$7:$L$20,'설정시트'!$C$7:$C$20=I129)"),"축의/부의금")</f>
        <v>축의/부의금</v>
      </c>
      <c r="AC129" s="214" t="str">
        <f>IFERROR(__xludf.DUMMYFUNCTION("""COMPUTED_VALUE"""),"생신/생일선물")</f>
        <v>생신/생일선물</v>
      </c>
      <c r="AD129" s="214" t="str">
        <f>IFERROR(__xludf.DUMMYFUNCTION("""COMPUTED_VALUE"""),"명절/어버이날")</f>
        <v>명절/어버이날</v>
      </c>
      <c r="AE129" s="214" t="str">
        <f>IFERROR(__xludf.DUMMYFUNCTION("""COMPUTED_VALUE"""),"여행")</f>
        <v>여행</v>
      </c>
      <c r="AF129" s="214" t="str">
        <f>IFERROR(__xludf.DUMMYFUNCTION("""COMPUTED_VALUE"""),"기타")</f>
        <v>기타</v>
      </c>
      <c r="AG129" s="214" t="str">
        <f>IFERROR(__xludf.DUMMYFUNCTION("""COMPUTED_VALUE"""),"출산")</f>
        <v>출산</v>
      </c>
      <c r="AH129" s="214"/>
      <c r="AI129" s="214"/>
      <c r="AJ129" s="215"/>
    </row>
    <row r="130">
      <c r="H130" s="208">
        <v>45867.0</v>
      </c>
      <c r="I130" s="217" t="s">
        <v>25</v>
      </c>
      <c r="J130" s="217" t="s">
        <v>8</v>
      </c>
      <c r="K130" s="218">
        <v>15000.0</v>
      </c>
      <c r="L130" s="211" t="s">
        <v>64</v>
      </c>
      <c r="M130" s="143"/>
      <c r="N130" s="211" t="s">
        <v>755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IFERROR(__xludf.DUMMYFUNCTION("FILTER('설정시트'!$D$7:$L$20,'설정시트'!$C$7:$C$20=I130)"),"주방/욕실")</f>
        <v>주방/욕실</v>
      </c>
      <c r="AC130" s="214" t="str">
        <f>IFERROR(__xludf.DUMMYFUNCTION("""COMPUTED_VALUE"""),"소모품")</f>
        <v>소모품</v>
      </c>
      <c r="AD130" s="214" t="str">
        <f>IFERROR(__xludf.DUMMYFUNCTION("""COMPUTED_VALUE"""),"기타")</f>
        <v>기타</v>
      </c>
      <c r="AE130" s="214"/>
      <c r="AF130" s="214"/>
      <c r="AG130" s="214"/>
      <c r="AH130" s="214"/>
      <c r="AI130" s="214"/>
      <c r="AJ130" s="215"/>
    </row>
    <row r="131">
      <c r="H131" s="208">
        <v>45868.0</v>
      </c>
      <c r="I131" s="217" t="s">
        <v>38</v>
      </c>
      <c r="J131" s="217" t="s">
        <v>37</v>
      </c>
      <c r="K131" s="218">
        <v>104500.0</v>
      </c>
      <c r="L131" s="211" t="s">
        <v>64</v>
      </c>
      <c r="M131" s="143"/>
      <c r="N131" s="211" t="s">
        <v>553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IFERROR(__xludf.DUMMYFUNCTION("FILTER('설정시트'!$D$7:$L$20,'설정시트'!$C$7:$C$20=I131)"),"의류/잡화")</f>
        <v>의류/잡화</v>
      </c>
      <c r="AC131" s="214" t="str">
        <f>IFERROR(__xludf.DUMMYFUNCTION("""COMPUTED_VALUE"""),"OTT")</f>
        <v>OTT</v>
      </c>
      <c r="AD131" s="214" t="str">
        <f>IFERROR(__xludf.DUMMYFUNCTION("""COMPUTED_VALUE"""),"문화생활")</f>
        <v>문화생활</v>
      </c>
      <c r="AE131" s="214" t="str">
        <f>IFERROR(__xludf.DUMMYFUNCTION("""COMPUTED_VALUE"""),"자기계발")</f>
        <v>자기계발</v>
      </c>
      <c r="AF131" s="214" t="str">
        <f>IFERROR(__xludf.DUMMYFUNCTION("""COMPUTED_VALUE"""),"미용")</f>
        <v>미용</v>
      </c>
      <c r="AG131" s="214"/>
      <c r="AH131" s="214" t="str">
        <f>IFERROR(__xludf.DUMMYFUNCTION("""COMPUTED_VALUE"""),"기타")</f>
        <v>기타</v>
      </c>
      <c r="AI131" s="214"/>
      <c r="AJ131" s="215"/>
    </row>
    <row r="132">
      <c r="H132" s="208">
        <v>45868.0</v>
      </c>
      <c r="I132" s="217" t="s">
        <v>31</v>
      </c>
      <c r="J132" s="217" t="s">
        <v>8</v>
      </c>
      <c r="K132" s="218">
        <v>20000.0</v>
      </c>
      <c r="L132" s="211" t="s">
        <v>64</v>
      </c>
      <c r="M132" s="143"/>
      <c r="N132" s="211" t="s">
        <v>756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IFERROR(__xludf.DUMMYFUNCTION("FILTER('설정시트'!$D$7:$L$20,'설정시트'!$C$7:$C$20=I132)"),"식재료비")</f>
        <v>식재료비</v>
      </c>
      <c r="AC132" s="214" t="str">
        <f>IFERROR(__xludf.DUMMYFUNCTION("""COMPUTED_VALUE"""),"회사점심")</f>
        <v>회사점심</v>
      </c>
      <c r="AD132" s="214" t="str">
        <f>IFERROR(__xludf.DUMMYFUNCTION("""COMPUTED_VALUE"""),"간식/카페")</f>
        <v>간식/카페</v>
      </c>
      <c r="AE132" s="214" t="str">
        <f>IFERROR(__xludf.DUMMYFUNCTION("""COMPUTED_VALUE"""),"외식/배달")</f>
        <v>외식/배달</v>
      </c>
      <c r="AF132" s="214" t="str">
        <f>IFERROR(__xludf.DUMMYFUNCTION("""COMPUTED_VALUE"""),"기타")</f>
        <v>기타</v>
      </c>
      <c r="AG132" s="214"/>
      <c r="AH132" s="214"/>
      <c r="AI132" s="214"/>
      <c r="AJ132" s="215"/>
    </row>
    <row r="133">
      <c r="H133" s="208">
        <v>45869.0</v>
      </c>
      <c r="I133" s="217" t="s">
        <v>45</v>
      </c>
      <c r="J133" s="217" t="s">
        <v>43</v>
      </c>
      <c r="K133" s="218">
        <v>3000.0</v>
      </c>
      <c r="L133" s="211" t="s">
        <v>64</v>
      </c>
      <c r="M133" s="143"/>
      <c r="N133" s="211" t="s">
        <v>757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IFERROR(__xludf.DUMMYFUNCTION("FILTER('설정시트'!$D$7:$L$20,'설정시트'!$C$7:$C$20=I133)"),"약국")</f>
        <v>약국</v>
      </c>
      <c r="AC133" s="214" t="str">
        <f>IFERROR(__xludf.DUMMYFUNCTION("""COMPUTED_VALUE"""),"병원비")</f>
        <v>병원비</v>
      </c>
      <c r="AD133" s="214" t="str">
        <f>IFERROR(__xludf.DUMMYFUNCTION("""COMPUTED_VALUE"""),"영양제")</f>
        <v>영양제</v>
      </c>
      <c r="AE133" s="214" t="str">
        <f>IFERROR(__xludf.DUMMYFUNCTION("""COMPUTED_VALUE"""),"교통비")</f>
        <v>교통비</v>
      </c>
      <c r="AF133" s="214" t="str">
        <f>IFERROR(__xludf.DUMMYFUNCTION("""COMPUTED_VALUE"""),"주유비")</f>
        <v>주유비</v>
      </c>
      <c r="AG133" s="214"/>
      <c r="AH133" s="214" t="str">
        <f>IFERROR(__xludf.DUMMYFUNCTION("""COMPUTED_VALUE"""),"기타")</f>
        <v>기타</v>
      </c>
      <c r="AI133" s="214"/>
      <c r="AJ133" s="215"/>
    </row>
    <row r="134">
      <c r="H134" s="208">
        <v>45869.0</v>
      </c>
      <c r="I134" s="217" t="s">
        <v>45</v>
      </c>
      <c r="J134" s="217" t="s">
        <v>43</v>
      </c>
      <c r="K134" s="218">
        <v>5000.0</v>
      </c>
      <c r="L134" s="211" t="s">
        <v>64</v>
      </c>
      <c r="M134" s="143"/>
      <c r="N134" s="211" t="s">
        <v>758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IFERROR(__xludf.DUMMYFUNCTION("FILTER('설정시트'!$D$7:$L$20,'설정시트'!$C$7:$C$20=I134)"),"약국")</f>
        <v>약국</v>
      </c>
      <c r="AC134" s="214" t="str">
        <f>IFERROR(__xludf.DUMMYFUNCTION("""COMPUTED_VALUE"""),"병원비")</f>
        <v>병원비</v>
      </c>
      <c r="AD134" s="214" t="str">
        <f>IFERROR(__xludf.DUMMYFUNCTION("""COMPUTED_VALUE"""),"영양제")</f>
        <v>영양제</v>
      </c>
      <c r="AE134" s="214" t="str">
        <f>IFERROR(__xludf.DUMMYFUNCTION("""COMPUTED_VALUE"""),"교통비")</f>
        <v>교통비</v>
      </c>
      <c r="AF134" s="214" t="str">
        <f>IFERROR(__xludf.DUMMYFUNCTION("""COMPUTED_VALUE"""),"주유비")</f>
        <v>주유비</v>
      </c>
      <c r="AG134" s="214"/>
      <c r="AH134" s="214" t="str">
        <f>IFERROR(__xludf.DUMMYFUNCTION("""COMPUTED_VALUE"""),"기타")</f>
        <v>기타</v>
      </c>
      <c r="AI134" s="214"/>
      <c r="AJ134" s="215"/>
    </row>
    <row r="135">
      <c r="H135" s="208">
        <v>45869.0</v>
      </c>
      <c r="I135" s="217" t="s">
        <v>38</v>
      </c>
      <c r="J135" s="217" t="s">
        <v>34</v>
      </c>
      <c r="K135" s="218">
        <v>7890.0</v>
      </c>
      <c r="L135" s="211" t="s">
        <v>64</v>
      </c>
      <c r="M135" s="143"/>
      <c r="N135" s="211" t="s">
        <v>759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IFERROR(__xludf.DUMMYFUNCTION("FILTER('설정시트'!$D$7:$L$20,'설정시트'!$C$7:$C$20=I135)"),"의류/잡화")</f>
        <v>의류/잡화</v>
      </c>
      <c r="AC135" s="214" t="str">
        <f>IFERROR(__xludf.DUMMYFUNCTION("""COMPUTED_VALUE"""),"OTT")</f>
        <v>OTT</v>
      </c>
      <c r="AD135" s="214" t="str">
        <f>IFERROR(__xludf.DUMMYFUNCTION("""COMPUTED_VALUE"""),"문화생활")</f>
        <v>문화생활</v>
      </c>
      <c r="AE135" s="214" t="str">
        <f>IFERROR(__xludf.DUMMYFUNCTION("""COMPUTED_VALUE"""),"자기계발")</f>
        <v>자기계발</v>
      </c>
      <c r="AF135" s="214" t="str">
        <f>IFERROR(__xludf.DUMMYFUNCTION("""COMPUTED_VALUE"""),"미용")</f>
        <v>미용</v>
      </c>
      <c r="AG135" s="214"/>
      <c r="AH135" s="214" t="str">
        <f>IFERROR(__xludf.DUMMYFUNCTION("""COMPUTED_VALUE"""),"기타")</f>
        <v>기타</v>
      </c>
      <c r="AI135" s="214"/>
      <c r="AJ135" s="215"/>
    </row>
    <row r="136">
      <c r="H136" s="208"/>
      <c r="I136" s="217"/>
      <c r="J136" s="217"/>
      <c r="K136" s="218"/>
      <c r="L136" s="211"/>
      <c r="M136" s="143"/>
      <c r="N136" s="213"/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IFERROR(__xludf.DUMMYFUNCTION("FILTER('설정시트'!$D$7:$L$20,'설정시트'!$C$7:$C$20=I136)"),"#N/A")</f>
        <v>#N/A</v>
      </c>
      <c r="AC136" s="214"/>
      <c r="AD136" s="214"/>
      <c r="AE136" s="214"/>
      <c r="AF136" s="214"/>
      <c r="AG136" s="214"/>
      <c r="AH136" s="214"/>
      <c r="AI136" s="214"/>
    </row>
    <row r="137">
      <c r="H137" s="208"/>
      <c r="I137" s="217"/>
      <c r="J137" s="217"/>
      <c r="K137" s="218"/>
      <c r="L137" s="211"/>
      <c r="M137" s="143"/>
      <c r="N137" s="213"/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IFERROR(__xludf.DUMMYFUNCTION("FILTER('설정시트'!$D$7:$L$20,'설정시트'!$C$7:$C$20=I137)"),"#N/A")</f>
        <v>#N/A</v>
      </c>
      <c r="AC137" s="214"/>
      <c r="AD137" s="214"/>
      <c r="AE137" s="214"/>
      <c r="AF137" s="214"/>
      <c r="AG137" s="214"/>
      <c r="AH137" s="214"/>
      <c r="AI137" s="214"/>
    </row>
    <row r="138">
      <c r="H138" s="208"/>
      <c r="I138" s="217"/>
      <c r="J138" s="217"/>
      <c r="K138" s="218"/>
      <c r="L138" s="211"/>
      <c r="M138" s="143"/>
      <c r="N138" s="213"/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IFERROR(__xludf.DUMMYFUNCTION("FILTER('설정시트'!$D$7:$L$20,'설정시트'!$C$7:$C$20=I138)"),"#N/A")</f>
        <v>#N/A</v>
      </c>
      <c r="AC138" s="214"/>
      <c r="AD138" s="214"/>
      <c r="AE138" s="214"/>
      <c r="AF138" s="214"/>
      <c r="AG138" s="214"/>
      <c r="AH138" s="214"/>
      <c r="AI138" s="214"/>
    </row>
    <row r="139">
      <c r="H139" s="208"/>
      <c r="I139" s="217"/>
      <c r="J139" s="217"/>
      <c r="K139" s="218"/>
      <c r="L139" s="211"/>
      <c r="M139" s="143"/>
      <c r="N139" s="213"/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IFERROR(__xludf.DUMMYFUNCTION("FILTER('설정시트'!$D$7:$L$20,'설정시트'!$C$7:$C$20=I139)"),"#N/A")</f>
        <v>#N/A</v>
      </c>
      <c r="AC139" s="214"/>
      <c r="AD139" s="214"/>
      <c r="AE139" s="214"/>
      <c r="AF139" s="214"/>
      <c r="AG139" s="214"/>
      <c r="AH139" s="214"/>
      <c r="AI139" s="214"/>
    </row>
    <row r="140">
      <c r="H140" s="208"/>
      <c r="I140" s="217"/>
      <c r="J140" s="217"/>
      <c r="K140" s="218"/>
      <c r="L140" s="211"/>
      <c r="M140" s="143"/>
      <c r="N140" s="213"/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IFERROR(__xludf.DUMMYFUNCTION("FILTER('설정시트'!$D$7:$L$20,'설정시트'!$C$7:$C$20=I140)"),"#N/A")</f>
        <v>#N/A</v>
      </c>
      <c r="AC140" s="214"/>
      <c r="AD140" s="214"/>
      <c r="AE140" s="214"/>
      <c r="AF140" s="214"/>
      <c r="AG140" s="214"/>
      <c r="AH140" s="214"/>
      <c r="AI140" s="214"/>
    </row>
    <row r="141">
      <c r="H141" s="208"/>
      <c r="I141" s="217"/>
      <c r="J141" s="217"/>
      <c r="K141" s="218"/>
      <c r="L141" s="211"/>
      <c r="M141" s="143"/>
      <c r="N141" s="213"/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IFERROR(__xludf.DUMMYFUNCTION("FILTER('설정시트'!$D$7:$L$20,'설정시트'!$C$7:$C$20=I141)"),"#N/A")</f>
        <v>#N/A</v>
      </c>
      <c r="AC141" s="214"/>
      <c r="AD141" s="214"/>
      <c r="AE141" s="214"/>
      <c r="AF141" s="214"/>
      <c r="AG141" s="214"/>
      <c r="AH141" s="214"/>
      <c r="AI141" s="214"/>
    </row>
    <row r="142">
      <c r="H142" s="208"/>
      <c r="I142" s="217"/>
      <c r="J142" s="217"/>
      <c r="K142" s="218"/>
      <c r="L142" s="211"/>
      <c r="M142" s="143"/>
      <c r="N142" s="213"/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IFERROR(__xludf.DUMMYFUNCTION("FILTER('설정시트'!$D$7:$L$20,'설정시트'!$C$7:$C$20=I142)"),"#N/A")</f>
        <v>#N/A</v>
      </c>
      <c r="AC142" s="214"/>
      <c r="AD142" s="214"/>
      <c r="AE142" s="214"/>
      <c r="AF142" s="214"/>
      <c r="AG142" s="214"/>
      <c r="AH142" s="214"/>
      <c r="AI142" s="214"/>
    </row>
    <row r="143">
      <c r="H143" s="208"/>
      <c r="I143" s="217"/>
      <c r="J143" s="217"/>
      <c r="K143" s="218"/>
      <c r="L143" s="211"/>
      <c r="M143" s="143"/>
      <c r="N143" s="213"/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IFERROR(__xludf.DUMMYFUNCTION("FILTER('설정시트'!$D$7:$L$20,'설정시트'!$C$7:$C$20=I143)"),"#N/A")</f>
        <v>#N/A</v>
      </c>
      <c r="AC143" s="214"/>
      <c r="AD143" s="214"/>
      <c r="AE143" s="214"/>
      <c r="AF143" s="214"/>
      <c r="AG143" s="214"/>
      <c r="AH143" s="214"/>
      <c r="AI143" s="214"/>
    </row>
    <row r="144">
      <c r="H144" s="208"/>
      <c r="I144" s="217"/>
      <c r="J144" s="217"/>
      <c r="K144" s="218"/>
      <c r="L144" s="211"/>
      <c r="M144" s="143"/>
      <c r="N144" s="213"/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IFERROR(__xludf.DUMMYFUNCTION("FILTER('설정시트'!$D$7:$L$20,'설정시트'!$C$7:$C$20=I144)"),"#N/A")</f>
        <v>#N/A</v>
      </c>
      <c r="AC144" s="214"/>
      <c r="AD144" s="214"/>
      <c r="AE144" s="214"/>
      <c r="AF144" s="214"/>
      <c r="AG144" s="214"/>
      <c r="AH144" s="214"/>
      <c r="AI144" s="214"/>
    </row>
    <row r="145">
      <c r="H145" s="208"/>
      <c r="I145" s="217"/>
      <c r="J145" s="217"/>
      <c r="K145" s="218"/>
      <c r="L145" s="211"/>
      <c r="M145" s="143"/>
      <c r="N145" s="213"/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IFERROR(__xludf.DUMMYFUNCTION("FILTER('설정시트'!$D$7:$L$20,'설정시트'!$C$7:$C$20=I145)"),"#N/A")</f>
        <v>#N/A</v>
      </c>
      <c r="AC145" s="214"/>
      <c r="AD145" s="214"/>
      <c r="AE145" s="214"/>
      <c r="AF145" s="214"/>
      <c r="AG145" s="214"/>
      <c r="AH145" s="214"/>
      <c r="AI145" s="214"/>
    </row>
    <row r="146">
      <c r="H146" s="208"/>
      <c r="I146" s="217"/>
      <c r="J146" s="217"/>
      <c r="K146" s="218"/>
      <c r="L146" s="211"/>
      <c r="M146" s="143"/>
      <c r="N146" s="213"/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IFERROR(__xludf.DUMMYFUNCTION("FILTER('설정시트'!$D$7:$L$20,'설정시트'!$C$7:$C$20=I146)"),"#N/A")</f>
        <v>#N/A</v>
      </c>
      <c r="AC146" s="214"/>
      <c r="AD146" s="214"/>
      <c r="AE146" s="214"/>
      <c r="AF146" s="214"/>
      <c r="AG146" s="214"/>
      <c r="AH146" s="214"/>
      <c r="AI146" s="214"/>
    </row>
    <row r="147">
      <c r="H147" s="208"/>
      <c r="I147" s="217"/>
      <c r="J147" s="217"/>
      <c r="K147" s="218"/>
      <c r="L147" s="211"/>
      <c r="M147" s="143"/>
      <c r="N147" s="213"/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IFERROR(__xludf.DUMMYFUNCTION("FILTER('설정시트'!$D$7:$L$20,'설정시트'!$C$7:$C$20=I147)"),"#N/A")</f>
        <v>#N/A</v>
      </c>
      <c r="AC147" s="214"/>
      <c r="AD147" s="214"/>
      <c r="AE147" s="214"/>
      <c r="AF147" s="214"/>
      <c r="AG147" s="214"/>
      <c r="AH147" s="214"/>
      <c r="AI147" s="214"/>
    </row>
    <row r="148">
      <c r="H148" s="208"/>
      <c r="I148" s="217"/>
      <c r="J148" s="217"/>
      <c r="K148" s="218"/>
      <c r="L148" s="211"/>
      <c r="M148" s="143"/>
      <c r="N148" s="213"/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IFERROR(__xludf.DUMMYFUNCTION("FILTER('설정시트'!$D$7:$L$20,'설정시트'!$C$7:$C$20=I148)"),"#N/A")</f>
        <v>#N/A</v>
      </c>
      <c r="AC148" s="214"/>
      <c r="AD148" s="214"/>
      <c r="AE148" s="214"/>
      <c r="AF148" s="214"/>
      <c r="AG148" s="214"/>
      <c r="AH148" s="214"/>
      <c r="AI148" s="214"/>
    </row>
    <row r="149">
      <c r="H149" s="208"/>
      <c r="I149" s="217"/>
      <c r="J149" s="217"/>
      <c r="K149" s="218"/>
      <c r="L149" s="211"/>
      <c r="M149" s="143"/>
      <c r="N149" s="213"/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IFERROR(__xludf.DUMMYFUNCTION("FILTER('설정시트'!$D$7:$L$20,'설정시트'!$C$7:$C$20=I149)"),"#N/A")</f>
        <v>#N/A</v>
      </c>
      <c r="AC149" s="214"/>
      <c r="AD149" s="214"/>
      <c r="AE149" s="214"/>
      <c r="AF149" s="214"/>
      <c r="AG149" s="214"/>
      <c r="AH149" s="214"/>
      <c r="AI149" s="214"/>
    </row>
    <row r="150">
      <c r="H150" s="221"/>
      <c r="I150" s="217"/>
      <c r="J150" s="217"/>
      <c r="K150" s="218"/>
      <c r="L150" s="211"/>
      <c r="M150" s="143"/>
      <c r="N150" s="213"/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IFERROR(__xludf.DUMMYFUNCTION("FILTER('설정시트'!$D$7:$L$20,'설정시트'!$C$7:$C$20=I150)"),"#N/A")</f>
        <v>#N/A</v>
      </c>
      <c r="AC150" s="214"/>
      <c r="AD150" s="214"/>
      <c r="AE150" s="214"/>
      <c r="AF150" s="214"/>
      <c r="AG150" s="214"/>
      <c r="AH150" s="214"/>
      <c r="AI150" s="214"/>
    </row>
    <row r="151">
      <c r="H151" s="221"/>
      <c r="I151" s="222"/>
      <c r="J151" s="217"/>
      <c r="K151" s="220"/>
      <c r="L151" s="213"/>
      <c r="M151" s="143"/>
      <c r="N151" s="213"/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IFERROR(__xludf.DUMMYFUNCTION("FILTER('설정시트'!$D$7:$L$20,'설정시트'!$C$7:$C$20=I151)"),"#N/A")</f>
        <v>#N/A</v>
      </c>
      <c r="AC151" s="214"/>
      <c r="AD151" s="214"/>
      <c r="AE151" s="214"/>
      <c r="AF151" s="214"/>
      <c r="AG151" s="214"/>
      <c r="AH151" s="214"/>
      <c r="AI151" s="214"/>
    </row>
    <row r="152">
      <c r="H152" s="221"/>
      <c r="I152" s="222"/>
      <c r="J152" s="217"/>
      <c r="K152" s="220"/>
      <c r="L152" s="213"/>
      <c r="M152" s="143"/>
      <c r="N152" s="213"/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IFERROR(__xludf.DUMMYFUNCTION("FILTER('설정시트'!$D$7:$L$20,'설정시트'!$C$7:$C$20=I152)"),"#N/A")</f>
        <v>#N/A</v>
      </c>
      <c r="AC152" s="214"/>
      <c r="AD152" s="214"/>
      <c r="AE152" s="214"/>
      <c r="AF152" s="214"/>
      <c r="AG152" s="214"/>
      <c r="AH152" s="214"/>
      <c r="AI152" s="214"/>
    </row>
    <row r="153">
      <c r="H153" s="221"/>
      <c r="I153" s="222"/>
      <c r="J153" s="217"/>
      <c r="K153" s="220"/>
      <c r="L153" s="213"/>
      <c r="M153" s="143"/>
      <c r="N153" s="213"/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IFERROR(__xludf.DUMMYFUNCTION("FILTER('설정시트'!$D$7:$L$20,'설정시트'!$C$7:$C$20=I153)"),"#N/A")</f>
        <v>#N/A</v>
      </c>
      <c r="AC153" s="214"/>
      <c r="AD153" s="214"/>
      <c r="AE153" s="214"/>
      <c r="AF153" s="214"/>
      <c r="AG153" s="214"/>
      <c r="AH153" s="214"/>
      <c r="AI153" s="214"/>
    </row>
    <row r="154">
      <c r="H154" s="221"/>
      <c r="I154" s="222"/>
      <c r="J154" s="217"/>
      <c r="K154" s="220"/>
      <c r="L154" s="213"/>
      <c r="M154" s="143"/>
      <c r="N154" s="213"/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IFERROR(__xludf.DUMMYFUNCTION("FILTER('설정시트'!$D$7:$L$20,'설정시트'!$C$7:$C$20=I154)"),"#N/A")</f>
        <v>#N/A</v>
      </c>
      <c r="AC154" s="214"/>
      <c r="AD154" s="214"/>
      <c r="AE154" s="214"/>
      <c r="AF154" s="214"/>
      <c r="AG154" s="214"/>
      <c r="AH154" s="214"/>
      <c r="AI154" s="214"/>
    </row>
    <row r="155">
      <c r="H155" s="221"/>
      <c r="I155" s="222"/>
      <c r="J155" s="217"/>
      <c r="K155" s="220"/>
      <c r="L155" s="213"/>
      <c r="M155" s="143"/>
      <c r="N155" s="213"/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IFERROR(__xludf.DUMMYFUNCTION("FILTER('설정시트'!$D$7:$L$20,'설정시트'!$C$7:$C$20=I155)"),"#N/A")</f>
        <v>#N/A</v>
      </c>
      <c r="AC155" s="214"/>
      <c r="AD155" s="214"/>
      <c r="AE155" s="214"/>
      <c r="AF155" s="214"/>
      <c r="AG155" s="214"/>
      <c r="AH155" s="214"/>
      <c r="AI155" s="214"/>
    </row>
    <row r="156">
      <c r="H156" s="221"/>
      <c r="I156" s="222"/>
      <c r="J156" s="217"/>
      <c r="K156" s="220"/>
      <c r="L156" s="213"/>
      <c r="M156" s="143"/>
      <c r="N156" s="213"/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IFERROR(__xludf.DUMMYFUNCTION("FILTER('설정시트'!$D$7:$L$20,'설정시트'!$C$7:$C$20=I156)"),"#N/A")</f>
        <v>#N/A</v>
      </c>
      <c r="AC156" s="214"/>
      <c r="AD156" s="214"/>
      <c r="AE156" s="214"/>
      <c r="AF156" s="214"/>
      <c r="AG156" s="214"/>
      <c r="AH156" s="214"/>
      <c r="AI156" s="214"/>
    </row>
    <row r="157">
      <c r="H157" s="221"/>
      <c r="I157" s="222"/>
      <c r="J157" s="217"/>
      <c r="K157" s="220"/>
      <c r="L157" s="213"/>
      <c r="M157" s="143"/>
      <c r="N157" s="213"/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IFERROR(__xludf.DUMMYFUNCTION("FILTER('설정시트'!$D$7:$L$20,'설정시트'!$C$7:$C$20=I157)"),"#N/A")</f>
        <v>#N/A</v>
      </c>
      <c r="AC157" s="214"/>
      <c r="AD157" s="214"/>
      <c r="AE157" s="214"/>
      <c r="AF157" s="214"/>
      <c r="AG157" s="214"/>
      <c r="AH157" s="214"/>
      <c r="AI157" s="214"/>
    </row>
    <row r="158">
      <c r="H158" s="221"/>
      <c r="I158" s="222"/>
      <c r="J158" s="217"/>
      <c r="K158" s="220"/>
      <c r="L158" s="213"/>
      <c r="M158" s="143"/>
      <c r="N158" s="213"/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IFERROR(__xludf.DUMMYFUNCTION("FILTER('설정시트'!$D$7:$L$20,'설정시트'!$C$7:$C$20=I158)"),"#N/A")</f>
        <v>#N/A</v>
      </c>
      <c r="AC158" s="214"/>
      <c r="AD158" s="214"/>
      <c r="AE158" s="214"/>
      <c r="AF158" s="214"/>
      <c r="AG158" s="214"/>
      <c r="AH158" s="214"/>
      <c r="AI158" s="214"/>
    </row>
    <row r="159">
      <c r="H159" s="221"/>
      <c r="I159" s="222"/>
      <c r="J159" s="217"/>
      <c r="K159" s="220"/>
      <c r="L159" s="213"/>
      <c r="M159" s="143"/>
      <c r="N159" s="213"/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IFERROR(__xludf.DUMMYFUNCTION("FILTER('설정시트'!$D$7:$L$20,'설정시트'!$C$7:$C$20=I159)"),"#N/A")</f>
        <v>#N/A</v>
      </c>
      <c r="AC159" s="214"/>
      <c r="AD159" s="214"/>
      <c r="AE159" s="214"/>
      <c r="AF159" s="214"/>
      <c r="AG159" s="214"/>
      <c r="AH159" s="214"/>
      <c r="AI159" s="214"/>
    </row>
    <row r="160">
      <c r="H160" s="221"/>
      <c r="I160" s="222"/>
      <c r="J160" s="217"/>
      <c r="K160" s="220"/>
      <c r="L160" s="213"/>
      <c r="M160" s="143"/>
      <c r="N160" s="213"/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IFERROR(__xludf.DUMMYFUNCTION("FILTER('설정시트'!$D$7:$L$20,'설정시트'!$C$7:$C$20=I160)"),"#N/A")</f>
        <v>#N/A</v>
      </c>
      <c r="AC160" s="214"/>
      <c r="AD160" s="214"/>
      <c r="AE160" s="214"/>
      <c r="AF160" s="214"/>
      <c r="AG160" s="214"/>
      <c r="AH160" s="214"/>
      <c r="AI160" s="214"/>
    </row>
    <row r="161">
      <c r="H161" s="221"/>
      <c r="I161" s="222"/>
      <c r="J161" s="217"/>
      <c r="K161" s="220"/>
      <c r="L161" s="213"/>
      <c r="M161" s="143"/>
      <c r="N161" s="213"/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IFERROR(__xludf.DUMMYFUNCTION("FILTER('설정시트'!$D$7:$L$20,'설정시트'!$C$7:$C$20=I161)"),"#N/A")</f>
        <v>#N/A</v>
      </c>
      <c r="AC161" s="214"/>
      <c r="AD161" s="214"/>
      <c r="AE161" s="214"/>
      <c r="AF161" s="214"/>
      <c r="AG161" s="214"/>
      <c r="AH161" s="214"/>
      <c r="AI161" s="214"/>
    </row>
    <row r="162">
      <c r="H162" s="221"/>
      <c r="I162" s="222"/>
      <c r="J162" s="217"/>
      <c r="K162" s="220"/>
      <c r="L162" s="213"/>
      <c r="M162" s="143"/>
      <c r="N162" s="213"/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IFERROR(__xludf.DUMMYFUNCTION("FILTER('설정시트'!$D$7:$L$20,'설정시트'!$C$7:$C$20=I162)"),"#N/A")</f>
        <v>#N/A</v>
      </c>
      <c r="AC162" s="214"/>
      <c r="AD162" s="214"/>
      <c r="AE162" s="214"/>
      <c r="AF162" s="214"/>
      <c r="AG162" s="214"/>
      <c r="AH162" s="214"/>
      <c r="AI162" s="214"/>
    </row>
    <row r="163">
      <c r="H163" s="221"/>
      <c r="I163" s="222"/>
      <c r="J163" s="217"/>
      <c r="K163" s="220"/>
      <c r="L163" s="213"/>
      <c r="M163" s="143"/>
      <c r="N163" s="213"/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IFERROR(__xludf.DUMMYFUNCTION("FILTER('설정시트'!$D$7:$L$20,'설정시트'!$C$7:$C$20=I163)"),"#N/A")</f>
        <v>#N/A</v>
      </c>
      <c r="AC163" s="214"/>
      <c r="AD163" s="214"/>
      <c r="AE163" s="214"/>
      <c r="AF163" s="214"/>
      <c r="AG163" s="214"/>
      <c r="AH163" s="214"/>
      <c r="AI163" s="214"/>
    </row>
    <row r="164">
      <c r="H164" s="221"/>
      <c r="I164" s="222"/>
      <c r="J164" s="217"/>
      <c r="K164" s="220"/>
      <c r="L164" s="213"/>
      <c r="M164" s="143"/>
      <c r="N164" s="213"/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IFERROR(__xludf.DUMMYFUNCTION("FILTER('설정시트'!$D$7:$L$20,'설정시트'!$C$7:$C$20=I164)"),"#N/A")</f>
        <v>#N/A</v>
      </c>
      <c r="AC164" s="214"/>
      <c r="AD164" s="214"/>
      <c r="AE164" s="214"/>
      <c r="AF164" s="214"/>
      <c r="AG164" s="214"/>
      <c r="AH164" s="214"/>
      <c r="AI164" s="214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48029EEC-043B-4596-BD82-4885B5601D90}" filter="1" showAutoFilter="1">
      <autoFilter ref="$I$61:$L$500"/>
    </customSheetView>
    <customSheetView guid="{1306F103-82DB-4721-A081-DFC677B29403}" filter="1" showAutoFilter="1">
      <autoFilter ref="$H$61:$J$15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80">
      <formula1>'7월'!$AB$80:$AI$80</formula1>
    </dataValidation>
    <dataValidation type="list" allowBlank="1" showErrorMessage="1" sqref="J255">
      <formula1>'7월'!$AB$255:$AI$255</formula1>
    </dataValidation>
    <dataValidation type="list" allowBlank="1" showErrorMessage="1" sqref="J458">
      <formula1>'7월'!$AB$458:$AI$458</formula1>
    </dataValidation>
    <dataValidation type="list" allowBlank="1" showErrorMessage="1" sqref="J364">
      <formula1>'7월'!$AB$364:$AI$364</formula1>
    </dataValidation>
    <dataValidation type="list" allowBlank="1" showErrorMessage="1" sqref="J270">
      <formula1>'7월'!$AB$270:$AI$270</formula1>
    </dataValidation>
    <dataValidation type="list" allowBlank="1" showErrorMessage="1" sqref="J349">
      <formula1>'7월'!$AB$349:$AI$349</formula1>
    </dataValidation>
    <dataValidation type="list" allowBlank="1" showErrorMessage="1" sqref="J344">
      <formula1>'7월'!$AB$344:$AI$344</formula1>
    </dataValidation>
    <dataValidation type="list" allowBlank="1" showErrorMessage="1" sqref="J65">
      <formula1>'7월'!$AB$65:$AI$65</formula1>
    </dataValidation>
    <dataValidation type="list" allowBlank="1" showErrorMessage="1" sqref="J250">
      <formula1>'7월'!$AB$250:$AI$250</formula1>
    </dataValidation>
    <dataValidation type="list" allowBlank="1" showErrorMessage="1" sqref="J453">
      <formula1>'7월'!$AB$453:$AI$453</formula1>
    </dataValidation>
    <dataValidation type="list" allowBlank="1" showErrorMessage="1" sqref="J141">
      <formula1>'7월'!$AB$141:$AI$141</formula1>
    </dataValidation>
    <dataValidation type="list" allowBlank="1" showErrorMessage="1" sqref="J146">
      <formula1>'7월'!$AB$146:$AI$146</formula1>
    </dataValidation>
    <dataValidation type="list" allowBlank="1" showErrorMessage="1" sqref="J181">
      <formula1>'7월'!$AB$181:$AI$181</formula1>
    </dataValidation>
    <dataValidation type="list" allowBlank="1" showErrorMessage="1" sqref="J433">
      <formula1>'7월'!$AB$433:$AI$433</formula1>
    </dataValidation>
    <dataValidation type="list" allowBlank="1" showErrorMessage="1" sqref="J230">
      <formula1>'7월'!$AB$230:$AI$230</formula1>
    </dataValidation>
    <dataValidation type="list" allowBlank="1" showErrorMessage="1" sqref="J329">
      <formula1>'7월'!$AB$329:$AI$329</formula1>
    </dataValidation>
    <dataValidation type="list" allowBlank="1" showErrorMessage="1" sqref="J324">
      <formula1>'7월'!$AB$324:$AI$324</formula1>
    </dataValidation>
    <dataValidation type="list" allowBlank="1" showErrorMessage="1" sqref="J197">
      <formula1>'7월'!$AB$197:$AI$197</formula1>
    </dataValidation>
    <dataValidation type="list" allowBlank="1" showErrorMessage="1" sqref="J290">
      <formula1>'7월'!$AB$290:$AI$290</formula1>
    </dataValidation>
    <dataValidation type="list" allowBlank="1" showErrorMessage="1" sqref="J438">
      <formula1>'7월'!$AB$438:$AI$438</formula1>
    </dataValidation>
    <dataValidation type="list" allowBlank="1" showErrorMessage="1" sqref="J235">
      <formula1>'7월'!$AB$235:$AI$235</formula1>
    </dataValidation>
    <dataValidation type="list" allowBlank="1" showErrorMessage="1" sqref="J126">
      <formula1>'7월'!$AB$126:$AI$126</formula1>
    </dataValidation>
    <dataValidation type="list" allowBlank="1" showErrorMessage="1" sqref="J79">
      <formula1>'7월'!$AB$79:$AI$79</formula1>
    </dataValidation>
    <dataValidation type="list" allowBlank="1" showErrorMessage="1" sqref="J121">
      <formula1>'7월'!$AB$121:$AI$121</formula1>
    </dataValidation>
    <dataValidation type="list" allowBlank="1" showErrorMessage="1" sqref="J395">
      <formula1>'7월'!$AB$395:$AI$395</formula1>
    </dataValidation>
    <dataValidation type="list" allowBlank="1" showErrorMessage="1" sqref="J427">
      <formula1>'7월'!$AB$427:$AI$427</formula1>
    </dataValidation>
    <dataValidation type="list" allowBlank="1" showErrorMessage="1" sqref="J318">
      <formula1>'7월'!$AB$318:$AI$318</formula1>
    </dataValidation>
    <dataValidation type="list" allowBlank="1" showErrorMessage="1" sqref="J92">
      <formula1>'7월'!$AB$92:$AI$92</formula1>
    </dataValidation>
    <dataValidation type="list" allowBlank="1" showErrorMessage="1" sqref="J210">
      <formula1>'7월'!$AB$210:$AI$210</formula1>
    </dataValidation>
    <dataValidation type="list" allowBlank="1" showErrorMessage="1" sqref="J130">
      <formula1>'7월'!$AB$130:$AI$130</formula1>
    </dataValidation>
    <dataValidation type="list" allowBlank="1" showErrorMessage="1" sqref="J286">
      <formula1>'7월'!$AB$286:$AI$286</formula1>
    </dataValidation>
    <dataValidation type="list" allowBlank="1" showErrorMessage="1" sqref="J295">
      <formula1>'7월'!$AB$295:$AI$295</formula1>
    </dataValidation>
    <dataValidation type="list" allowBlank="1" showErrorMessage="1" sqref="J177">
      <formula1>'7월'!$AB$177:$AI$177</formula1>
    </dataValidation>
    <dataValidation type="list" allowBlank="1" showErrorMessage="1" sqref="J192">
      <formula1>'7월'!$AB$192:$AI$192</formula1>
    </dataValidation>
    <dataValidation type="list" allowBlank="1" showErrorMessage="1" sqref="J229">
      <formula1>'7월'!$AB$229:$AI$229</formula1>
    </dataValidation>
    <dataValidation type="list" allowBlank="1" showErrorMessage="1" sqref="J266">
      <formula1>'7월'!$AB$266:$AI$266</formula1>
    </dataValidation>
    <dataValidation type="list" allowBlank="1" showErrorMessage="1" sqref="J418">
      <formula1>'7월'!$AB$418:$AI$418</formula1>
    </dataValidation>
    <dataValidation type="list" allowBlank="1" showErrorMessage="1" sqref="J186">
      <formula1>'7월'!$AB$186:$AI$186</formula1>
    </dataValidation>
    <dataValidation type="list" allowBlank="1" showErrorMessage="1" sqref="J484">
      <formula1>'7월'!$AB$484:$AI$484</formula1>
    </dataValidation>
    <dataValidation type="list" allowBlank="1" showErrorMessage="1" sqref="J493">
      <formula1>'7월'!$AB$493:$AI$493</formula1>
    </dataValidation>
    <dataValidation type="list" allowBlank="1" showErrorMessage="1" sqref="J101">
      <formula1>'7월'!$AB$101:$AI$101</formula1>
    </dataValidation>
    <dataValidation type="list" allowBlank="1" showErrorMessage="1" sqref="J338">
      <formula1>'7월'!$AB$338:$AI$338</formula1>
    </dataValidation>
    <dataValidation type="list" allowBlank="1" showErrorMessage="1" sqref="J375">
      <formula1>'7월'!$AB$375:$AI$375</formula1>
    </dataValidation>
    <dataValidation type="list" allowBlank="1" showErrorMessage="1" sqref="J275">
      <formula1>'7월'!$AB$275:$AI$275</formula1>
    </dataValidation>
    <dataValidation type="list" allowBlank="1" showErrorMessage="1" sqref="J464">
      <formula1>'7월'!$AB$464:$AI$464</formula1>
    </dataValidation>
    <dataValidation type="list" allowBlank="1" showErrorMessage="1" sqref="J384">
      <formula1>'7월'!$AB$384:$AI$384</formula1>
    </dataValidation>
    <dataValidation type="list" allowBlank="1" showErrorMessage="1" sqref="J407">
      <formula1>'7월'!$AB$407:$AI$407</formula1>
    </dataValidation>
    <dataValidation type="list" allowBlank="1" showErrorMessage="1" sqref="J110">
      <formula1>'7월'!$AB$110:$AI$110</formula1>
    </dataValidation>
    <dataValidation type="list" allowBlank="1" showErrorMessage="1" sqref="J157">
      <formula1>'7월'!$AB$157:$AI$157</formula1>
    </dataValidation>
    <dataValidation type="list" allowBlank="1" showErrorMessage="1" sqref="J246">
      <formula1>'7월'!$AB$246:$AI$246</formula1>
    </dataValidation>
    <dataValidation type="list" allowBlank="1" showErrorMessage="1" sqref="J94">
      <formula1>'7월'!$AB$94:$AI$94</formula1>
    </dataValidation>
    <dataValidation type="list" allowBlank="1" showErrorMessage="1" sqref="J473">
      <formula1>'7월'!$AB$473:$AI$473</formula1>
    </dataValidation>
    <dataValidation type="list" allowBlank="1" showErrorMessage="1" sqref="J309">
      <formula1>'7월'!$AB$309:$AI$309</formula1>
    </dataValidation>
    <dataValidation type="list" allowBlank="1" showErrorMessage="1" sqref="J63">
      <formula1>'7월'!$AB$63:$AI$63</formula1>
    </dataValidation>
    <dataValidation type="list" allowBlank="1" showErrorMessage="1" sqref="J166">
      <formula1>'7월'!$AB$166:$AI$166</formula1>
    </dataValidation>
    <dataValidation type="list" allowBlank="1" showErrorMessage="1" sqref="J209">
      <formula1>'7월'!$AB$209:$AI$209</formula1>
    </dataValidation>
    <dataValidation type="list" allowBlank="1" showErrorMessage="1" sqref="J355">
      <formula1>'7월'!$AB$355:$AI$355</formula1>
    </dataValidation>
    <dataValidation type="list" allowBlank="1" showErrorMessage="1" sqref="J302">
      <formula1>'7월'!$AB$302:$AI$302</formula1>
    </dataValidation>
    <dataValidation type="list" allowBlank="1" showErrorMessage="1" sqref="J96">
      <formula1>'7월'!$AB$96:$AI$96</formula1>
    </dataValidation>
    <dataValidation type="list" allowBlank="1" showErrorMessage="1" sqref="J467">
      <formula1>'7월'!$AB$467:$AI$467</formula1>
    </dataValidation>
    <dataValidation type="list" allowBlank="1" showErrorMessage="1" sqref="J104">
      <formula1>'7월'!$AB$104:$AI$104</formula1>
    </dataValidation>
    <dataValidation type="list" allowBlank="1" showErrorMessage="1" sqref="J378">
      <formula1>'7월'!$AB$378:$AI$378</formula1>
    </dataValidation>
    <dataValidation type="list" allowBlank="1" showErrorMessage="1" sqref="J307">
      <formula1>'7월'!$AB$307:$AI$307</formula1>
    </dataValidation>
    <dataValidation type="list" allowBlank="1" showErrorMessage="1" sqref="J89">
      <formula1>'7월'!$AB$89:$AI$89</formula1>
    </dataValidation>
    <dataValidation type="list" allowBlank="1" showErrorMessage="1" sqref="J416">
      <formula1>'7월'!$AB$416:$AI$416</formula1>
    </dataValidation>
    <dataValidation type="list" allowBlank="1" showErrorMessage="1" sqref="J449">
      <formula1>'7월'!$AB$449:$AI$449</formula1>
    </dataValidation>
    <dataValidation type="list" allowBlank="1" showErrorMessage="1" sqref="J411">
      <formula1>'7월'!$AB$411:$AI$411</formula1>
    </dataValidation>
    <dataValidation type="list" allowBlank="1" showErrorMessage="1" sqref="J269">
      <formula1>'7월'!$AB$269:$AI$269</formula1>
    </dataValidation>
    <dataValidation type="list" allowBlank="1" showErrorMessage="1" sqref="J183">
      <formula1>'7월'!$AB$183:$AI$183</formula1>
    </dataValidation>
    <dataValidation type="list" allowBlank="1" showErrorMessage="1" sqref="J447">
      <formula1>'7월'!$AB$447:$AI$447</formula1>
    </dataValidation>
    <dataValidation type="list" allowBlank="1" showErrorMessage="1" sqref="J500">
      <formula1>'7월'!$AB$500:$AI$500</formula1>
    </dataValidation>
    <dataValidation type="list" allowBlank="1" showErrorMessage="1" sqref="J381">
      <formula1>'7월'!$AB$381:$AI$381</formula1>
    </dataValidation>
    <dataValidation type="list" allowBlank="1" showErrorMessage="1" sqref="J358">
      <formula1>'7월'!$AB$358:$AI$358</formula1>
    </dataValidation>
    <dataValidation type="list" allowBlank="1" showErrorMessage="1" sqref="J249">
      <formula1>'7월'!$AB$249:$AI$249</formula1>
    </dataValidation>
    <dataValidation type="list" allowBlank="1" showErrorMessage="1" sqref="J429">
      <formula1>'7월'!$AB$429:$AI$429</formula1>
    </dataValidation>
    <dataValidation type="list" allowBlank="1" showErrorMessage="1" sqref="J272">
      <formula1>'7월'!$AB$272:$AI$272</formula1>
    </dataValidation>
    <dataValidation type="list" allowBlank="1" showErrorMessage="1" sqref="J163">
      <formula1>'7월'!$AB$163:$AI$163</formula1>
    </dataValidation>
    <dataValidation type="list" allowBlank="1" showErrorMessage="1" sqref="J413">
      <formula1>'7월'!$AB$413:$AI$413</formula1>
    </dataValidation>
    <dataValidation type="list" allowBlank="1" showErrorMessage="1" sqref="J451">
      <formula1>'7월'!$AB$451:$AI$451</formula1>
    </dataValidation>
    <dataValidation type="list" allowBlank="1" showErrorMessage="1" sqref="J304">
      <formula1>'7월'!$AB$304:$AI$304</formula1>
    </dataValidation>
    <dataValidation type="list" allowBlank="1" showErrorMessage="1" sqref="J144">
      <formula1>'7월'!$AB$144:$AI$144</formula1>
    </dataValidation>
    <dataValidation type="list" allowBlank="1" showErrorMessage="1" sqref="J470">
      <formula1>'7월'!$AB$470:$AI$470</formula1>
    </dataValidation>
    <dataValidation type="list" allowBlank="1" showErrorMessage="1" sqref="J98">
      <formula1>'7월'!$AB$98:$AI$98</formula1>
    </dataValidation>
    <dataValidation type="list" allowBlank="1" showErrorMessage="1" sqref="J215">
      <formula1>'7월'!$AB$215:$AI$215</formula1>
    </dataValidation>
    <dataValidation type="list" allowBlank="1" showErrorMessage="1" sqref="J233">
      <formula1>'7월'!$AB$233:$AI$233</formula1>
    </dataValidation>
    <dataValidation type="list" allowBlank="1" showErrorMessage="1" sqref="J489">
      <formula1>'7월'!$AB$489:$AI$489</formula1>
    </dataValidation>
    <dataValidation type="list" allowBlank="1" showErrorMessage="1" sqref="J361">
      <formula1>'7월'!$AB$361:$AI$361</formula1>
    </dataValidation>
    <dataValidation type="list" allowBlank="1" showErrorMessage="1" sqref="J106">
      <formula1>'7월'!$AB$106:$AI$106</formula1>
    </dataValidation>
    <dataValidation type="list" allowBlank="1" showErrorMessage="1" sqref="J342">
      <formula1>'7월'!$AB$342:$AI$342</formula1>
    </dataValidation>
    <dataValidation type="list" allowBlank="1" showErrorMessage="1" sqref="J252">
      <formula1>'7월'!$AB$252:$AI$252</formula1>
    </dataValidation>
    <dataValidation type="list" allowBlank="1" showErrorMessage="1" sqref="J289">
      <formula1>'7월'!$AB$289:$AI$289</formula1>
    </dataValidation>
    <dataValidation type="list" allowBlank="1" showErrorMessage="1" sqref="J431">
      <formula1>'7월'!$AB$431:$AI$431</formula1>
    </dataValidation>
    <dataValidation type="list" allowBlank="1" showErrorMessage="1" sqref="J143">
      <formula1>'7월'!$AB$143:$AI$143</formula1>
    </dataValidation>
    <dataValidation type="list" allowBlank="1" showErrorMessage="1" sqref="J124">
      <formula1>'7월'!$AB$124:$AI$124</formula1>
    </dataValidation>
    <dataValidation type="list" allowBlank="1" showErrorMessage="1" sqref="J398">
      <formula1>'7월'!$AB$398:$AI$398</formula1>
    </dataValidation>
    <dataValidation type="list" allowBlank="1" showErrorMessage="1" sqref="J213">
      <formula1>'7월'!$AB$213:$AI$213</formula1>
    </dataValidation>
    <dataValidation type="list" allowBlank="1" showErrorMessage="1" sqref="J450">
      <formula1>'7월'!$AB$450:$AI$450</formula1>
    </dataValidation>
    <dataValidation type="list" allowBlank="1" showErrorMessage="1" sqref="J487">
      <formula1>'7월'!$AB$487:$AI$487</formula1>
    </dataValidation>
    <dataValidation type="list" allowBlank="1" showErrorMessage="1" sqref="J232">
      <formula1>'7월'!$AB$232:$AI$232</formula1>
    </dataValidation>
    <dataValidation type="list" allowBlank="1" showErrorMessage="1" sqref="J469">
      <formula1>'7월'!$AB$469:$AI$469</formula1>
    </dataValidation>
    <dataValidation type="list" allowBlank="1" showErrorMessage="1" sqref="J199">
      <formula1>'7월'!$AB$199:$AI$199</formula1>
    </dataValidation>
    <dataValidation type="list" allowBlank="1" showErrorMessage="1" sqref="J341">
      <formula1>'7월'!$AB$341:$AI$341</formula1>
    </dataValidation>
    <dataValidation type="list" allowBlank="1" showErrorMessage="1" sqref="J161">
      <formula1>'7월'!$AB$161:$AI$161</formula1>
    </dataValidation>
    <dataValidation type="list" allowBlank="1" showErrorMessage="1" sqref="J322">
      <formula1>'7월'!$AB$322:$AI$322</formula1>
    </dataValidation>
    <dataValidation type="list" allowBlank="1" showErrorMessage="1" sqref="J113">
      <formula1>'7월'!$AB$113:$AI$113</formula1>
    </dataValidation>
    <dataValidation type="list" allowBlank="1" showErrorMessage="1" sqref="J293">
      <formula1>'7월'!$AB$293:$AI$293</formula1>
    </dataValidation>
    <dataValidation type="list" allowBlank="1" showErrorMessage="1" sqref="J288">
      <formula1>'7월'!$AB$288:$AI$288</formula1>
    </dataValidation>
    <dataValidation type="list" allowBlank="1" showErrorMessage="1" sqref="J207">
      <formula1>'7월'!$AB$207:$AI$207</formula1>
    </dataValidation>
    <dataValidation type="list" allowBlank="1" showErrorMessage="1" sqref="J331">
      <formula1>'7월'!$AB$331:$AI$331</formula1>
    </dataValidation>
    <dataValidation type="list" allowBlank="1" showErrorMessage="1" sqref="J103">
      <formula1>'7월'!$AB$103:$AI$103</formula1>
    </dataValidation>
    <dataValidation type="list" allowBlank="1" showErrorMessage="1" sqref="J283">
      <formula1>'7월'!$AB$283:$AI$283</formula1>
    </dataValidation>
    <dataValidation type="list" allowBlank="1" showErrorMessage="1" sqref="J435">
      <formula1>'7월'!$AB$435:$AI$435</formula1>
    </dataValidation>
    <dataValidation type="list" allowBlank="1" showErrorMessage="1" sqref="J217">
      <formula1>'7월'!$AB$217:$AI$217</formula1>
    </dataValidation>
    <dataValidation type="list" allowBlank="1" showErrorMessage="1" sqref="J382">
      <formula1>'7월'!$AB$382:$AI$382</formula1>
    </dataValidation>
    <dataValidation type="list" allowBlank="1" showErrorMessage="1" sqref="J425">
      <formula1>'7월'!$AB$425:$AI$425</formula1>
    </dataValidation>
    <dataValidation type="list" allowBlank="1" showErrorMessage="1" sqref="J420">
      <formula1>'7월'!$AB$420:$AI$420</formula1>
    </dataValidation>
    <dataValidation type="list" allowBlank="1" showErrorMessage="1" sqref="J321">
      <formula1>'7월'!$AB$321:$AI$321</formula1>
    </dataValidation>
    <dataValidation type="list" allowBlank="1" showErrorMessage="1" sqref="J86">
      <formula1>'7월'!$AB$86:$AI$86</formula1>
    </dataValidation>
    <dataValidation type="list" allowBlank="1" showErrorMessage="1" sqref="J387">
      <formula1>'7월'!$AB$387:$AI$387</formula1>
    </dataValidation>
    <dataValidation type="list" allowBlank="1" showErrorMessage="1" sqref="J118">
      <formula1>'7월'!$AB$118:$AI$118</formula1>
    </dataValidation>
    <dataValidation type="list" allowBlank="1" showErrorMessage="1" sqref="J85">
      <formula1>'7월'!$AB$85:$AI$85</formula1>
    </dataValidation>
    <dataValidation type="list" allowBlank="1" showErrorMessage="1" sqref="J258">
      <formula1>'7월'!$AB$258:$AI$258</formula1>
    </dataValidation>
    <dataValidation type="list" allowBlank="1" showErrorMessage="1" sqref="J476">
      <formula1>'7월'!$AB$476:$AI$476</formula1>
    </dataValidation>
    <dataValidation type="list" allowBlank="1" showErrorMessage="1" sqref="J466">
      <formula1>'7월'!$AB$466:$AI$466</formula1>
    </dataValidation>
    <dataValidation type="list" allowBlank="1" showErrorMessage="1" sqref="J410">
      <formula1>'7월'!$AB$410:$AI$410</formula1>
    </dataValidation>
    <dataValidation type="list" allowBlank="1" showErrorMessage="1" sqref="J372">
      <formula1>'7월'!$AB$372:$AI$372</formula1>
    </dataValidation>
    <dataValidation type="list" allowBlank="1" showErrorMessage="1" sqref="J164">
      <formula1>'7월'!$AB$164:$AI$164</formula1>
    </dataValidation>
    <dataValidation type="list" allowBlank="1" showErrorMessage="1" sqref="J377">
      <formula1>'7월'!$AB$377:$AI$377</formula1>
    </dataValidation>
    <dataValidation type="list" allowBlank="1" showErrorMessage="1" sqref="J169">
      <formula1>'7월'!$AB$169:$AI$169</formula1>
    </dataValidation>
    <dataValidation type="list" allowBlank="1" showErrorMessage="1" sqref="J471">
      <formula1>'7월'!$AB$471:$AI$471</formula1>
    </dataValidation>
    <dataValidation type="list" allowBlank="1" showErrorMessage="1" sqref="J202">
      <formula1>'7월'!$AB$202:$AI$202</formula1>
    </dataValidation>
    <dataValidation type="list" allowBlank="1" showErrorMessage="1" sqref="J253">
      <formula1>'7월'!$AB$253:$AI$253</formula1>
    </dataValidation>
    <dataValidation type="list" allowBlank="1" showErrorMessage="1" sqref="J159">
      <formula1>'7월'!$AB$159:$AI$159</formula1>
    </dataValidation>
    <dataValidation type="list" allowBlank="1" showErrorMessage="1" sqref="J154">
      <formula1>'7월'!$AB$154:$AI$154</formula1>
    </dataValidation>
    <dataValidation type="list" allowBlank="1" showErrorMessage="1" sqref="J306">
      <formula1>'7월'!$AB$306:$AI$306</formula1>
    </dataValidation>
    <dataValidation type="list" allowBlank="1" showErrorMessage="1" sqref="J257">
      <formula1>'7월'!$AB$257:$AI$257</formula1>
    </dataValidation>
    <dataValidation type="list" allowBlank="1" showErrorMessage="1" sqref="J129">
      <formula1>'7월'!$AB$129:$AI$129</formula1>
    </dataValidation>
    <dataValidation type="list" allowBlank="1" showErrorMessage="1" sqref="J337">
      <formula1>'7월'!$AB$337:$AI$337</formula1>
    </dataValidation>
    <dataValidation type="list" allowBlank="1" showErrorMessage="1" sqref="J87">
      <formula1>'7월'!$AB$87:$AI$87</formula1>
    </dataValidation>
    <dataValidation type="list" allowBlank="1" showErrorMessage="1" sqref="J201">
      <formula1>'7월'!$AB$201:$AI$201</formula1>
    </dataValidation>
    <dataValidation type="list" allowBlank="1" showErrorMessage="1" sqref="J475">
      <formula1>'7월'!$AB$475:$AI$475</formula1>
    </dataValidation>
    <dataValidation type="list" allowBlank="1" showErrorMessage="1" sqref="J248">
      <formula1>'7월'!$AB$248:$AI$248</formula1>
    </dataValidation>
    <dataValidation type="list" allowBlank="1" showErrorMessage="1" sqref="J158">
      <formula1>'7월'!$AB$158:$AI$158</formula1>
    </dataValidation>
    <dataValidation type="list" allowBlank="1" showErrorMessage="1" sqref="J347">
      <formula1>'7월'!$AB$347:$AI$347</formula1>
    </dataValidation>
    <dataValidation type="list" allowBlank="1" showErrorMessage="1" sqref="J465">
      <formula1>'7월'!$AB$465:$AI$465</formula1>
    </dataValidation>
    <dataValidation type="list" allowBlank="1" showErrorMessage="1" sqref="J292">
      <formula1>'7월'!$AB$292:$AI$292</formula1>
    </dataValidation>
    <dataValidation type="list" allowBlank="1" showErrorMessage="1" sqref="J128">
      <formula1>'7월'!$AB$128:$AI$128</formula1>
    </dataValidation>
    <dataValidation type="list" allowBlank="1" showErrorMessage="1" sqref="J195">
      <formula1>'7월'!$AB$195:$AI$195</formula1>
    </dataValidation>
    <dataValidation type="list" allowBlank="1" showErrorMessage="1" sqref="J193">
      <formula1>'7월'!$AB$193:$AI$193</formula1>
    </dataValidation>
    <dataValidation type="list" allowBlank="1" showErrorMessage="1" sqref="J218">
      <formula1>'7월'!$AB$218:$AI$218</formula1>
    </dataValidation>
    <dataValidation type="list" allowBlank="1" showErrorMessage="1" sqref="J294">
      <formula1>'7월'!$AB$294:$AI$294</formula1>
    </dataValidation>
    <dataValidation type="list" allowBlank="1" showErrorMessage="1" sqref="J336">
      <formula1>'7월'!$AB$336:$AI$336</formula1>
    </dataValidation>
    <dataValidation type="list" allowBlank="1" showErrorMessage="1" sqref="J426">
      <formula1>'7월'!$AB$426:$AI$426</formula1>
    </dataValidation>
    <dataValidation type="list" allowBlank="1" showErrorMessage="1" sqref="J119">
      <formula1>'7월'!$AB$119:$AI$119</formula1>
    </dataValidation>
    <dataValidation type="list" allowBlank="1" showErrorMessage="1" sqref="J436">
      <formula1>'7월'!$AB$436:$AI$436</formula1>
    </dataValidation>
    <dataValidation type="list" allowBlank="1" showErrorMessage="1" sqref="J247">
      <formula1>'7월'!$AB$247:$AI$247</formula1>
    </dataValidation>
    <dataValidation type="list" allowBlank="1" showErrorMessage="1" sqref="J284">
      <formula1>'7월'!$AB$284:$AI$284</formula1>
    </dataValidation>
    <dataValidation type="list" allowBlank="1" showErrorMessage="1" sqref="J383">
      <formula1>'7월'!$AB$383:$AI$383</formula1>
    </dataValidation>
    <dataValidation type="list" allowBlank="1" showErrorMessage="1" sqref="J88">
      <formula1>'7월'!$AB$88:$AI$88</formula1>
    </dataValidation>
    <dataValidation type="list" allowBlank="1" showErrorMessage="1" sqref="J194">
      <formula1>'7월'!$AB$194:$AI$194</formula1>
    </dataValidation>
    <dataValidation type="list" allowBlank="1" showErrorMessage="1" sqref="J346">
      <formula1>'7월'!$AB$346:$AI$346</formula1>
    </dataValidation>
    <dataValidation type="list" allowBlank="1" showErrorMessage="1" sqref="J335">
      <formula1>'7월'!$AB$335:$AI$335</formula1>
    </dataValidation>
    <dataValidation type="list" allowBlank="1" showErrorMessage="1" sqref="J241">
      <formula1>'7월'!$AB$241:$AI$241</formula1>
    </dataValidation>
    <dataValidation type="list" allowBlank="1" showErrorMessage="1" sqref="J373">
      <formula1>'7월'!$AB$373:$AI$373</formula1>
    </dataValidation>
    <dataValidation type="list" allowBlank="1" showErrorMessage="1" sqref="J439">
      <formula1>'7월'!$AB$439:$AI$439</formula1>
    </dataValidation>
    <dataValidation type="list" allowBlank="1" showErrorMessage="1" sqref="J259">
      <formula1>'7월'!$AB$259:$AI$259</formula1>
    </dataValidation>
    <dataValidation type="list" allowBlank="1" showErrorMessage="1" sqref="J190">
      <formula1>'7월'!$AB$190:$AI$190</formula1>
    </dataValidation>
    <dataValidation type="list" allowBlank="1" showErrorMessage="1" sqref="J68">
      <formula1>'7월'!$AB$68:$AI$68</formula1>
    </dataValidation>
    <dataValidation type="list" allowBlank="1" showErrorMessage="1" sqref="J330">
      <formula1>'7월'!$AB$330:$AI$330</formula1>
    </dataValidation>
    <dataValidation type="list" allowBlank="1" showErrorMessage="1" sqref="J155">
      <formula1>'7월'!$AB$155:$AI$155</formula1>
    </dataValidation>
    <dataValidation type="list" allowBlank="1" showErrorMessage="1" sqref="J203">
      <formula1>'7월'!$AB$203:$AI$203</formula1>
    </dataValidation>
    <dataValidation type="list" allowBlank="1" showErrorMessage="1" sqref="J83">
      <formula1>'7월'!$AB$83:$AI$83</formula1>
    </dataValidation>
    <dataValidation type="list" allowBlank="1" showErrorMessage="1" sqref="J477">
      <formula1>'7월'!$AB$477:$AI$477</formula1>
    </dataValidation>
    <dataValidation type="list" allowBlank="1" showErrorMessage="1" sqref="J208">
      <formula1>'7월'!$AB$208:$AI$208</formula1>
    </dataValidation>
    <dataValidation type="list" allowBlank="1" showErrorMessage="1" sqref="J297">
      <formula1>'7월'!$AB$297:$AI$297</formula1>
    </dataValidation>
    <dataValidation type="list" allowBlank="1" showErrorMessage="1" sqref="J206">
      <formula1>'7월'!$AB$206:$AI$206</formula1>
    </dataValidation>
    <dataValidation type="list" allowBlank="1" showErrorMessage="1" sqref="J348">
      <formula1>'7월'!$AB$348:$AI$348</formula1>
    </dataValidation>
    <dataValidation type="list" allowBlank="1" showErrorMessage="1" sqref="J150">
      <formula1>'7월'!$AB$150:$AI$150</formula1>
    </dataValidation>
    <dataValidation type="list" allowBlank="1" showErrorMessage="1" sqref="J112">
      <formula1>'7월'!$AB$112:$AI$112</formula1>
    </dataValidation>
    <dataValidation type="list" allowBlank="1" showErrorMessage="1" sqref="J386">
      <formula1>'7월'!$AB$386:$AI$386</formula1>
    </dataValidation>
    <dataValidation type="list" allowBlank="1" showErrorMessage="1" sqref="J462">
      <formula1>'7월'!$AB$462:$AI$462</formula1>
    </dataValidation>
    <dataValidation type="list" allowBlank="1" showErrorMessage="1" sqref="J282">
      <formula1>'7월'!$AB$282:$AI$282</formula1>
    </dataValidation>
    <dataValidation type="list" allowBlank="1" showErrorMessage="1" sqref="J84">
      <formula1>'7월'!$AB$84:$AI$84</formula1>
    </dataValidation>
    <dataValidation type="list" allowBlank="1" showErrorMessage="1" sqref="J117">
      <formula1>'7월'!$AB$117:$AI$117</formula1>
    </dataValidation>
    <dataValidation type="list" allowBlank="1" showErrorMessage="1" sqref="J168">
      <formula1>'7월'!$AB$168:$AI$168</formula1>
    </dataValidation>
    <dataValidation type="list" allowBlank="1" showErrorMessage="1" sqref="J281">
      <formula1>'7월'!$AB$281:$AI$281</formula1>
    </dataValidation>
    <dataValidation type="list" allowBlank="1" showErrorMessage="1" sqref="J67">
      <formula1>'7월'!$AB$67:$AI$67</formula1>
    </dataValidation>
    <dataValidation type="list" allowBlank="1" showErrorMessage="1" sqref="J424">
      <formula1>'7월'!$AB$424:$AI$424</formula1>
    </dataValidation>
    <dataValidation type="list" allowBlank="1" showErrorMessage="1" sqref="J244">
      <formula1>'7월'!$AB$244:$AI$244</formula1>
    </dataValidation>
    <dataValidation type="list" allowBlank="1" showErrorMessage="1" sqref="J69">
      <formula1>'7월'!$AB$69:$AI$69</formula1>
    </dataValidation>
    <dataValidation type="list" allowBlank="1" showErrorMessage="1" sqref="J205">
      <formula1>'7월'!$AB$205:$AI$205</formula1>
    </dataValidation>
    <dataValidation type="list" allowBlank="1" showErrorMessage="1" sqref="J479">
      <formula1>'7월'!$AB$479:$AI$479</formula1>
    </dataValidation>
    <dataValidation type="list" allowBlank="1" showErrorMessage="1" sqref="J243">
      <formula1>'7월'!$AB$243:$AI$243</formula1>
    </dataValidation>
    <dataValidation type="list" allowBlank="1" showErrorMessage="1" sqref="J333">
      <formula1>'7월'!$AB$333:$AI$333</formula1>
    </dataValidation>
    <dataValidation type="list" allowBlank="1" showErrorMessage="1" sqref="J371">
      <formula1>'7월'!$AB$371:$AI$371</formula1>
    </dataValidation>
    <dataValidation type="list" allowBlank="1" showErrorMessage="1" sqref="J461">
      <formula1>'7월'!$AB$461:$AI$461</formula1>
    </dataValidation>
    <dataValidation type="list" allowBlank="1" showErrorMessage="1" sqref="J115">
      <formula1>'7월'!$AB$115:$AI$115</formula1>
    </dataValidation>
    <dataValidation type="list" allowBlank="1" showErrorMessage="1" sqref="J389">
      <formula1>'7월'!$AB$389:$AI$389</formula1>
    </dataValidation>
    <dataValidation type="list" allowBlank="1" showErrorMessage="1" sqref="J299">
      <formula1>'7월'!$AB$299:$AI$299</formula1>
    </dataValidation>
    <dataValidation type="list" allowBlank="1" showErrorMessage="1" sqref="J153">
      <formula1>'7월'!$AB$153:$AI$153</formula1>
    </dataValidation>
    <dataValidation type="list" allowBlank="1" showErrorMessage="1" sqref="J423">
      <formula1>'7월'!$AB$423:$AI$423</formula1>
    </dataValidation>
    <dataValidation type="list" allowBlank="1" showErrorMessage="1" sqref="J460">
      <formula1>'7월'!$AB$460:$AI$460</formula1>
    </dataValidation>
    <dataValidation type="list" allowBlank="1" showErrorMessage="1" sqref="J370">
      <formula1>'7월'!$AB$370:$AI$370</formula1>
    </dataValidation>
    <dataValidation type="list" allowBlank="1" showErrorMessage="1" sqref="J242">
      <formula1>'7월'!$AB$242:$AI$242</formula1>
    </dataValidation>
    <dataValidation type="list" allowBlank="1" showErrorMessage="1" sqref="J478">
      <formula1>'7월'!$AB$478:$AI$478</formula1>
    </dataValidation>
    <dataValidation type="list" allowBlank="1" showErrorMessage="1" sqref="J114">
      <formula1>'7월'!$AB$114:$AI$114</formula1>
    </dataValidation>
    <dataValidation type="list" allowBlank="1" showErrorMessage="1" sqref="J332">
      <formula1>'7월'!$AB$332:$AI$332</formula1>
    </dataValidation>
    <dataValidation type="list" allowBlank="1" showErrorMessage="1" sqref="J152">
      <formula1>'7월'!$AB$152:$AI$152</formula1>
    </dataValidation>
    <dataValidation type="list" allowBlank="1" showErrorMessage="1" sqref="J82">
      <formula1>'7월'!$AB$82:$AI$82</formula1>
    </dataValidation>
    <dataValidation type="list" allowBlank="1" showErrorMessage="1" sqref="J298">
      <formula1>'7월'!$AB$298:$AI$298</formula1>
    </dataValidation>
    <dataValidation type="list" allowBlank="1" showErrorMessage="1" sqref="J422">
      <formula1>'7월'!$AB$422:$AI$422</formula1>
    </dataValidation>
    <dataValidation type="list" allowBlank="1" showErrorMessage="1" sqref="J81">
      <formula1>'7월'!$AB$81:$AI$81</formula1>
    </dataValidation>
    <dataValidation type="list" allowBlank="1" showErrorMessage="1" sqref="J421">
      <formula1>'7월'!$AB$421:$AI$421</formula1>
    </dataValidation>
    <dataValidation type="list" allowBlank="1" showErrorMessage="1" sqref="J388">
      <formula1>'7월'!$AB$388:$AI$388</formula1>
    </dataValidation>
    <dataValidation type="list" allowBlank="1" showErrorMessage="1" sqref="J204">
      <formula1>'7월'!$AB$204:$AI$204</formula1>
    </dataValidation>
    <dataValidation type="list" allowBlank="1" showErrorMessage="1" sqref="J260">
      <formula1>'7월'!$AB$260:$AI$260</formula1>
    </dataValidation>
    <dataValidation type="list" allowBlank="1" showErrorMessage="1" sqref="J463">
      <formula1>'7월'!$AB$463:$AI$463</formula1>
    </dataValidation>
    <dataValidation type="list" allowBlank="1" showErrorMessage="1" sqref="J448">
      <formula1>'7월'!$AB$448:$AI$448</formula1>
    </dataValidation>
    <dataValidation type="list" allowBlank="1" showErrorMessage="1" sqref="J151">
      <formula1>'7월'!$AB$151:$AI$151</formula1>
    </dataValidation>
    <dataValidation type="list" allowBlank="1" showErrorMessage="1" sqref="J78">
      <formula1>'7월'!$AB$78:$AI$78</formula1>
    </dataValidation>
    <dataValidation type="list" allowBlank="1" showErrorMessage="1" sqref="J156">
      <formula1>'7월'!$AB$156:$AI$156</formula1>
    </dataValidation>
    <dataValidation type="list" allowBlank="1" showErrorMessage="1" sqref="J136">
      <formula1>'7월'!$AB$136:$AI$136</formula1>
    </dataValidation>
    <dataValidation type="list" allowBlank="1" showErrorMessage="1" sqref="J171">
      <formula1>'7월'!$AB$171:$AI$171</formula1>
    </dataValidation>
    <dataValidation type="list" allowBlank="1" showErrorMessage="1" sqref="J468">
      <formula1>'7월'!$AB$468:$AI$468</formula1>
    </dataValidation>
    <dataValidation type="list" allowBlank="1" showErrorMessage="1" sqref="J245">
      <formula1>'7월'!$AB$245:$AI$245</formula1>
    </dataValidation>
    <dataValidation type="list" allowBlank="1" showErrorMessage="1" sqref="J280">
      <formula1>'7월'!$AB$280:$AI$280</formula1>
    </dataValidation>
    <dataValidation type="list" allowBlank="1" showErrorMessage="1" sqref="J354">
      <formula1>'7월'!$AB$354:$AI$354</formula1>
    </dataValidation>
    <dataValidation type="list" allowBlank="1" showErrorMessage="1" sqref="J359">
      <formula1>'7월'!$AB$359:$AI$359</formula1>
    </dataValidation>
    <dataValidation type="list" allowBlank="1" showErrorMessage="1" sqref="J428">
      <formula1>'7월'!$AB$428:$AI$428</formula1>
    </dataValidation>
    <dataValidation type="list" allowBlank="1" showErrorMessage="1" sqref="J225">
      <formula1>'7월'!$AB$225:$AI$225</formula1>
    </dataValidation>
    <dataValidation type="list" allowBlank="1" showErrorMessage="1" sqref="J240">
      <formula1>'7월'!$AB$240:$AI$240</formula1>
    </dataValidation>
    <dataValidation type="list" allowBlank="1" showErrorMessage="1" sqref="J499">
      <formula1>'7월'!$AB$499:$AI$499</formula1>
    </dataValidation>
    <dataValidation type="list" allowBlank="1" showErrorMessage="1" sqref="J116">
      <formula1>'7월'!$AB$116:$AI$116</formula1>
    </dataValidation>
    <dataValidation type="list" allowBlank="1" showErrorMessage="1" sqref="J443">
      <formula1>'7월'!$AB$443:$AI$443</formula1>
    </dataValidation>
    <dataValidation type="list" allowBlank="1" showErrorMessage="1" sqref="J131">
      <formula1>'7월'!$AB$131:$AI$131</formula1>
    </dataValidation>
    <dataValidation type="list" allowBlank="1" showErrorMessage="1" sqref="J187">
      <formula1>'7월'!$AB$187:$AI$187</formula1>
    </dataValidation>
    <dataValidation type="list" allowBlank="1" showErrorMessage="1" sqref="J220">
      <formula1>'7월'!$AB$220:$AI$220</formula1>
    </dataValidation>
    <dataValidation type="list" allowBlank="1" showErrorMessage="1" sqref="J191">
      <formula1>'7월'!$AB$191:$AI$191</formula1>
    </dataValidation>
    <dataValidation type="list" allowBlank="1" showErrorMessage="1" sqref="J296">
      <formula1>'7월'!$AB$296:$AI$296</formula1>
    </dataValidation>
    <dataValidation type="list" allowBlank="1" showErrorMessage="1" sqref="J339">
      <formula1>'7월'!$AB$339:$AI$339</formula1>
    </dataValidation>
    <dataValidation type="list" allowBlank="1" showErrorMessage="1" sqref="J334">
      <formula1>'7월'!$AB$334:$AI$334</formula1>
    </dataValidation>
    <dataValidation type="list" allowBlank="1" showErrorMessage="1" sqref="J196">
      <formula1>'7월'!$AB$196:$AI$196</formula1>
    </dataValidation>
    <dataValidation type="list" allowBlank="1" showErrorMessage="1" sqref="J385">
      <formula1>'7월'!$AB$385:$AI$385</formula1>
    </dataValidation>
    <dataValidation type="list" allowBlank="1" showErrorMessage="1" sqref="J219">
      <formula1>'7월'!$AB$219:$AI$219</formula1>
    </dataValidation>
    <dataValidation type="list" allowBlank="1" showErrorMessage="1" sqref="J276">
      <formula1>'7월'!$AB$276:$AI$276</formula1>
    </dataValidation>
    <dataValidation type="list" allowBlank="1" showErrorMessage="1" sqref="J291">
      <formula1>'7월'!$AB$291:$AI$291</formula1>
    </dataValidation>
    <dataValidation type="list" allowBlank="1" showErrorMessage="1" sqref="J494">
      <formula1>'7월'!$AB$494:$AI$494</formula1>
    </dataValidation>
    <dataValidation type="list" allowBlank="1" showErrorMessage="1" sqref="J328">
      <formula1>'7월'!$AB$328:$AI$328</formula1>
    </dataValidation>
    <dataValidation type="list" allowBlank="1" showErrorMessage="1" sqref="J111">
      <formula1>'7월'!$AB$111:$AI$111</formula1>
    </dataValidation>
    <dataValidation type="list" allowBlank="1" showErrorMessage="1" sqref="J66">
      <formula1>'7월'!$AB$66:$AI$66</formula1>
    </dataValidation>
    <dataValidation type="list" allowBlank="1" showErrorMessage="1" sqref="J394">
      <formula1>'7월'!$AB$394:$AI$394</formula1>
    </dataValidation>
    <dataValidation type="list" allowBlank="1" showErrorMessage="1" sqref="J200">
      <formula1>'7월'!$AB$200:$AI$200</formula1>
    </dataValidation>
    <dataValidation type="list" allowBlank="1" showErrorMessage="1" sqref="J437">
      <formula1>'7월'!$AB$437:$AI$437</formula1>
    </dataValidation>
    <dataValidation type="list" allowBlank="1" showErrorMessage="1" sqref="J120">
      <formula1>'7월'!$AB$120:$AI$120</formula1>
    </dataValidation>
    <dataValidation type="list" allowBlank="1" showErrorMessage="1" sqref="J474">
      <formula1>'7월'!$AB$474:$AI$474</formula1>
    </dataValidation>
    <dataValidation type="list" allowBlank="1" showErrorMessage="1" sqref="J167">
      <formula1>'7월'!$AB$167:$AI$167</formula1>
    </dataValidation>
    <dataValidation type="list" allowBlank="1" showErrorMessage="1" sqref="J319">
      <formula1>'7월'!$AB$319:$AI$319</formula1>
    </dataValidation>
    <dataValidation type="list" allowBlank="1" showErrorMessage="1" sqref="J285">
      <formula1>'7월'!$AB$285:$AI$285</formula1>
    </dataValidation>
    <dataValidation type="list" allowBlank="1" showErrorMessage="1" sqref="J95">
      <formula1>'7월'!$AB$95:$AI$95</formula1>
    </dataValidation>
    <dataValidation type="list" allowBlank="1" showErrorMessage="1" sqref="J64">
      <formula1>'7월'!$AB$64:$AI$64</formula1>
    </dataValidation>
    <dataValidation type="list" allowBlank="1" showErrorMessage="1" sqref="J256">
      <formula1>'7월'!$AB$256:$AI$256</formula1>
    </dataValidation>
    <dataValidation type="list" allowBlank="1" showErrorMessage="1" sqref="J147">
      <formula1>'7월'!$AB$147:$AI$147</formula1>
    </dataValidation>
    <dataValidation type="list" allowBlank="1" showErrorMessage="1" sqref="J365">
      <formula1>'7월'!$AB$365:$AI$365</formula1>
    </dataValidation>
    <dataValidation type="list" allowBlank="1" showErrorMessage="1" sqref="J176">
      <formula1>'7월'!$AB$176:$AI$176</formula1>
    </dataValidation>
    <dataValidation type="list" allowBlank="1" showErrorMessage="1" sqref="J483">
      <formula1>'7월'!$AB$483:$AI$483</formula1>
    </dataValidation>
    <dataValidation type="list" allowBlank="1" showErrorMessage="1" sqref="J93">
      <formula1>'7월'!$AB$93:$AI$93</formula1>
    </dataValidation>
    <dataValidation type="list" allowBlank="1" showErrorMessage="1" sqref="J308">
      <formula1>'7월'!$AB$308:$AI$308</formula1>
    </dataValidation>
    <dataValidation type="list" allowBlank="1" showErrorMessage="1" sqref="J265">
      <formula1>'7월'!$AB$265:$AI$265</formula1>
    </dataValidation>
    <dataValidation type="list" allowBlank="1" showErrorMessage="1" sqref="J454">
      <formula1>'7월'!$AB$454:$AI$454</formula1>
    </dataValidation>
    <dataValidation type="list" allowBlank="1" showErrorMessage="1" sqref="J100">
      <formula1>'7월'!$AB$100:$AI$100</formula1>
    </dataValidation>
    <dataValidation type="list" allowBlank="1" showErrorMessage="1" sqref="J374">
      <formula1>'7월'!$AB$374:$AI$374</formula1>
    </dataValidation>
    <dataValidation type="list" allowBlank="1" showErrorMessage="1" sqref="J408">
      <formula1>'7월'!$AB$408:$AI$408</formula1>
    </dataValidation>
    <dataValidation type="list" allowBlank="1" showErrorMessage="1" sqref="J417">
      <formula1>'7월'!$AB$417:$AI$417</formula1>
    </dataValidation>
    <dataValidation type="list" allowBlank="1" showErrorMessage="1" sqref="J274">
      <formula1>'7월'!$AB$274:$AI$274</formula1>
    </dataValidation>
    <dataValidation type="list" allowBlank="1" showErrorMessage="1" sqref="J165">
      <formula1>'7월'!$AB$165:$AI$165</formula1>
    </dataValidation>
    <dataValidation type="list" allowBlank="1" showErrorMessage="1" sqref="J198">
      <formula1>'7월'!$AB$198:$AI$198</formula1>
    </dataValidation>
    <dataValidation type="list" allowBlank="1" showErrorMessage="1" sqref="J127">
      <formula1>'7월'!$AB$127:$AI$127</formula1>
    </dataValidation>
    <dataValidation type="list" allowBlank="1" showErrorMessage="1" sqref="J434">
      <formula1>'7월'!$AB$434:$AI$434</formula1>
    </dataValidation>
    <dataValidation type="list" allowBlank="1" showErrorMessage="1" sqref="J340">
      <formula1>'7월'!$AB$340:$AI$340</formula1>
    </dataValidation>
    <dataValidation type="list" allowBlank="1" showErrorMessage="1" sqref="J180">
      <formula1>'7월'!$AB$180:$AI$180</formula1>
    </dataValidation>
    <dataValidation type="list" allowBlank="1" showErrorMessage="1" sqref="J122">
      <formula1>'7월'!$AB$122:$AI$122</formula1>
    </dataValidation>
    <dataValidation type="list" allowBlank="1" showErrorMessage="1" sqref="J472">
      <formula1>'7월'!$AB$472:$AI$472</formula1>
    </dataValidation>
    <dataValidation type="list" allowBlank="1" showErrorMessage="1" sqref="J345">
      <formula1>'7월'!$AB$345:$AI$345</formula1>
    </dataValidation>
    <dataValidation type="list" allowBlank="1" showErrorMessage="1" sqref="J363">
      <formula1>'7월'!$AB$363:$AI$363</formula1>
    </dataValidation>
    <dataValidation type="list" allowBlank="1" showErrorMessage="1" sqref="J396">
      <formula1>'7월'!$AB$396:$AI$396</formula1>
    </dataValidation>
    <dataValidation type="list" allowBlank="1" showErrorMessage="1" sqref="J62">
      <formula1>'7월'!$AB$62:$AI$62</formula1>
    </dataValidation>
    <dataValidation type="list" allowBlank="1" showErrorMessage="1" sqref="J236">
      <formula1>'7월'!$AB$236:$AI$236</formula1>
    </dataValidation>
    <dataValidation type="list" allowBlank="1" showErrorMessage="1" sqref="J231">
      <formula1>'7월'!$AB$231:$AI$231</formula1>
    </dataValidation>
    <dataValidation type="list" allowBlank="1" showErrorMessage="1" sqref="J178">
      <formula1>'7월'!$AB$178:$AI$178</formula1>
    </dataValidation>
    <dataValidation type="list" allowBlank="1" showErrorMessage="1" sqref="J320">
      <formula1>'7월'!$AB$320:$AI$320</formula1>
    </dataValidation>
    <dataValidation type="list" allowBlank="1" showErrorMessage="1" sqref="J97">
      <formula1>'7월'!$AB$97:$AI$97</formula1>
    </dataValidation>
    <dataValidation type="list" allowBlank="1" showErrorMessage="1" sqref="J145">
      <formula1>'7월'!$AB$145:$AI$145</formula1>
    </dataValidation>
    <dataValidation type="list" allowBlank="1" showErrorMessage="1" sqref="J107">
      <formula1>'7월'!$AB$107:$AI$107</formula1>
    </dataValidation>
    <dataValidation type="list" allowBlank="1" showErrorMessage="1" sqref="J254">
      <formula1>'7월'!$AB$254:$AI$254</formula1>
    </dataValidation>
    <dataValidation type="list" allowBlank="1" showErrorMessage="1" sqref="J380">
      <formula1>'7월'!$AB$380:$AI$380</formula1>
    </dataValidation>
    <dataValidation type="list" allowBlank="1" showErrorMessage="1" sqref="J287">
      <formula1>'7월'!$AB$287:$AI$287</formula1>
    </dataValidation>
    <dataValidation type="list" allowBlank="1" showErrorMessage="1" sqref="J414">
      <formula1>'7월'!$AB$414:$AI$414</formula1>
    </dataValidation>
    <dataValidation type="list" allowBlank="1" showErrorMessage="1" sqref="J376">
      <formula1>'7월'!$AB$376:$AI$376</formula1>
    </dataValidation>
    <dataValidation type="list" allowBlank="1" showErrorMessage="1" sqref="J140">
      <formula1>'7월'!$AB$140:$AI$140</formula1>
    </dataValidation>
    <dataValidation type="list" allowBlank="1" showErrorMessage="1" sqref="J325">
      <formula1>'7월'!$AB$325:$AI$325</formula1>
    </dataValidation>
    <dataValidation type="list" allowBlank="1" showErrorMessage="1" sqref="J102">
      <formula1>'7월'!$AB$102:$AI$102</formula1>
    </dataValidation>
    <dataValidation type="list" allowBlank="1" showErrorMessage="1" sqref="J343">
      <formula1>'7월'!$AB$343:$AI$343</formula1>
    </dataValidation>
    <dataValidation type="list" allowBlank="1" showErrorMessage="1" sqref="J216">
      <formula1>'7월'!$AB$216:$AI$216</formula1>
    </dataValidation>
    <dataValidation type="list" allowBlank="1" showErrorMessage="1" sqref="J211">
      <formula1>'7월'!$AB$211:$AI$211</formula1>
    </dataValidation>
    <dataValidation type="list" allowBlank="1" showErrorMessage="1" sqref="J452">
      <formula1>'7월'!$AB$452:$AI$452</formula1>
    </dataValidation>
    <dataValidation type="list" allowBlank="1" showErrorMessage="1" sqref="J485">
      <formula1>'7월'!$AB$485:$AI$485</formula1>
    </dataValidation>
    <dataValidation type="list" allowBlank="1" showErrorMessage="1" sqref="J182">
      <formula1>'7월'!$AB$182:$AI$182</formula1>
    </dataValidation>
    <dataValidation type="list" allowBlank="1" showErrorMessage="1" sqref="J399">
      <formula1>'7월'!$AB$399:$AI$399</formula1>
    </dataValidation>
    <dataValidation type="list" allowBlank="1" showErrorMessage="1" sqref="J323">
      <formula1>'7월'!$AB$323:$AI$323</formula1>
    </dataValidation>
    <dataValidation type="list" allowBlank="1" showErrorMessage="1" sqref="J234">
      <formula1>'7월'!$AB$234:$AI$234</formula1>
    </dataValidation>
    <dataValidation type="list" allowBlank="1" showErrorMessage="1" sqref="J271">
      <formula1>'7월'!$AB$271:$AI$271</formula1>
    </dataValidation>
    <dataValidation type="list" allowBlank="1" showErrorMessage="1" sqref="J305">
      <formula1>'7월'!$AB$305:$AI$305</formula1>
    </dataValidation>
    <dataValidation type="list" allowBlank="1" showErrorMessage="1" sqref="J125">
      <formula1>'7월'!$AB$125:$AI$125</formula1>
    </dataValidation>
    <dataValidation type="list" allowBlank="1" showErrorMessage="1" sqref="J432">
      <formula1>'7월'!$AB$432:$AI$432</formula1>
    </dataValidation>
    <dataValidation type="list" allowBlank="1" showErrorMessage="1" sqref="J162">
      <formula1>'7월'!$AB$162:$AI$162</formula1>
    </dataValidation>
    <dataValidation type="list" allowBlank="1" showErrorMessage="1" sqref="J412">
      <formula1>'7월'!$AB$412:$AI$412</formula1>
    </dataValidation>
    <dataValidation type="list" allowBlank="1" showErrorMessage="1" sqref="J303">
      <formula1>'7월'!$AB$303:$AI$303</formula1>
    </dataValidation>
    <dataValidation type="list" allowBlank="1" showErrorMessage="1" sqref="J160">
      <formula1>'7월'!$AB$160:$AI$160</formula1>
    </dataValidation>
    <dataValidation type="list" allowBlank="1" showErrorMessage="1" sqref="J360">
      <formula1>'7월'!$AB$360:$AI$360</formula1>
    </dataValidation>
    <dataValidation type="list" allowBlank="1" showErrorMessage="1" sqref="J214">
      <formula1>'7월'!$AB$214:$AI$214</formula1>
    </dataValidation>
    <dataValidation type="list" allowBlank="1" showErrorMessage="1" sqref="J251">
      <formula1>'7월'!$AB$251:$AI$251</formula1>
    </dataValidation>
    <dataValidation type="list" allowBlank="1" showErrorMessage="1" sqref="J488">
      <formula1>'7월'!$AB$488:$AI$488</formula1>
    </dataValidation>
    <dataValidation type="list" allowBlank="1" showErrorMessage="1" sqref="J105">
      <formula1>'7월'!$AB$105:$AI$105</formula1>
    </dataValidation>
    <dataValidation type="list" allowBlank="1" showErrorMessage="1" sqref="J379">
      <formula1>'7월'!$AB$379:$AI$379</formula1>
    </dataValidation>
    <dataValidation type="list" allowBlank="1" showErrorMessage="1" sqref="J142">
      <formula1>'7월'!$AB$142:$AI$142</formula1>
    </dataValidation>
    <dataValidation type="list" allowBlank="1" showErrorMessage="1" sqref="J496">
      <formula1>'7월'!$AB$496:$AI$496</formula1>
    </dataValidation>
    <dataValidation type="list" allowBlank="1" showErrorMessage="1" sqref="J430">
      <formula1>'7월'!$AB$430:$AI$430</formula1>
    </dataValidation>
    <dataValidation type="list" allowBlank="1" showErrorMessage="1" sqref="J222">
      <formula1>'7월'!$AB$222:$AI$222</formula1>
    </dataValidation>
    <dataValidation type="list" allowBlank="1" showErrorMessage="1" sqref="J415">
      <formula1>'7월'!$AB$415:$AI$415</formula1>
    </dataValidation>
    <dataValidation type="list" allowBlank="1" showErrorMessage="1" sqref="J184">
      <formula1>'7월'!$AB$184:$AI$184</formula1>
    </dataValidation>
    <dataValidation type="list" allowBlank="1" showErrorMessage="1" sqref="J397">
      <formula1>'7월'!$AB$397:$AI$397</formula1>
    </dataValidation>
    <dataValidation type="list" allowBlank="1" showErrorMessage="1" sqref="J392">
      <formula1>'7월'!$AB$392:$AI$392</formula1>
    </dataValidation>
    <dataValidation type="list" allowBlank="1" showErrorMessage="1" sqref="J123">
      <formula1>'7월'!$AB$123:$AI$123</formula1>
    </dataValidation>
    <dataValidation type="list" allowBlank="1" showErrorMessage="1" sqref="J99">
      <formula1>'7월'!$AB$99:$AI$99</formula1>
    </dataValidation>
    <dataValidation type="list" allowBlank="1" showErrorMessage="1" sqref="J189">
      <formula1>'7월'!$AB$189:$AI$189</formula1>
    </dataValidation>
    <dataValidation type="list" allowBlank="1" showErrorMessage="1" sqref="J316">
      <formula1>'7월'!$AB$316:$AI$316</formula1>
    </dataValidation>
    <dataValidation type="list" allowBlank="1" showErrorMessage="1" sqref="J108">
      <formula1>'7월'!$AB$108:$AI$108</formula1>
    </dataValidation>
    <dataValidation type="list" allowBlank="1" showErrorMessage="1" sqref="J311">
      <formula1>'7월'!$AB$311:$AI$311</formula1>
    </dataValidation>
    <dataValidation type="list" allowBlank="1" showErrorMessage="1" sqref="J326">
      <formula1>'7월'!$AB$326:$AI$326</formula1>
    </dataValidation>
    <dataValidation type="list" allowBlank="1" showErrorMessage="1" sqref="J491">
      <formula1>'7월'!$AB$491:$AI$491</formula1>
    </dataValidation>
    <dataValidation type="list" allowBlank="1" showErrorMessage="1" sqref="J486">
      <formula1>'7월'!$AB$486:$AI$486</formula1>
    </dataValidation>
    <dataValidation type="list" allowBlank="1" showErrorMessage="1" sqref="J278">
      <formula1>'7월'!$AB$278:$AI$278</formula1>
    </dataValidation>
    <dataValidation type="list" allowBlank="1" showErrorMessage="1" sqref="J212">
      <formula1>'7월'!$AB$212:$AI$212</formula1>
    </dataValidation>
    <dataValidation type="list" allowBlank="1" showErrorMessage="1" sqref="J174">
      <formula1>'7월'!$AB$174:$AI$174</formula1>
    </dataValidation>
    <dataValidation type="list" allowBlank="1" showErrorMessage="1" sqref="J179">
      <formula1>'7월'!$AB$179:$AI$179</formula1>
    </dataValidation>
    <dataValidation type="list" allowBlank="1" showErrorMessage="1" sqref="J481">
      <formula1>'7월'!$AB$481:$AI$481</formula1>
    </dataValidation>
    <dataValidation type="list" allowBlank="1" showErrorMessage="1" sqref="J73">
      <formula1>'7월'!$AB$73:$AI$73</formula1>
    </dataValidation>
    <dataValidation type="list" allowBlank="1" showErrorMessage="1" sqref="L62:L500">
      <formula1>'설정시트'!$D$23:$N$23</formula1>
    </dataValidation>
    <dataValidation type="list" allowBlank="1" showErrorMessage="1" sqref="J273">
      <formula1>'7월'!$AB$273:$AI$273</formula1>
    </dataValidation>
    <dataValidation type="list" allowBlank="1" showErrorMessage="1" sqref="J400">
      <formula1>'7월'!$AB$400:$AI$400</formula1>
    </dataValidation>
    <dataValidation type="list" allowBlank="1" showErrorMessage="1" sqref="J149">
      <formula1>'7월'!$AB$149:$AI$149</formula1>
    </dataValidation>
    <dataValidation type="list" allowBlank="1" showErrorMessage="1" sqref="J357">
      <formula1>'7월'!$AB$357:$AI$357</formula1>
    </dataValidation>
    <dataValidation type="list" allowBlank="1" showErrorMessage="1" sqref="J72">
      <formula1>'7월'!$AB$72:$AI$72</formula1>
    </dataValidation>
    <dataValidation type="list" allowBlank="1" showErrorMessage="1" sqref="J263">
      <formula1>'7월'!$AB$263:$AI$263</formula1>
    </dataValidation>
    <dataValidation type="list" allowBlank="1" showErrorMessage="1" sqref="J405">
      <formula1>'7월'!$AB$405:$AI$405</formula1>
    </dataValidation>
    <dataValidation type="list" allowBlank="1" showErrorMessage="1" sqref="J268">
      <formula1>'7월'!$AB$268:$AI$268</formula1>
    </dataValidation>
    <dataValidation type="list" allowBlank="1" showErrorMessage="1" sqref="J301">
      <formula1>'7월'!$AB$301:$AI$301</formula1>
    </dataValidation>
    <dataValidation type="list" allowBlank="1" showErrorMessage="1" sqref="J362">
      <formula1>'7월'!$AB$362:$AI$362</formula1>
    </dataValidation>
    <dataValidation type="list" allowBlank="1" showErrorMessage="1" sqref="J367">
      <formula1>'7월'!$AB$367:$AI$367</formula1>
    </dataValidation>
    <dataValidation type="list" allowBlank="1" showErrorMessage="1" sqref="J446">
      <formula1>'7월'!$AB$446:$AI$446</formula1>
    </dataValidation>
    <dataValidation type="list" allowBlank="1" showErrorMessage="1" sqref="J238">
      <formula1>'7월'!$AB$238:$AI$238</formula1>
    </dataValidation>
    <dataValidation type="list" allowBlank="1" showErrorMessage="1" sqref="J71">
      <formula1>'7월'!$AB$71:$AI$71</formula1>
    </dataValidation>
    <dataValidation type="list" allowBlank="1" showErrorMessage="1" sqref="J366">
      <formula1>'7월'!$AB$366:$AI$366</formula1>
    </dataValidation>
    <dataValidation type="list" allowBlank="1" showErrorMessage="1" sqref="J300">
      <formula1>'7월'!$AB$300:$AI$300</formula1>
    </dataValidation>
    <dataValidation type="list" allowBlank="1" showErrorMessage="1" sqref="J356">
      <formula1>'7월'!$AB$356:$AI$356</formula1>
    </dataValidation>
    <dataValidation type="list" allowBlank="1" showErrorMessage="1" sqref="J148">
      <formula1>'7월'!$AB$148:$AI$148</formula1>
    </dataValidation>
    <dataValidation type="list" allowBlank="1" showErrorMessage="1" sqref="J267">
      <formula1>'7월'!$AB$267:$AI$267</formula1>
    </dataValidation>
    <dataValidation type="list" allowBlank="1" showErrorMessage="1" sqref="J490">
      <formula1>'7월'!$AB$490:$AI$490</formula1>
    </dataValidation>
    <dataValidation type="list" allowBlank="1" showErrorMessage="1" sqref="J456">
      <formula1>'7월'!$AB$456:$AI$456</formula1>
    </dataValidation>
    <dataValidation type="list" allowBlank="1" showErrorMessage="1" sqref="J391">
      <formula1>'7월'!$AB$391:$AI$391</formula1>
    </dataValidation>
    <dataValidation type="list" allowBlank="1" showErrorMessage="1" sqref="J139">
      <formula1>'7월'!$AB$139:$AI$139</formula1>
    </dataValidation>
    <dataValidation type="list" allowBlank="1" showErrorMessage="1" sqref="J317">
      <formula1>'7월'!$AB$317:$AI$317</formula1>
    </dataValidation>
    <dataValidation type="list" allowBlank="1" showErrorMessage="1" sqref="J409">
      <formula1>'7월'!$AB$409:$AI$409</formula1>
    </dataValidation>
    <dataValidation type="list" allowBlank="1" showErrorMessage="1" sqref="J445">
      <formula1>'7월'!$AB$445:$AI$445</formula1>
    </dataValidation>
    <dataValidation type="list" allowBlank="1" showErrorMessage="1" sqref="J237">
      <formula1>'7월'!$AB$237:$AI$237</formula1>
    </dataValidation>
    <dataValidation type="list" allowBlank="1" showErrorMessage="1" sqref="J109">
      <formula1>'7월'!$AB$109:$AI$109</formula1>
    </dataValidation>
    <dataValidation type="list" allowBlank="1" showErrorMessage="1" sqref="J70">
      <formula1>'7월'!$AB$70:$AI$70</formula1>
    </dataValidation>
    <dataValidation type="list" allowBlank="1" showErrorMessage="1" sqref="J227">
      <formula1>'7월'!$AB$227:$AI$227</formula1>
    </dataValidation>
    <dataValidation type="list" allowBlank="1" showErrorMessage="1" sqref="J185">
      <formula1>'7월'!$AB$185:$AI$185</formula1>
    </dataValidation>
    <dataValidation type="list" allowBlank="1" showErrorMessage="1" sqref="J393">
      <formula1>'7월'!$AB$393:$AI$393</formula1>
    </dataValidation>
    <dataValidation type="list" allowBlank="1" showErrorMessage="1" sqref="J455">
      <formula1>'7월'!$AB$455:$AI$455</formula1>
    </dataValidation>
    <dataValidation type="list" allowBlank="1" showErrorMessage="1" sqref="J327">
      <formula1>'7월'!$AB$327:$AI$327</formula1>
    </dataValidation>
    <dataValidation type="list" allowBlank="1" showErrorMessage="1" sqref="J492">
      <formula1>'7월'!$AB$492:$AI$492</formula1>
    </dataValidation>
    <dataValidation type="list" allowBlank="1" showErrorMessage="1" sqref="J175">
      <formula1>'7월'!$AB$175:$AI$175</formula1>
    </dataValidation>
    <dataValidation type="list" allowBlank="1" showErrorMessage="1" sqref="J138">
      <formula1>'7월'!$AB$138:$AI$138</formula1>
    </dataValidation>
    <dataValidation type="list" allowBlank="1" showErrorMessage="1" sqref="J228">
      <formula1>'7월'!$AB$228:$AI$228</formula1>
    </dataValidation>
    <dataValidation type="list" allowBlank="1" showErrorMessage="1" sqref="J482">
      <formula1>'7월'!$AB$482:$AI$482</formula1>
    </dataValidation>
    <dataValidation type="list" allowBlank="1" showErrorMessage="1" sqref="J132">
      <formula1>'7월'!$AB$132:$AI$132</formula1>
    </dataValidation>
    <dataValidation type="list" allowBlank="1" showErrorMessage="1" sqref="J368">
      <formula1>'7월'!$AB$368:$AI$368</formula1>
    </dataValidation>
    <dataValidation type="list" allowBlank="1" showErrorMessage="1" sqref="J401">
      <formula1>'7월'!$AB$401:$AI$401</formula1>
    </dataValidation>
    <dataValidation type="list" allowBlank="1" showErrorMessage="1" sqref="J75">
      <formula1>'7월'!$AB$75:$AI$75</formula1>
    </dataValidation>
    <dataValidation type="list" allowBlank="1" showErrorMessage="1" sqref="J226">
      <formula1>'7월'!$AB$226:$AI$226</formula1>
    </dataValidation>
    <dataValidation type="list" allowBlank="1" showErrorMessage="1" sqref="J406">
      <formula1>'7월'!$AB$406:$AI$406</formula1>
    </dataValidation>
    <dataValidation type="list" allowBlank="1" showErrorMessage="1" sqref="J419">
      <formula1>'7월'!$AB$419:$AI$419</formula1>
    </dataValidation>
    <dataValidation type="list" allowBlank="1" showErrorMessage="1" sqref="J312">
      <formula1>'7월'!$AB$312:$AI$312</formula1>
    </dataValidation>
    <dataValidation type="list" allowBlank="1" showErrorMessage="1" sqref="J137">
      <formula1>'7월'!$AB$137:$AI$137</formula1>
    </dataValidation>
    <dataValidation type="list" allowBlank="1" showErrorMessage="1" sqref="J188">
      <formula1>'7월'!$AB$188:$AI$188</formula1>
    </dataValidation>
    <dataValidation type="list" allowBlank="1" showErrorMessage="1" sqref="J444">
      <formula1>'7월'!$AB$444:$AI$444</formula1>
    </dataValidation>
    <dataValidation type="list" allowBlank="1" showErrorMessage="1" sqref="J264">
      <formula1>'7월'!$AB$264:$AI$264</formula1>
    </dataValidation>
    <dataValidation type="list" allowBlank="1" showErrorMessage="1" sqref="J239">
      <formula1>'7월'!$AB$239:$AI$239</formula1>
    </dataValidation>
    <dataValidation type="list" allowBlank="1" showErrorMessage="1" sqref="J353">
      <formula1>'7월'!$AB$353:$AI$353</formula1>
    </dataValidation>
    <dataValidation type="list" allowBlank="1" showErrorMessage="1" sqref="J315">
      <formula1>'7월'!$AB$315:$AI$315</formula1>
    </dataValidation>
    <dataValidation type="list" allowBlank="1" showErrorMessage="1" sqref="J221">
      <formula1>'7월'!$AB$221:$AI$221</formula1>
    </dataValidation>
    <dataValidation type="list" allowBlank="1" showErrorMessage="1" sqref="J91">
      <formula1>'7월'!$AB$91:$AI$91</formula1>
    </dataValidation>
    <dataValidation type="list" allowBlank="1" showErrorMessage="1" sqref="J495">
      <formula1>'7월'!$AB$495:$AI$495</formula1>
    </dataValidation>
    <dataValidation type="list" allowBlank="1" showErrorMessage="1" sqref="J135">
      <formula1>'7월'!$AB$135:$AI$135</formula1>
    </dataValidation>
    <dataValidation type="list" allowBlank="1" showErrorMessage="1" sqref="J310">
      <formula1>'7월'!$AB$310:$AI$310</formula1>
    </dataValidation>
    <dataValidation type="list" allowBlank="1" showErrorMessage="1" sqref="J173">
      <formula1>'7월'!$AB$173:$AI$173</formula1>
    </dataValidation>
    <dataValidation type="list" allowBlank="1" showErrorMessage="1" sqref="J277">
      <formula1>'7월'!$AB$277:$AI$277</formula1>
    </dataValidation>
    <dataValidation type="list" allowBlank="1" showErrorMessage="1" sqref="J390">
      <formula1>'7월'!$AB$390:$AI$390</formula1>
    </dataValidation>
    <dataValidation type="list" allowBlank="1" showErrorMessage="1" sqref="J480">
      <formula1>'7월'!$AB$480:$AI$480</formula1>
    </dataValidation>
    <dataValidation type="list" allowBlank="1" showErrorMessage="1" sqref="J90">
      <formula1>'7월'!$AB$90:$AI$90</formula1>
    </dataValidation>
    <dataValidation type="list" allowBlank="1" showErrorMessage="1" sqref="J457">
      <formula1>'7월'!$AB$457:$AI$457</formula1>
    </dataValidation>
    <dataValidation type="list" allowBlank="1" showErrorMessage="1" sqref="J224">
      <formula1>'7월'!$AB$224:$AI$224</formula1>
    </dataValidation>
    <dataValidation type="list" allowBlank="1" showErrorMessage="1" sqref="J262">
      <formula1>'7월'!$AB$262:$AI$262</formula1>
    </dataValidation>
    <dataValidation type="list" allowBlank="1" showErrorMessage="1" sqref="J352">
      <formula1>'7월'!$AB$352:$AI$352</formula1>
    </dataValidation>
    <dataValidation type="list" allowBlank="1" showErrorMessage="1" sqref="J442">
      <formula1>'7월'!$AB$442:$AI$442</formula1>
    </dataValidation>
    <dataValidation type="list" allowBlank="1" showErrorMessage="1" sqref="J172">
      <formula1>'7월'!$AB$172:$AI$172</formula1>
    </dataValidation>
    <dataValidation type="list" allowBlank="1" showErrorMessage="1" sqref="J404">
      <formula1>'7월'!$AB$404:$AI$404</formula1>
    </dataValidation>
    <dataValidation type="list" allowBlank="1" showErrorMessage="1" sqref="J77">
      <formula1>'7월'!$AB$77:$AI$77</formula1>
    </dataValidation>
    <dataValidation type="list" allowBlank="1" showErrorMessage="1" sqref="J441">
      <formula1>'7월'!$AB$441:$AI$441</formula1>
    </dataValidation>
    <dataValidation type="list" allowBlank="1" showErrorMessage="1" sqref="J314">
      <formula1>'7월'!$AB$314:$AI$314</formula1>
    </dataValidation>
    <dataValidation type="list" allowBlank="1" showErrorMessage="1" sqref="J134">
      <formula1>'7월'!$AB$134:$AI$134</formula1>
    </dataValidation>
    <dataValidation type="list" allowBlank="1" showErrorMessage="1" sqref="J498">
      <formula1>'7월'!$AB$498:$AI$498</formula1>
    </dataValidation>
    <dataValidation type="list" allowBlank="1" showErrorMessage="1" sqref="J74">
      <formula1>'7월'!$AB$74:$AI$74</formula1>
    </dataValidation>
    <dataValidation type="list" allowBlank="1" showErrorMessage="1" sqref="J223">
      <formula1>'7월'!$AB$223:$AI$223</formula1>
    </dataValidation>
    <dataValidation type="list" allowBlank="1" showErrorMessage="1" sqref="J497">
      <formula1>'7월'!$AB$497:$AI$497</formula1>
    </dataValidation>
    <dataValidation type="list" allowBlank="1" showErrorMessage="1" sqref="J76">
      <formula1>'7월'!$AB$76:$AI$76</formula1>
    </dataValidation>
    <dataValidation type="list" allowBlank="1" showErrorMessage="1" sqref="J351">
      <formula1>'7월'!$AB$351:$AI$351</formula1>
    </dataValidation>
    <dataValidation type="list" allowBlank="1" showErrorMessage="1" sqref="J261">
      <formula1>'7월'!$AB$261:$AI$261</formula1>
    </dataValidation>
    <dataValidation type="list" allowBlank="1" showErrorMessage="1" sqref="J402">
      <formula1>'7월'!$AB$402:$AI$402</formula1>
    </dataValidation>
    <dataValidation type="list" allowBlank="1" showErrorMessage="1" sqref="J459">
      <formula1>'7월'!$AB$459:$AI$459</formula1>
    </dataValidation>
    <dataValidation type="list" allowBlank="1" showErrorMessage="1" sqref="J279">
      <formula1>'7월'!$AB$279:$AI$279</formula1>
    </dataValidation>
    <dataValidation type="list" allowBlank="1" showErrorMessage="1" sqref="J369">
      <formula1>'7월'!$AB$369:$AI$369</formula1>
    </dataValidation>
    <dataValidation type="list" allowBlank="1" showErrorMessage="1" sqref="J440">
      <formula1>'7월'!$AB$440:$AI$440</formula1>
    </dataValidation>
    <dataValidation type="list" allowBlank="1" showErrorMessage="1" sqref="J403">
      <formula1>'7월'!$AB$403:$AI$403</formula1>
    </dataValidation>
    <dataValidation type="list" allowBlank="1" showErrorMessage="1" sqref="J313">
      <formula1>'7월'!$AB$313:$AI$313</formula1>
    </dataValidation>
    <dataValidation type="list" allowBlank="1" showErrorMessage="1" sqref="J350">
      <formula1>'7월'!$AB$350:$AI$350</formula1>
    </dataValidation>
    <dataValidation type="list" allowBlank="1" showErrorMessage="1" sqref="J133">
      <formula1>'7월'!$AB$133:$AI$133</formula1>
    </dataValidation>
    <dataValidation type="list" allowBlank="1" showErrorMessage="1" sqref="J170">
      <formula1>'7월'!$AB$170:$AI$170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8.0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45865</v>
      </c>
      <c r="S9" s="117">
        <f t="shared" ref="S9:X9" si="1">R9 + 1</f>
        <v>45866</v>
      </c>
      <c r="T9" s="118">
        <f t="shared" si="1"/>
        <v>45867</v>
      </c>
      <c r="U9" s="118">
        <f t="shared" si="1"/>
        <v>45868</v>
      </c>
      <c r="V9" s="118">
        <f t="shared" si="1"/>
        <v>45869</v>
      </c>
      <c r="W9" s="118">
        <f t="shared" si="1"/>
        <v>45870</v>
      </c>
      <c r="X9" s="119">
        <f t="shared" si="1"/>
        <v>45871</v>
      </c>
      <c r="Y9" s="120"/>
      <c r="AB9" s="121" t="str">
        <f>$H$25</f>
        <v>🍪고정비</v>
      </c>
      <c r="AC9" s="122">
        <f>$K$31</f>
        <v>0</v>
      </c>
      <c r="AD9" s="123">
        <f t="shared" ref="AD9:AD20" si="4">_xlfn.RANK.EQ(AC9,$AB$9:$AC$20,0) + ROW(AB1)/10000</f>
        <v>10.0001</v>
      </c>
      <c r="AE9" s="123">
        <f t="shared" ref="AE9:AE20" si="5">SMALL($AD$9:$AD$20, ROW(AB1))</f>
        <v>1.0006</v>
      </c>
      <c r="AF9" s="123" t="str">
        <f t="shared" ref="AF9:AF20" si="6">INDEX($AB$9:$AB$20,MATCH(AE9,$AD$9:$AD$20,0))</f>
        <v>🐻식비</v>
      </c>
      <c r="AG9" s="122">
        <f t="shared" ref="AG9:AG20" si="7">INDEX($AC$9:$AC$20,MATCH(AE9,$AD$9:$AD$20,0))</f>
        <v>596135</v>
      </c>
    </row>
    <row r="10">
      <c r="E10" s="114" t="s">
        <v>55</v>
      </c>
      <c r="F10" s="115">
        <f t="shared" si="2"/>
        <v>0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0</v>
      </c>
      <c r="V10" s="126">
        <f t="shared" si="3"/>
        <v>0</v>
      </c>
      <c r="W10" s="126">
        <f t="shared" si="3"/>
        <v>245500</v>
      </c>
      <c r="X10" s="126">
        <f t="shared" si="3"/>
        <v>668</v>
      </c>
      <c r="Y10" s="126">
        <f>SUM(R10:X10)</f>
        <v>246168</v>
      </c>
      <c r="AB10" s="121" t="str">
        <f>$H$33</f>
        <v>🐻고정비</v>
      </c>
      <c r="AC10" s="122">
        <f>$K$39</f>
        <v>488140</v>
      </c>
      <c r="AD10" s="123">
        <f t="shared" si="4"/>
        <v>2.0002</v>
      </c>
      <c r="AE10" s="123">
        <f t="shared" si="5"/>
        <v>2.0002</v>
      </c>
      <c r="AF10" s="123" t="str">
        <f t="shared" si="6"/>
        <v>🐻고정비</v>
      </c>
      <c r="AG10" s="122">
        <f t="shared" si="7"/>
        <v>488140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45872</v>
      </c>
      <c r="S11" s="128">
        <f t="shared" si="8"/>
        <v>45873</v>
      </c>
      <c r="T11" s="117">
        <f t="shared" si="8"/>
        <v>45874</v>
      </c>
      <c r="U11" s="117">
        <f t="shared" si="8"/>
        <v>45875</v>
      </c>
      <c r="V11" s="118">
        <f t="shared" si="8"/>
        <v>45876</v>
      </c>
      <c r="W11" s="129">
        <f t="shared" si="8"/>
        <v>45877</v>
      </c>
      <c r="X11" s="130">
        <f t="shared" si="8"/>
        <v>45878</v>
      </c>
      <c r="Y11" s="131"/>
      <c r="AB11" s="121" t="str">
        <f>$H$41</f>
        <v>🍪생필품</v>
      </c>
      <c r="AC11" s="122">
        <f>$K$47</f>
        <v>0</v>
      </c>
      <c r="AD11" s="123">
        <f t="shared" si="4"/>
        <v>10.0003</v>
      </c>
      <c r="AE11" s="123">
        <f t="shared" si="5"/>
        <v>3.0012</v>
      </c>
      <c r="AF11" s="123" t="str">
        <f t="shared" si="6"/>
        <v>🐻 이벤트성</v>
      </c>
      <c r="AG11" s="122">
        <f t="shared" si="7"/>
        <v>467924</v>
      </c>
    </row>
    <row r="12">
      <c r="C12" s="132" t="s">
        <v>136</v>
      </c>
      <c r="D12" s="133">
        <f>F33</f>
        <v>4619920</v>
      </c>
      <c r="E12" s="114" t="s">
        <v>57</v>
      </c>
      <c r="F12" s="115">
        <f t="shared" si="2"/>
        <v>0</v>
      </c>
      <c r="R12" s="134">
        <f t="shared" ref="R12:X12" si="9">SUMIFS($K$62:$K$500,$H$62:$H$500,R11,$I$62:$I$500,"&lt;&gt;수입",$I$62:$I$500,"&lt;&gt;저축")</f>
        <v>68348</v>
      </c>
      <c r="S12" s="135">
        <f t="shared" si="9"/>
        <v>0</v>
      </c>
      <c r="T12" s="136">
        <f t="shared" si="9"/>
        <v>4100</v>
      </c>
      <c r="U12" s="136">
        <f t="shared" si="9"/>
        <v>26091</v>
      </c>
      <c r="V12" s="134">
        <f t="shared" si="9"/>
        <v>103300</v>
      </c>
      <c r="W12" s="137">
        <f t="shared" si="9"/>
        <v>52840</v>
      </c>
      <c r="X12" s="137">
        <f t="shared" si="9"/>
        <v>155400</v>
      </c>
      <c r="Y12" s="137">
        <f>SUM(R12:X12)</f>
        <v>410079</v>
      </c>
      <c r="AB12" s="121" t="str">
        <f>$H$49</f>
        <v>🐻생필품</v>
      </c>
      <c r="AC12" s="122">
        <f>$K$55</f>
        <v>27290</v>
      </c>
      <c r="AD12" s="123">
        <f t="shared" si="4"/>
        <v>9.0004</v>
      </c>
      <c r="AE12" s="123">
        <f t="shared" si="5"/>
        <v>4.001</v>
      </c>
      <c r="AF12" s="123" t="str">
        <f t="shared" si="6"/>
        <v>🐻기타</v>
      </c>
      <c r="AG12" s="122">
        <f t="shared" si="7"/>
        <v>385100</v>
      </c>
    </row>
    <row r="13">
      <c r="C13" s="46"/>
      <c r="D13" s="138"/>
      <c r="E13" s="114" t="s">
        <v>58</v>
      </c>
      <c r="F13" s="115">
        <f t="shared" si="2"/>
        <v>0</v>
      </c>
      <c r="I13" s="94"/>
      <c r="J13" s="94"/>
      <c r="R13" s="127">
        <f t="shared" ref="R13:X13" si="10">R11+7</f>
        <v>45879</v>
      </c>
      <c r="S13" s="128">
        <f t="shared" si="10"/>
        <v>45880</v>
      </c>
      <c r="T13" s="117">
        <f t="shared" si="10"/>
        <v>45881</v>
      </c>
      <c r="U13" s="117">
        <f t="shared" si="10"/>
        <v>45882</v>
      </c>
      <c r="V13" s="118">
        <f t="shared" si="10"/>
        <v>45883</v>
      </c>
      <c r="W13" s="129">
        <f t="shared" si="10"/>
        <v>45884</v>
      </c>
      <c r="X13" s="130">
        <f t="shared" si="10"/>
        <v>45885</v>
      </c>
      <c r="Y13" s="131"/>
      <c r="AB13" s="121" t="str">
        <f>$M$25</f>
        <v>🍪식비</v>
      </c>
      <c r="AC13" s="122">
        <f>$P$31</f>
        <v>107500</v>
      </c>
      <c r="AD13" s="123">
        <f t="shared" si="4"/>
        <v>8.0005</v>
      </c>
      <c r="AE13" s="123">
        <f t="shared" si="5"/>
        <v>5.0007</v>
      </c>
      <c r="AF13" s="123" t="str">
        <f t="shared" si="6"/>
        <v>🍪여가비</v>
      </c>
      <c r="AG13" s="122">
        <f t="shared" si="7"/>
        <v>229000</v>
      </c>
    </row>
    <row r="14">
      <c r="C14" s="132" t="s">
        <v>137</v>
      </c>
      <c r="D14" s="133">
        <f>SUM($K$31+$K$39+$K$47+$K$55+$P$31+$P$39+$P$47+$P$55+X31+X39+X47+X55)</f>
        <v>2647189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7300</v>
      </c>
      <c r="S14" s="135">
        <f t="shared" si="11"/>
        <v>224750</v>
      </c>
      <c r="T14" s="136">
        <f t="shared" si="11"/>
        <v>22000</v>
      </c>
      <c r="U14" s="136">
        <f t="shared" si="11"/>
        <v>8000</v>
      </c>
      <c r="V14" s="134">
        <f t="shared" si="11"/>
        <v>64000</v>
      </c>
      <c r="W14" s="137">
        <f t="shared" si="11"/>
        <v>42500</v>
      </c>
      <c r="X14" s="137">
        <f t="shared" si="11"/>
        <v>348770</v>
      </c>
      <c r="Y14" s="137">
        <f>SUM(R14:X14)</f>
        <v>717320</v>
      </c>
      <c r="AB14" s="121" t="str">
        <f>$M$33</f>
        <v>🐻식비</v>
      </c>
      <c r="AC14" s="122">
        <f>$P$39</f>
        <v>596135</v>
      </c>
      <c r="AD14" s="123">
        <f t="shared" si="4"/>
        <v>1.0006</v>
      </c>
      <c r="AE14" s="123">
        <f t="shared" si="5"/>
        <v>6.0011</v>
      </c>
      <c r="AF14" s="123" t="str">
        <f t="shared" si="6"/>
        <v>🍪이벤트성</v>
      </c>
      <c r="AG14" s="122">
        <f t="shared" si="7"/>
        <v>179200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45886</v>
      </c>
      <c r="S15" s="128">
        <f t="shared" si="12"/>
        <v>45887</v>
      </c>
      <c r="T15" s="117">
        <f t="shared" si="12"/>
        <v>45888</v>
      </c>
      <c r="U15" s="117">
        <f t="shared" si="12"/>
        <v>45889</v>
      </c>
      <c r="V15" s="118">
        <f t="shared" si="12"/>
        <v>45890</v>
      </c>
      <c r="W15" s="129">
        <f t="shared" si="12"/>
        <v>45891</v>
      </c>
      <c r="X15" s="130">
        <f t="shared" si="12"/>
        <v>45892</v>
      </c>
      <c r="Y15" s="131"/>
      <c r="AB15" s="121" t="str">
        <f>$M$41</f>
        <v>🍪여가비</v>
      </c>
      <c r="AC15" s="122">
        <f>$P$47</f>
        <v>229000</v>
      </c>
      <c r="AD15" s="123">
        <f t="shared" si="4"/>
        <v>5.0007</v>
      </c>
      <c r="AE15" s="123">
        <f t="shared" si="5"/>
        <v>7.0008</v>
      </c>
      <c r="AF15" s="123" t="str">
        <f t="shared" si="6"/>
        <v>🐻여가비</v>
      </c>
      <c r="AG15" s="122">
        <f t="shared" si="7"/>
        <v>166900</v>
      </c>
    </row>
    <row r="16">
      <c r="C16" s="132" t="s">
        <v>138</v>
      </c>
      <c r="D16" s="133">
        <f>F43</f>
        <v>0</v>
      </c>
      <c r="E16" s="114" t="s">
        <v>61</v>
      </c>
      <c r="F16" s="115">
        <f t="shared" si="2"/>
        <v>3300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96100</v>
      </c>
      <c r="S16" s="135">
        <f t="shared" si="13"/>
        <v>1200</v>
      </c>
      <c r="T16" s="136">
        <f t="shared" si="13"/>
        <v>2700</v>
      </c>
      <c r="U16" s="136">
        <f t="shared" si="13"/>
        <v>84950</v>
      </c>
      <c r="V16" s="134">
        <f t="shared" si="13"/>
        <v>302000</v>
      </c>
      <c r="W16" s="137">
        <f t="shared" si="13"/>
        <v>0</v>
      </c>
      <c r="X16" s="137">
        <f t="shared" si="13"/>
        <v>29900</v>
      </c>
      <c r="Y16" s="137">
        <f>SUM(R16:X16)</f>
        <v>516850</v>
      </c>
      <c r="AB16" s="121" t="str">
        <f>$M$49</f>
        <v>🐻여가비</v>
      </c>
      <c r="AC16" s="122">
        <f>$P$55</f>
        <v>166900</v>
      </c>
      <c r="AD16" s="123">
        <f t="shared" si="4"/>
        <v>7.0008</v>
      </c>
      <c r="AE16" s="123">
        <f t="shared" si="5"/>
        <v>8.0005</v>
      </c>
      <c r="AF16" s="123" t="str">
        <f t="shared" si="6"/>
        <v>🍪식비</v>
      </c>
      <c r="AG16" s="122">
        <f t="shared" si="7"/>
        <v>107500</v>
      </c>
    </row>
    <row r="17">
      <c r="C17" s="46"/>
      <c r="D17" s="138"/>
      <c r="E17" s="114" t="s">
        <v>62</v>
      </c>
      <c r="F17" s="115">
        <f t="shared" si="2"/>
        <v>183000</v>
      </c>
      <c r="H17" s="142"/>
      <c r="I17" s="143"/>
      <c r="J17" s="144"/>
      <c r="K17" s="145"/>
      <c r="R17" s="127">
        <f t="shared" ref="R17:X17" si="14">R15+7</f>
        <v>45893</v>
      </c>
      <c r="S17" s="128">
        <f t="shared" si="14"/>
        <v>45894</v>
      </c>
      <c r="T17" s="117">
        <f t="shared" si="14"/>
        <v>45895</v>
      </c>
      <c r="U17" s="117">
        <f t="shared" si="14"/>
        <v>45896</v>
      </c>
      <c r="V17" s="118">
        <f t="shared" si="14"/>
        <v>45897</v>
      </c>
      <c r="W17" s="129">
        <f t="shared" si="14"/>
        <v>45898</v>
      </c>
      <c r="X17" s="130">
        <f t="shared" si="14"/>
        <v>45899</v>
      </c>
      <c r="Y17" s="131"/>
      <c r="AB17" s="121" t="str">
        <f>$R$25</f>
        <v>🍪기타</v>
      </c>
      <c r="AC17" s="122">
        <f>$X$31</f>
        <v>0</v>
      </c>
      <c r="AD17" s="123">
        <f t="shared" si="4"/>
        <v>10.0009</v>
      </c>
      <c r="AE17" s="123">
        <f t="shared" si="5"/>
        <v>9.0004</v>
      </c>
      <c r="AF17" s="123" t="str">
        <f t="shared" si="6"/>
        <v>🐻생필품</v>
      </c>
      <c r="AG17" s="122">
        <f t="shared" si="7"/>
        <v>27290</v>
      </c>
    </row>
    <row r="18">
      <c r="C18" s="146" t="s">
        <v>140</v>
      </c>
      <c r="D18" s="147">
        <f>D12-D14-D16</f>
        <v>1972731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0</v>
      </c>
      <c r="S18" s="148">
        <f t="shared" si="15"/>
        <v>27000</v>
      </c>
      <c r="T18" s="149">
        <f t="shared" si="15"/>
        <v>306240</v>
      </c>
      <c r="U18" s="149">
        <f t="shared" si="15"/>
        <v>9200</v>
      </c>
      <c r="V18" s="126">
        <f t="shared" si="15"/>
        <v>0</v>
      </c>
      <c r="W18" s="150">
        <f t="shared" si="15"/>
        <v>263400</v>
      </c>
      <c r="X18" s="150">
        <f t="shared" si="15"/>
        <v>138600</v>
      </c>
      <c r="Y18" s="150">
        <f>SUM(R18:X18)</f>
        <v>744440</v>
      </c>
      <c r="AB18" s="121" t="str">
        <f>$R$33</f>
        <v>🐻기타</v>
      </c>
      <c r="AC18" s="122">
        <f>$X$39</f>
        <v>385100</v>
      </c>
      <c r="AD18" s="123">
        <f t="shared" si="4"/>
        <v>4.001</v>
      </c>
      <c r="AE18" s="123">
        <f t="shared" si="5"/>
        <v>10.0001</v>
      </c>
      <c r="AF18" s="123" t="str">
        <f t="shared" si="6"/>
        <v>🍪고정비</v>
      </c>
      <c r="AG18" s="122">
        <f t="shared" si="7"/>
        <v>0</v>
      </c>
    </row>
    <row r="19">
      <c r="C19" s="151" t="s">
        <v>141</v>
      </c>
      <c r="D19" s="152">
        <f>(D16+D18)/D12</f>
        <v>0.427005446</v>
      </c>
      <c r="E19" s="114" t="s">
        <v>64</v>
      </c>
      <c r="F19" s="115">
        <f t="shared" si="2"/>
        <v>2242557</v>
      </c>
      <c r="H19" s="142"/>
      <c r="I19" s="143"/>
      <c r="J19" s="144"/>
      <c r="K19" s="145"/>
      <c r="R19" s="153">
        <f t="shared" ref="R19:X19" si="16">R17+7</f>
        <v>45900</v>
      </c>
      <c r="S19" s="154">
        <f t="shared" si="16"/>
        <v>45901</v>
      </c>
      <c r="T19" s="155">
        <f t="shared" si="16"/>
        <v>45902</v>
      </c>
      <c r="U19" s="155">
        <f t="shared" si="16"/>
        <v>45903</v>
      </c>
      <c r="V19" s="156">
        <f t="shared" si="16"/>
        <v>45904</v>
      </c>
      <c r="W19" s="157">
        <f t="shared" si="16"/>
        <v>45905</v>
      </c>
      <c r="X19" s="158">
        <f t="shared" si="16"/>
        <v>45906</v>
      </c>
      <c r="Y19" s="159"/>
      <c r="AB19" s="121" t="str">
        <f>$R$41</f>
        <v>🍪이벤트성</v>
      </c>
      <c r="AC19" s="122">
        <f>$X$47</f>
        <v>179200</v>
      </c>
      <c r="AD19" s="123">
        <f t="shared" si="4"/>
        <v>6.0011</v>
      </c>
      <c r="AE19" s="123">
        <f t="shared" si="5"/>
        <v>10.0003</v>
      </c>
      <c r="AF19" s="123" t="str">
        <f t="shared" si="6"/>
        <v>🍪생필품</v>
      </c>
      <c r="AG19" s="122">
        <f t="shared" si="7"/>
        <v>0</v>
      </c>
    </row>
    <row r="20">
      <c r="C20" s="160" t="s">
        <v>142</v>
      </c>
      <c r="D20" s="161">
        <f>D18/D12</f>
        <v>0.427005446</v>
      </c>
      <c r="E20" s="162" t="s">
        <v>65</v>
      </c>
      <c r="F20" s="163">
        <f>SUM($F$9:$F$19)</f>
        <v>2428857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23000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23000</v>
      </c>
      <c r="AB20" s="121" t="str">
        <f>$R$49</f>
        <v>🐻 이벤트성</v>
      </c>
      <c r="AC20" s="122">
        <f>$X$55</f>
        <v>467924</v>
      </c>
      <c r="AD20" s="123">
        <f t="shared" si="4"/>
        <v>3.0012</v>
      </c>
      <c r="AE20" s="123">
        <f t="shared" si="5"/>
        <v>10.0009</v>
      </c>
      <c r="AF20" s="123" t="str">
        <f t="shared" si="6"/>
        <v>🍪기타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8000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0</v>
      </c>
      <c r="M26" s="45"/>
      <c r="N26" s="41" t="s">
        <v>28</v>
      </c>
      <c r="O26" s="179"/>
      <c r="P26" s="115">
        <f t="shared" si="20"/>
        <v>54800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0</v>
      </c>
      <c r="Y26" s="145"/>
    </row>
    <row r="27">
      <c r="C27" s="45"/>
      <c r="D27" s="41" t="s">
        <v>6</v>
      </c>
      <c r="E27" s="179"/>
      <c r="F27" s="115">
        <f t="shared" si="18"/>
        <v>4399920</v>
      </c>
      <c r="H27" s="45"/>
      <c r="I27" s="41" t="s">
        <v>17</v>
      </c>
      <c r="J27" s="179"/>
      <c r="K27" s="115">
        <f t="shared" si="19"/>
        <v>0</v>
      </c>
      <c r="M27" s="45"/>
      <c r="N27" s="41" t="s">
        <v>29</v>
      </c>
      <c r="O27" s="179"/>
      <c r="P27" s="115">
        <f t="shared" si="20"/>
        <v>15100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0</v>
      </c>
      <c r="M28" s="45"/>
      <c r="N28" s="41" t="s">
        <v>30</v>
      </c>
      <c r="O28" s="179"/>
      <c r="P28" s="115">
        <f t="shared" si="20"/>
        <v>29600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0</v>
      </c>
      <c r="Y28" s="145"/>
    </row>
    <row r="29">
      <c r="C29" s="45"/>
      <c r="D29" s="41" t="s">
        <v>8</v>
      </c>
      <c r="E29" s="179"/>
      <c r="F29" s="115">
        <f t="shared" si="18"/>
        <v>220000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0</v>
      </c>
      <c r="M31" s="187" t="str">
        <f>IF(M25=0,"","총"&amp;M25)</f>
        <v>총🍪식비</v>
      </c>
      <c r="N31" s="188"/>
      <c r="O31" s="175"/>
      <c r="P31" s="189">
        <f>SUM(P25:P30)</f>
        <v>107500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0</v>
      </c>
      <c r="M32" s="184"/>
      <c r="N32" s="191"/>
      <c r="O32" s="185"/>
      <c r="P32" s="193">
        <f>P31-O25</f>
        <v>107500</v>
      </c>
      <c r="R32" s="184"/>
      <c r="S32" s="191"/>
      <c r="T32" s="191"/>
      <c r="U32" s="191"/>
      <c r="V32" s="191"/>
      <c r="W32" s="185"/>
      <c r="X32" s="194">
        <f>X31-V25</f>
        <v>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4619920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311290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121134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45000</v>
      </c>
      <c r="Y33" s="145"/>
    </row>
    <row r="34">
      <c r="C34" s="184"/>
      <c r="D34" s="191"/>
      <c r="E34" s="185"/>
      <c r="F34" s="195">
        <f>F33-E25</f>
        <v>4619920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176400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66850</v>
      </c>
      <c r="M35" s="45"/>
      <c r="N35" s="41" t="s">
        <v>29</v>
      </c>
      <c r="O35" s="179"/>
      <c r="P35" s="115">
        <f t="shared" si="23"/>
        <v>52400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0</v>
      </c>
      <c r="M36" s="45"/>
      <c r="N36" s="41" t="s">
        <v>30</v>
      </c>
      <c r="O36" s="179"/>
      <c r="P36" s="115">
        <f t="shared" si="23"/>
        <v>422601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4700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110000</v>
      </c>
      <c r="M37" s="45"/>
      <c r="N37" s="41" t="s">
        <v>8</v>
      </c>
      <c r="O37" s="179"/>
      <c r="P37" s="115">
        <f t="shared" si="23"/>
        <v>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159000</v>
      </c>
      <c r="Y37" s="145"/>
    </row>
    <row r="38">
      <c r="C38" s="45"/>
      <c r="D38" s="41" t="s">
        <v>13</v>
      </c>
      <c r="E38" s="179"/>
      <c r="F38" s="115">
        <f t="shared" si="25"/>
        <v>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488140</v>
      </c>
      <c r="M39" s="187" t="str">
        <f>IF(M33=0,"","총"&amp;M33)</f>
        <v>총🐻식비</v>
      </c>
      <c r="N39" s="188"/>
      <c r="O39" s="175"/>
      <c r="P39" s="189">
        <f>SUM(P33:P38)</f>
        <v>596135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385100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488140</v>
      </c>
      <c r="M40" s="184"/>
      <c r="N40" s="191"/>
      <c r="O40" s="185"/>
      <c r="P40" s="193">
        <f>P39-O33</f>
        <v>596135</v>
      </c>
      <c r="R40" s="184"/>
      <c r="S40" s="191"/>
      <c r="T40" s="191"/>
      <c r="U40" s="191"/>
      <c r="V40" s="191"/>
      <c r="W40" s="185"/>
      <c r="X40" s="194">
        <f>X39-V33</f>
        <v>385100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229000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0</v>
      </c>
      <c r="M42" s="45"/>
      <c r="N42" s="41" t="s">
        <v>34</v>
      </c>
      <c r="O42" s="179"/>
      <c r="P42" s="115">
        <f t="shared" si="27"/>
        <v>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118400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0</v>
      </c>
      <c r="H43" s="45"/>
      <c r="I43" s="41" t="s">
        <v>8</v>
      </c>
      <c r="J43" s="179"/>
      <c r="K43" s="115">
        <f t="shared" si="26"/>
        <v>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60800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0</v>
      </c>
      <c r="M47" s="187" t="str">
        <f>IF(M41=0,"","총"&amp;M41)</f>
        <v>총🍪여가비</v>
      </c>
      <c r="N47" s="188"/>
      <c r="O47" s="175"/>
      <c r="P47" s="189">
        <f>SUM(P41:P46)</f>
        <v>229000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179200</v>
      </c>
      <c r="Y47" s="145"/>
    </row>
    <row r="48">
      <c r="H48" s="184"/>
      <c r="I48" s="191"/>
      <c r="J48" s="185"/>
      <c r="K48" s="193">
        <f>K47-J41</f>
        <v>0</v>
      </c>
      <c r="M48" s="184"/>
      <c r="N48" s="191"/>
      <c r="O48" s="185"/>
      <c r="P48" s="193">
        <f>P47-O41</f>
        <v>229000</v>
      </c>
      <c r="R48" s="184"/>
      <c r="S48" s="191"/>
      <c r="T48" s="191"/>
      <c r="U48" s="191"/>
      <c r="V48" s="191"/>
      <c r="W48" s="185"/>
      <c r="X48" s="194">
        <f>X47-V41</f>
        <v>179200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22290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146700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50000</v>
      </c>
      <c r="Y49" s="145"/>
    </row>
    <row r="50">
      <c r="H50" s="45"/>
      <c r="I50" s="41" t="s">
        <v>24</v>
      </c>
      <c r="J50" s="179"/>
      <c r="K50" s="115">
        <f t="shared" si="29"/>
        <v>0</v>
      </c>
      <c r="M50" s="45"/>
      <c r="N50" s="41" t="s">
        <v>34</v>
      </c>
      <c r="O50" s="179"/>
      <c r="P50" s="115">
        <f t="shared" si="30"/>
        <v>3300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42224</v>
      </c>
      <c r="Y50" s="145"/>
    </row>
    <row r="51">
      <c r="H51" s="45"/>
      <c r="I51" s="41" t="s">
        <v>8</v>
      </c>
      <c r="J51" s="179"/>
      <c r="K51" s="115">
        <f t="shared" si="29"/>
        <v>5000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16900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375700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27290</v>
      </c>
      <c r="M55" s="187" t="str">
        <f>IF(M49=0,"","총"&amp;M49)</f>
        <v>총🐻여가비</v>
      </c>
      <c r="N55" s="188"/>
      <c r="O55" s="175"/>
      <c r="P55" s="189">
        <f>SUM(P49:P54)</f>
        <v>166900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467924</v>
      </c>
      <c r="Y55" s="145"/>
    </row>
    <row r="56">
      <c r="H56" s="196"/>
      <c r="I56" s="197"/>
      <c r="J56" s="198"/>
      <c r="K56" s="200">
        <f>K55-J49</f>
        <v>27290</v>
      </c>
      <c r="M56" s="196"/>
      <c r="N56" s="197"/>
      <c r="O56" s="198"/>
      <c r="P56" s="200">
        <f>P55-O49</f>
        <v>166900</v>
      </c>
      <c r="R56" s="196"/>
      <c r="S56" s="197"/>
      <c r="T56" s="197"/>
      <c r="U56" s="197"/>
      <c r="V56" s="197"/>
      <c r="W56" s="198"/>
      <c r="X56" s="201">
        <f>X55-V49</f>
        <v>467924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-2647189</v>
      </c>
      <c r="Y61" s="8"/>
    </row>
    <row r="62">
      <c r="H62" s="208">
        <v>45870.0</v>
      </c>
      <c r="I62" s="209" t="s">
        <v>26</v>
      </c>
      <c r="J62" s="209" t="s">
        <v>28</v>
      </c>
      <c r="K62" s="210">
        <v>12000.0</v>
      </c>
      <c r="L62" s="211" t="s">
        <v>64</v>
      </c>
      <c r="M62" s="143"/>
      <c r="N62" s="211" t="s">
        <v>760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IFERROR(__xludf.DUMMYFUNCTION("FILTER('설정시트'!$D$7:$L$20,'설정시트'!$C$7:$C$20=I62)"),"식재료비")</f>
        <v>식재료비</v>
      </c>
      <c r="AC62" s="214" t="str">
        <f>IFERROR(__xludf.DUMMYFUNCTION("""COMPUTED_VALUE"""),"회사점심")</f>
        <v>회사점심</v>
      </c>
      <c r="AD62" s="214" t="str">
        <f>IFERROR(__xludf.DUMMYFUNCTION("""COMPUTED_VALUE"""),"간식/카페")</f>
        <v>간식/카페</v>
      </c>
      <c r="AE62" s="214" t="str">
        <f>IFERROR(__xludf.DUMMYFUNCTION("""COMPUTED_VALUE"""),"외식/배달")</f>
        <v>외식/배달</v>
      </c>
      <c r="AF62" s="214" t="str">
        <f>IFERROR(__xludf.DUMMYFUNCTION("""COMPUTED_VALUE"""),"기타")</f>
        <v>기타</v>
      </c>
      <c r="AG62" s="214"/>
      <c r="AH62" s="214"/>
      <c r="AI62" s="214"/>
      <c r="AJ62" s="215"/>
    </row>
    <row r="63">
      <c r="H63" s="208">
        <v>45870.0</v>
      </c>
      <c r="I63" s="209" t="s">
        <v>45</v>
      </c>
      <c r="J63" s="209" t="s">
        <v>44</v>
      </c>
      <c r="K63" s="210">
        <f>20000+89000</f>
        <v>109000</v>
      </c>
      <c r="L63" s="211" t="s">
        <v>64</v>
      </c>
      <c r="M63" s="143"/>
      <c r="N63" s="211" t="s">
        <v>44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IFERROR(__xludf.DUMMYFUNCTION("FILTER('설정시트'!$D$7:$L$20,'설정시트'!$C$7:$C$20=I63)"),"약국")</f>
        <v>약국</v>
      </c>
      <c r="AC63" s="214" t="str">
        <f>IFERROR(__xludf.DUMMYFUNCTION("""COMPUTED_VALUE"""),"병원비")</f>
        <v>병원비</v>
      </c>
      <c r="AD63" s="214" t="str">
        <f>IFERROR(__xludf.DUMMYFUNCTION("""COMPUTED_VALUE"""),"영양제")</f>
        <v>영양제</v>
      </c>
      <c r="AE63" s="214" t="str">
        <f>IFERROR(__xludf.DUMMYFUNCTION("""COMPUTED_VALUE"""),"교통비")</f>
        <v>교통비</v>
      </c>
      <c r="AF63" s="214" t="str">
        <f>IFERROR(__xludf.DUMMYFUNCTION("""COMPUTED_VALUE"""),"주유비")</f>
        <v>주유비</v>
      </c>
      <c r="AG63" s="214"/>
      <c r="AH63" s="214" t="str">
        <f>IFERROR(__xludf.DUMMYFUNCTION("""COMPUTED_VALUE"""),"기타")</f>
        <v>기타</v>
      </c>
      <c r="AI63" s="214"/>
      <c r="AJ63" s="215"/>
    </row>
    <row r="64">
      <c r="H64" s="208">
        <v>45870.0</v>
      </c>
      <c r="I64" s="209" t="s">
        <v>31</v>
      </c>
      <c r="J64" s="209" t="s">
        <v>30</v>
      </c>
      <c r="K64" s="210">
        <v>40000.0</v>
      </c>
      <c r="L64" s="211" t="s">
        <v>64</v>
      </c>
      <c r="M64" s="143"/>
      <c r="N64" s="211" t="s">
        <v>761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IFERROR(__xludf.DUMMYFUNCTION("FILTER('설정시트'!$D$7:$L$20,'설정시트'!$C$7:$C$20=I64)"),"식재료비")</f>
        <v>식재료비</v>
      </c>
      <c r="AC64" s="214" t="str">
        <f>IFERROR(__xludf.DUMMYFUNCTION("""COMPUTED_VALUE"""),"회사점심")</f>
        <v>회사점심</v>
      </c>
      <c r="AD64" s="214" t="str">
        <f>IFERROR(__xludf.DUMMYFUNCTION("""COMPUTED_VALUE"""),"간식/카페")</f>
        <v>간식/카페</v>
      </c>
      <c r="AE64" s="214" t="str">
        <f>IFERROR(__xludf.DUMMYFUNCTION("""COMPUTED_VALUE"""),"외식/배달")</f>
        <v>외식/배달</v>
      </c>
      <c r="AF64" s="214" t="str">
        <f>IFERROR(__xludf.DUMMYFUNCTION("""COMPUTED_VALUE"""),"기타")</f>
        <v>기타</v>
      </c>
      <c r="AG64" s="214"/>
      <c r="AH64" s="214"/>
      <c r="AI64" s="214"/>
      <c r="AJ64" s="215"/>
    </row>
    <row r="65">
      <c r="H65" s="208">
        <v>45870.0</v>
      </c>
      <c r="I65" s="209" t="s">
        <v>31</v>
      </c>
      <c r="J65" s="209" t="s">
        <v>29</v>
      </c>
      <c r="K65" s="210">
        <v>7600.0</v>
      </c>
      <c r="L65" s="211" t="s">
        <v>64</v>
      </c>
      <c r="M65" s="143"/>
      <c r="N65" s="211" t="s">
        <v>762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IFERROR(__xludf.DUMMYFUNCTION("FILTER('설정시트'!$D$7:$L$20,'설정시트'!$C$7:$C$20=I65)"),"식재료비")</f>
        <v>식재료비</v>
      </c>
      <c r="AC65" s="214" t="str">
        <f>IFERROR(__xludf.DUMMYFUNCTION("""COMPUTED_VALUE"""),"회사점심")</f>
        <v>회사점심</v>
      </c>
      <c r="AD65" s="214" t="str">
        <f>IFERROR(__xludf.DUMMYFUNCTION("""COMPUTED_VALUE"""),"간식/카페")</f>
        <v>간식/카페</v>
      </c>
      <c r="AE65" s="214" t="str">
        <f>IFERROR(__xludf.DUMMYFUNCTION("""COMPUTED_VALUE"""),"외식/배달")</f>
        <v>외식/배달</v>
      </c>
      <c r="AF65" s="214" t="str">
        <f>IFERROR(__xludf.DUMMYFUNCTION("""COMPUTED_VALUE"""),"기타")</f>
        <v>기타</v>
      </c>
      <c r="AG65" s="214"/>
      <c r="AH65" s="214"/>
      <c r="AI65" s="214"/>
      <c r="AJ65" s="215"/>
    </row>
    <row r="66">
      <c r="H66" s="208">
        <v>45872.0</v>
      </c>
      <c r="I66" s="209" t="s">
        <v>52</v>
      </c>
      <c r="J66" s="209" t="s">
        <v>8</v>
      </c>
      <c r="K66" s="210">
        <v>9900.0</v>
      </c>
      <c r="L66" s="211" t="s">
        <v>64</v>
      </c>
      <c r="M66" s="143"/>
      <c r="N66" s="211" t="s">
        <v>763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IFERROR(__xludf.DUMMYFUNCTION("FILTER('설정시트'!$D$7:$L$20,'설정시트'!$C$7:$C$20=I66)"),"축의/부의금")</f>
        <v>축의/부의금</v>
      </c>
      <c r="AC66" s="214" t="str">
        <f>IFERROR(__xludf.DUMMYFUNCTION("""COMPUTED_VALUE"""),"생신/생일선물")</f>
        <v>생신/생일선물</v>
      </c>
      <c r="AD66" s="214" t="str">
        <f>IFERROR(__xludf.DUMMYFUNCTION("""COMPUTED_VALUE"""),"명절/어버이날")</f>
        <v>명절/어버이날</v>
      </c>
      <c r="AE66" s="214" t="str">
        <f>IFERROR(__xludf.DUMMYFUNCTION("""COMPUTED_VALUE"""),"여행")</f>
        <v>여행</v>
      </c>
      <c r="AF66" s="214" t="str">
        <f>IFERROR(__xludf.DUMMYFUNCTION("""COMPUTED_VALUE"""),"기타")</f>
        <v>기타</v>
      </c>
      <c r="AG66" s="214" t="str">
        <f>IFERROR(__xludf.DUMMYFUNCTION("""COMPUTED_VALUE"""),"출산")</f>
        <v>출산</v>
      </c>
      <c r="AH66" s="214"/>
      <c r="AI66" s="214"/>
      <c r="AJ66" s="215"/>
    </row>
    <row r="67">
      <c r="H67" s="208">
        <v>45872.0</v>
      </c>
      <c r="I67" s="209" t="s">
        <v>52</v>
      </c>
      <c r="J67" s="209" t="s">
        <v>48</v>
      </c>
      <c r="K67" s="210">
        <v>42224.0</v>
      </c>
      <c r="L67" s="211" t="s">
        <v>64</v>
      </c>
      <c r="M67" s="143"/>
      <c r="N67" s="211" t="s">
        <v>764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IFERROR(__xludf.DUMMYFUNCTION("FILTER('설정시트'!$D$7:$L$20,'설정시트'!$C$7:$C$20=I67)"),"축의/부의금")</f>
        <v>축의/부의금</v>
      </c>
      <c r="AC67" s="214" t="str">
        <f>IFERROR(__xludf.DUMMYFUNCTION("""COMPUTED_VALUE"""),"생신/생일선물")</f>
        <v>생신/생일선물</v>
      </c>
      <c r="AD67" s="214" t="str">
        <f>IFERROR(__xludf.DUMMYFUNCTION("""COMPUTED_VALUE"""),"명절/어버이날")</f>
        <v>명절/어버이날</v>
      </c>
      <c r="AE67" s="214" t="str">
        <f>IFERROR(__xludf.DUMMYFUNCTION("""COMPUTED_VALUE"""),"여행")</f>
        <v>여행</v>
      </c>
      <c r="AF67" s="214" t="str">
        <f>IFERROR(__xludf.DUMMYFUNCTION("""COMPUTED_VALUE"""),"기타")</f>
        <v>기타</v>
      </c>
      <c r="AG67" s="214" t="str">
        <f>IFERROR(__xludf.DUMMYFUNCTION("""COMPUTED_VALUE"""),"출산")</f>
        <v>출산</v>
      </c>
      <c r="AH67" s="214"/>
      <c r="AI67" s="214"/>
      <c r="AJ67" s="215"/>
    </row>
    <row r="68">
      <c r="H68" s="208">
        <v>45872.0</v>
      </c>
      <c r="I68" s="209" t="s">
        <v>31</v>
      </c>
      <c r="J68" s="209" t="s">
        <v>27</v>
      </c>
      <c r="K68" s="210">
        <v>16224.0</v>
      </c>
      <c r="L68" s="211" t="s">
        <v>64</v>
      </c>
      <c r="M68" s="143"/>
      <c r="N68" s="211" t="s">
        <v>765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IFERROR(__xludf.DUMMYFUNCTION("FILTER('설정시트'!$D$7:$L$20,'설정시트'!$C$7:$C$20=I68)"),"식재료비")</f>
        <v>식재료비</v>
      </c>
      <c r="AC68" s="214" t="str">
        <f>IFERROR(__xludf.DUMMYFUNCTION("""COMPUTED_VALUE"""),"회사점심")</f>
        <v>회사점심</v>
      </c>
      <c r="AD68" s="214" t="str">
        <f>IFERROR(__xludf.DUMMYFUNCTION("""COMPUTED_VALUE"""),"간식/카페")</f>
        <v>간식/카페</v>
      </c>
      <c r="AE68" s="214" t="str">
        <f>IFERROR(__xludf.DUMMYFUNCTION("""COMPUTED_VALUE"""),"외식/배달")</f>
        <v>외식/배달</v>
      </c>
      <c r="AF68" s="214" t="str">
        <f>IFERROR(__xludf.DUMMYFUNCTION("""COMPUTED_VALUE"""),"기타")</f>
        <v>기타</v>
      </c>
      <c r="AG68" s="214"/>
      <c r="AH68" s="214"/>
      <c r="AI68" s="214"/>
      <c r="AJ68" s="215"/>
    </row>
    <row r="69">
      <c r="H69" s="208">
        <v>45870.0</v>
      </c>
      <c r="I69" s="209" t="s">
        <v>52</v>
      </c>
      <c r="J69" s="209" t="s">
        <v>47</v>
      </c>
      <c r="K69" s="210">
        <v>50000.0</v>
      </c>
      <c r="L69" s="211" t="s">
        <v>62</v>
      </c>
      <c r="M69" s="143"/>
      <c r="N69" s="211" t="s">
        <v>766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IFERROR(__xludf.DUMMYFUNCTION("FILTER('설정시트'!$D$7:$L$20,'설정시트'!$C$7:$C$20=I69)"),"축의/부의금")</f>
        <v>축의/부의금</v>
      </c>
      <c r="AC69" s="214" t="str">
        <f>IFERROR(__xludf.DUMMYFUNCTION("""COMPUTED_VALUE"""),"생신/생일선물")</f>
        <v>생신/생일선물</v>
      </c>
      <c r="AD69" s="214" t="str">
        <f>IFERROR(__xludf.DUMMYFUNCTION("""COMPUTED_VALUE"""),"명절/어버이날")</f>
        <v>명절/어버이날</v>
      </c>
      <c r="AE69" s="214" t="str">
        <f>IFERROR(__xludf.DUMMYFUNCTION("""COMPUTED_VALUE"""),"여행")</f>
        <v>여행</v>
      </c>
      <c r="AF69" s="214" t="str">
        <f>IFERROR(__xludf.DUMMYFUNCTION("""COMPUTED_VALUE"""),"기타")</f>
        <v>기타</v>
      </c>
      <c r="AG69" s="214" t="str">
        <f>IFERROR(__xludf.DUMMYFUNCTION("""COMPUTED_VALUE"""),"출산")</f>
        <v>출산</v>
      </c>
      <c r="AH69" s="214"/>
      <c r="AI69" s="214"/>
      <c r="AJ69" s="215"/>
    </row>
    <row r="70">
      <c r="H70" s="208">
        <v>45870.0</v>
      </c>
      <c r="I70" s="209" t="s">
        <v>21</v>
      </c>
      <c r="J70" s="209" t="s">
        <v>20</v>
      </c>
      <c r="K70" s="210">
        <v>10000.0</v>
      </c>
      <c r="L70" s="211" t="s">
        <v>62</v>
      </c>
      <c r="M70" s="143"/>
      <c r="N70" s="211" t="s">
        <v>419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IFERROR(__xludf.DUMMYFUNCTION("FILTER('설정시트'!$D$7:$L$20,'설정시트'!$C$7:$C$20=I70)"),"관리비")</f>
        <v>관리비</v>
      </c>
      <c r="AC70" s="214" t="str">
        <f>IFERROR(__xludf.DUMMYFUNCTION("""COMPUTED_VALUE"""),"대출이자")</f>
        <v>대출이자</v>
      </c>
      <c r="AD70" s="214" t="str">
        <f>IFERROR(__xludf.DUMMYFUNCTION("""COMPUTED_VALUE"""),"통신비")</f>
        <v>통신비</v>
      </c>
      <c r="AE70" s="214" t="str">
        <f>IFERROR(__xludf.DUMMYFUNCTION("""COMPUTED_VALUE"""),"보험료")</f>
        <v>보험료</v>
      </c>
      <c r="AF70" s="214" t="str">
        <f>IFERROR(__xludf.DUMMYFUNCTION("""COMPUTED_VALUE"""),"곗돈")</f>
        <v>곗돈</v>
      </c>
      <c r="AG70" s="214"/>
      <c r="AH70" s="214"/>
      <c r="AI70" s="214"/>
      <c r="AJ70" s="215"/>
    </row>
    <row r="71">
      <c r="H71" s="208">
        <v>45870.0</v>
      </c>
      <c r="I71" s="209" t="s">
        <v>38</v>
      </c>
      <c r="J71" s="209" t="s">
        <v>37</v>
      </c>
      <c r="K71" s="210">
        <v>16900.0</v>
      </c>
      <c r="L71" s="211" t="s">
        <v>64</v>
      </c>
      <c r="M71" s="143"/>
      <c r="N71" s="211" t="s">
        <v>767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IFERROR(__xludf.DUMMYFUNCTION("FILTER('설정시트'!$D$7:$L$20,'설정시트'!$C$7:$C$20=I71)"),"의류/잡화")</f>
        <v>의류/잡화</v>
      </c>
      <c r="AC71" s="214" t="str">
        <f>IFERROR(__xludf.DUMMYFUNCTION("""COMPUTED_VALUE"""),"OTT")</f>
        <v>OTT</v>
      </c>
      <c r="AD71" s="214" t="str">
        <f>IFERROR(__xludf.DUMMYFUNCTION("""COMPUTED_VALUE"""),"문화생활")</f>
        <v>문화생활</v>
      </c>
      <c r="AE71" s="214" t="str">
        <f>IFERROR(__xludf.DUMMYFUNCTION("""COMPUTED_VALUE"""),"자기계발")</f>
        <v>자기계발</v>
      </c>
      <c r="AF71" s="214" t="str">
        <f>IFERROR(__xludf.DUMMYFUNCTION("""COMPUTED_VALUE"""),"미용")</f>
        <v>미용</v>
      </c>
      <c r="AG71" s="214"/>
      <c r="AH71" s="214" t="str">
        <f>IFERROR(__xludf.DUMMYFUNCTION("""COMPUTED_VALUE"""),"기타")</f>
        <v>기타</v>
      </c>
      <c r="AI71" s="214"/>
      <c r="AJ71" s="215"/>
    </row>
    <row r="72">
      <c r="H72" s="208">
        <v>45871.0</v>
      </c>
      <c r="I72" s="209" t="s">
        <v>45</v>
      </c>
      <c r="J72" s="209" t="s">
        <v>8</v>
      </c>
      <c r="K72" s="210">
        <v>668.0</v>
      </c>
      <c r="L72" s="211" t="s">
        <v>64</v>
      </c>
      <c r="M72" s="143"/>
      <c r="N72" s="211" t="s">
        <v>768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IFERROR(__xludf.DUMMYFUNCTION("FILTER('설정시트'!$D$7:$L$20,'설정시트'!$C$7:$C$20=I72)"),"약국")</f>
        <v>약국</v>
      </c>
      <c r="AC72" s="214" t="str">
        <f>IFERROR(__xludf.DUMMYFUNCTION("""COMPUTED_VALUE"""),"병원비")</f>
        <v>병원비</v>
      </c>
      <c r="AD72" s="214" t="str">
        <f>IFERROR(__xludf.DUMMYFUNCTION("""COMPUTED_VALUE"""),"영양제")</f>
        <v>영양제</v>
      </c>
      <c r="AE72" s="214" t="str">
        <f>IFERROR(__xludf.DUMMYFUNCTION("""COMPUTED_VALUE"""),"교통비")</f>
        <v>교통비</v>
      </c>
      <c r="AF72" s="214" t="str">
        <f>IFERROR(__xludf.DUMMYFUNCTION("""COMPUTED_VALUE"""),"주유비")</f>
        <v>주유비</v>
      </c>
      <c r="AG72" s="214"/>
      <c r="AH72" s="214" t="str">
        <f>IFERROR(__xludf.DUMMYFUNCTION("""COMPUTED_VALUE"""),"기타")</f>
        <v>기타</v>
      </c>
      <c r="AI72" s="214"/>
      <c r="AJ72" s="215"/>
    </row>
    <row r="73">
      <c r="H73" s="208">
        <v>45874.0</v>
      </c>
      <c r="I73" s="209" t="s">
        <v>3</v>
      </c>
      <c r="J73" s="209" t="s">
        <v>6</v>
      </c>
      <c r="K73" s="210">
        <v>4399920.0</v>
      </c>
      <c r="L73" s="211"/>
      <c r="M73" s="143"/>
      <c r="N73" s="211" t="s">
        <v>769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IFERROR(__xludf.DUMMYFUNCTION("FILTER('설정시트'!$D$7:$L$20,'설정시트'!$C$7:$C$20=I73)"),"🍪 월급")</f>
        <v>🍪 월급</v>
      </c>
      <c r="AC73" s="214" t="str">
        <f>IFERROR(__xludf.DUMMYFUNCTION("""COMPUTED_VALUE"""),"🍪 부수입")</f>
        <v>🍪 부수입</v>
      </c>
      <c r="AD73" s="214" t="str">
        <f>IFERROR(__xludf.DUMMYFUNCTION("""COMPUTED_VALUE"""),"🐻 월급")</f>
        <v>🐻 월급</v>
      </c>
      <c r="AE73" s="214" t="str">
        <f>IFERROR(__xludf.DUMMYFUNCTION("""COMPUTED_VALUE"""),"🐻 부수입")</f>
        <v>🐻 부수입</v>
      </c>
      <c r="AF73" s="214" t="str">
        <f>IFERROR(__xludf.DUMMYFUNCTION("""COMPUTED_VALUE"""),"기타")</f>
        <v>기타</v>
      </c>
      <c r="AG73" s="214"/>
      <c r="AH73" s="214"/>
      <c r="AI73" s="214"/>
      <c r="AJ73" s="215"/>
    </row>
    <row r="74">
      <c r="H74" s="208">
        <v>45875.0</v>
      </c>
      <c r="I74" s="209" t="s">
        <v>31</v>
      </c>
      <c r="J74" s="209" t="s">
        <v>29</v>
      </c>
      <c r="K74" s="210">
        <v>1200.0</v>
      </c>
      <c r="L74" s="211" t="s">
        <v>64</v>
      </c>
      <c r="M74" s="143"/>
      <c r="N74" s="211" t="s">
        <v>770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IFERROR(__xludf.DUMMYFUNCTION("FILTER('설정시트'!$D$7:$L$20,'설정시트'!$C$7:$C$20=I74)"),"식재료비")</f>
        <v>식재료비</v>
      </c>
      <c r="AC74" s="214" t="str">
        <f>IFERROR(__xludf.DUMMYFUNCTION("""COMPUTED_VALUE"""),"회사점심")</f>
        <v>회사점심</v>
      </c>
      <c r="AD74" s="214" t="str">
        <f>IFERROR(__xludf.DUMMYFUNCTION("""COMPUTED_VALUE"""),"간식/카페")</f>
        <v>간식/카페</v>
      </c>
      <c r="AE74" s="214" t="str">
        <f>IFERROR(__xludf.DUMMYFUNCTION("""COMPUTED_VALUE"""),"외식/배달")</f>
        <v>외식/배달</v>
      </c>
      <c r="AF74" s="214" t="str">
        <f>IFERROR(__xludf.DUMMYFUNCTION("""COMPUTED_VALUE"""),"기타")</f>
        <v>기타</v>
      </c>
      <c r="AG74" s="214"/>
      <c r="AH74" s="214"/>
      <c r="AI74" s="214"/>
      <c r="AJ74" s="215"/>
    </row>
    <row r="75">
      <c r="H75" s="208">
        <v>45876.0</v>
      </c>
      <c r="I75" s="209" t="s">
        <v>38</v>
      </c>
      <c r="J75" s="209" t="s">
        <v>34</v>
      </c>
      <c r="K75" s="210">
        <v>3300.0</v>
      </c>
      <c r="L75" s="211" t="s">
        <v>61</v>
      </c>
      <c r="M75" s="143"/>
      <c r="N75" s="211" t="s">
        <v>310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IFERROR(__xludf.DUMMYFUNCTION("FILTER('설정시트'!$D$7:$L$20,'설정시트'!$C$7:$C$20=I75)"),"의류/잡화")</f>
        <v>의류/잡화</v>
      </c>
      <c r="AC75" s="214" t="str">
        <f>IFERROR(__xludf.DUMMYFUNCTION("""COMPUTED_VALUE"""),"OTT")</f>
        <v>OTT</v>
      </c>
      <c r="AD75" s="214" t="str">
        <f>IFERROR(__xludf.DUMMYFUNCTION("""COMPUTED_VALUE"""),"문화생활")</f>
        <v>문화생활</v>
      </c>
      <c r="AE75" s="214" t="str">
        <f>IFERROR(__xludf.DUMMYFUNCTION("""COMPUTED_VALUE"""),"자기계발")</f>
        <v>자기계발</v>
      </c>
      <c r="AF75" s="214" t="str">
        <f>IFERROR(__xludf.DUMMYFUNCTION("""COMPUTED_VALUE"""),"미용")</f>
        <v>미용</v>
      </c>
      <c r="AG75" s="214"/>
      <c r="AH75" s="214" t="str">
        <f>IFERROR(__xludf.DUMMYFUNCTION("""COMPUTED_VALUE"""),"기타")</f>
        <v>기타</v>
      </c>
      <c r="AI75" s="214"/>
      <c r="AJ75" s="215"/>
    </row>
    <row r="76">
      <c r="H76" s="208">
        <v>45875.0</v>
      </c>
      <c r="I76" s="209" t="s">
        <v>25</v>
      </c>
      <c r="J76" s="209" t="s">
        <v>23</v>
      </c>
      <c r="K76" s="210">
        <v>18490.0</v>
      </c>
      <c r="L76" s="211" t="s">
        <v>64</v>
      </c>
      <c r="M76" s="143"/>
      <c r="N76" s="211" t="s">
        <v>771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IFERROR(__xludf.DUMMYFUNCTION("FILTER('설정시트'!$D$7:$L$20,'설정시트'!$C$7:$C$20=I76)"),"주방/욕실")</f>
        <v>주방/욕실</v>
      </c>
      <c r="AC76" s="214" t="str">
        <f>IFERROR(__xludf.DUMMYFUNCTION("""COMPUTED_VALUE"""),"소모품")</f>
        <v>소모품</v>
      </c>
      <c r="AD76" s="214" t="str">
        <f>IFERROR(__xludf.DUMMYFUNCTION("""COMPUTED_VALUE"""),"기타")</f>
        <v>기타</v>
      </c>
      <c r="AE76" s="214"/>
      <c r="AF76" s="214"/>
      <c r="AG76" s="214"/>
      <c r="AH76" s="214"/>
      <c r="AI76" s="214"/>
      <c r="AJ76" s="215"/>
    </row>
    <row r="77">
      <c r="H77" s="208">
        <v>45874.0</v>
      </c>
      <c r="I77" s="209" t="s">
        <v>31</v>
      </c>
      <c r="J77" s="209" t="s">
        <v>29</v>
      </c>
      <c r="K77" s="210">
        <v>4100.0</v>
      </c>
      <c r="L77" s="211" t="s">
        <v>64</v>
      </c>
      <c r="M77" s="143"/>
      <c r="N77" s="211" t="s">
        <v>772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IFERROR(__xludf.DUMMYFUNCTION("FILTER('설정시트'!$D$7:$L$20,'설정시트'!$C$7:$C$20=I77)"),"식재료비")</f>
        <v>식재료비</v>
      </c>
      <c r="AC77" s="214" t="str">
        <f>IFERROR(__xludf.DUMMYFUNCTION("""COMPUTED_VALUE"""),"회사점심")</f>
        <v>회사점심</v>
      </c>
      <c r="AD77" s="214" t="str">
        <f>IFERROR(__xludf.DUMMYFUNCTION("""COMPUTED_VALUE"""),"간식/카페")</f>
        <v>간식/카페</v>
      </c>
      <c r="AE77" s="214" t="str">
        <f>IFERROR(__xludf.DUMMYFUNCTION("""COMPUTED_VALUE"""),"외식/배달")</f>
        <v>외식/배달</v>
      </c>
      <c r="AF77" s="214" t="str">
        <f>IFERROR(__xludf.DUMMYFUNCTION("""COMPUTED_VALUE"""),"기타")</f>
        <v>기타</v>
      </c>
      <c r="AG77" s="214"/>
      <c r="AH77" s="214"/>
      <c r="AI77" s="214"/>
      <c r="AJ77" s="215"/>
    </row>
    <row r="78">
      <c r="H78" s="208">
        <v>45877.0</v>
      </c>
      <c r="I78" s="209" t="s">
        <v>31</v>
      </c>
      <c r="J78" s="209" t="s">
        <v>29</v>
      </c>
      <c r="K78" s="210">
        <v>1600.0</v>
      </c>
      <c r="L78" s="211" t="s">
        <v>64</v>
      </c>
      <c r="M78" s="143"/>
      <c r="N78" s="211" t="s">
        <v>773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IFERROR(__xludf.DUMMYFUNCTION("FILTER('설정시트'!$D$7:$L$20,'설정시트'!$C$7:$C$20=I78)"),"식재료비")</f>
        <v>식재료비</v>
      </c>
      <c r="AC78" s="214" t="str">
        <f>IFERROR(__xludf.DUMMYFUNCTION("""COMPUTED_VALUE"""),"회사점심")</f>
        <v>회사점심</v>
      </c>
      <c r="AD78" s="214" t="str">
        <f>IFERROR(__xludf.DUMMYFUNCTION("""COMPUTED_VALUE"""),"간식/카페")</f>
        <v>간식/카페</v>
      </c>
      <c r="AE78" s="214" t="str">
        <f>IFERROR(__xludf.DUMMYFUNCTION("""COMPUTED_VALUE"""),"외식/배달")</f>
        <v>외식/배달</v>
      </c>
      <c r="AF78" s="214" t="str">
        <f>IFERROR(__xludf.DUMMYFUNCTION("""COMPUTED_VALUE"""),"기타")</f>
        <v>기타</v>
      </c>
      <c r="AG78" s="214"/>
      <c r="AH78" s="214"/>
      <c r="AI78" s="214"/>
      <c r="AJ78" s="215"/>
    </row>
    <row r="79">
      <c r="H79" s="208">
        <v>45875.0</v>
      </c>
      <c r="I79" s="209" t="s">
        <v>31</v>
      </c>
      <c r="J79" s="209" t="s">
        <v>30</v>
      </c>
      <c r="K79" s="210">
        <v>6401.0</v>
      </c>
      <c r="L79" s="211" t="s">
        <v>64</v>
      </c>
      <c r="M79" s="143"/>
      <c r="N79" s="211" t="s">
        <v>774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IFERROR(__xludf.DUMMYFUNCTION("FILTER('설정시트'!$D$7:$L$20,'설정시트'!$C$7:$C$20=I79)"),"식재료비")</f>
        <v>식재료비</v>
      </c>
      <c r="AC79" s="214" t="str">
        <f>IFERROR(__xludf.DUMMYFUNCTION("""COMPUTED_VALUE"""),"회사점심")</f>
        <v>회사점심</v>
      </c>
      <c r="AD79" s="214" t="str">
        <f>IFERROR(__xludf.DUMMYFUNCTION("""COMPUTED_VALUE"""),"간식/카페")</f>
        <v>간식/카페</v>
      </c>
      <c r="AE79" s="214" t="str">
        <f>IFERROR(__xludf.DUMMYFUNCTION("""COMPUTED_VALUE"""),"외식/배달")</f>
        <v>외식/배달</v>
      </c>
      <c r="AF79" s="214" t="str">
        <f>IFERROR(__xludf.DUMMYFUNCTION("""COMPUTED_VALUE"""),"기타")</f>
        <v>기타</v>
      </c>
      <c r="AG79" s="214"/>
      <c r="AH79" s="214"/>
      <c r="AI79" s="214"/>
      <c r="AJ79" s="215"/>
    </row>
    <row r="80">
      <c r="H80" s="208">
        <v>45876.0</v>
      </c>
      <c r="I80" s="209" t="s">
        <v>52</v>
      </c>
      <c r="J80" s="209" t="s">
        <v>8</v>
      </c>
      <c r="K80" s="210">
        <v>100000.0</v>
      </c>
      <c r="L80" s="211" t="s">
        <v>64</v>
      </c>
      <c r="M80" s="143"/>
      <c r="N80" s="211" t="s">
        <v>775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IFERROR(__xludf.DUMMYFUNCTION("FILTER('설정시트'!$D$7:$L$20,'설정시트'!$C$7:$C$20=I80)"),"축의/부의금")</f>
        <v>축의/부의금</v>
      </c>
      <c r="AC80" s="214" t="str">
        <f>IFERROR(__xludf.DUMMYFUNCTION("""COMPUTED_VALUE"""),"생신/생일선물")</f>
        <v>생신/생일선물</v>
      </c>
      <c r="AD80" s="214" t="str">
        <f>IFERROR(__xludf.DUMMYFUNCTION("""COMPUTED_VALUE"""),"명절/어버이날")</f>
        <v>명절/어버이날</v>
      </c>
      <c r="AE80" s="214" t="str">
        <f>IFERROR(__xludf.DUMMYFUNCTION("""COMPUTED_VALUE"""),"여행")</f>
        <v>여행</v>
      </c>
      <c r="AF80" s="214" t="str">
        <f>IFERROR(__xludf.DUMMYFUNCTION("""COMPUTED_VALUE"""),"기타")</f>
        <v>기타</v>
      </c>
      <c r="AG80" s="214" t="str">
        <f>IFERROR(__xludf.DUMMYFUNCTION("""COMPUTED_VALUE"""),"출산")</f>
        <v>출산</v>
      </c>
      <c r="AH80" s="214"/>
      <c r="AI80" s="214"/>
      <c r="AJ80" s="215"/>
    </row>
    <row r="81">
      <c r="H81" s="208">
        <v>45877.0</v>
      </c>
      <c r="I81" s="209" t="s">
        <v>31</v>
      </c>
      <c r="J81" s="209" t="s">
        <v>30</v>
      </c>
      <c r="K81" s="210">
        <v>31700.0</v>
      </c>
      <c r="L81" s="211" t="s">
        <v>64</v>
      </c>
      <c r="M81" s="143"/>
      <c r="N81" s="211" t="s">
        <v>776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IFERROR(__xludf.DUMMYFUNCTION("FILTER('설정시트'!$D$7:$L$20,'설정시트'!$C$7:$C$20=I81)"),"식재료비")</f>
        <v>식재료비</v>
      </c>
      <c r="AC81" s="214" t="str">
        <f>IFERROR(__xludf.DUMMYFUNCTION("""COMPUTED_VALUE"""),"회사점심")</f>
        <v>회사점심</v>
      </c>
      <c r="AD81" s="214" t="str">
        <f>IFERROR(__xludf.DUMMYFUNCTION("""COMPUTED_VALUE"""),"간식/카페")</f>
        <v>간식/카페</v>
      </c>
      <c r="AE81" s="214" t="str">
        <f>IFERROR(__xludf.DUMMYFUNCTION("""COMPUTED_VALUE"""),"외식/배달")</f>
        <v>외식/배달</v>
      </c>
      <c r="AF81" s="214" t="str">
        <f>IFERROR(__xludf.DUMMYFUNCTION("""COMPUTED_VALUE"""),"기타")</f>
        <v>기타</v>
      </c>
      <c r="AG81" s="214"/>
      <c r="AH81" s="214"/>
      <c r="AI81" s="214"/>
      <c r="AJ81" s="215"/>
    </row>
    <row r="82">
      <c r="H82" s="208">
        <v>45877.0</v>
      </c>
      <c r="I82" s="209" t="s">
        <v>31</v>
      </c>
      <c r="J82" s="209" t="s">
        <v>27</v>
      </c>
      <c r="K82" s="210">
        <v>9540.0</v>
      </c>
      <c r="L82" s="211" t="s">
        <v>64</v>
      </c>
      <c r="M82" s="143"/>
      <c r="N82" s="211" t="s">
        <v>777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IFERROR(__xludf.DUMMYFUNCTION("FILTER('설정시트'!$D$7:$L$20,'설정시트'!$C$7:$C$20=I82)"),"식재료비")</f>
        <v>식재료비</v>
      </c>
      <c r="AC82" s="214" t="str">
        <f>IFERROR(__xludf.DUMMYFUNCTION("""COMPUTED_VALUE"""),"회사점심")</f>
        <v>회사점심</v>
      </c>
      <c r="AD82" s="214" t="str">
        <f>IFERROR(__xludf.DUMMYFUNCTION("""COMPUTED_VALUE"""),"간식/카페")</f>
        <v>간식/카페</v>
      </c>
      <c r="AE82" s="214" t="str">
        <f>IFERROR(__xludf.DUMMYFUNCTION("""COMPUTED_VALUE"""),"외식/배달")</f>
        <v>외식/배달</v>
      </c>
      <c r="AF82" s="214" t="str">
        <f>IFERROR(__xludf.DUMMYFUNCTION("""COMPUTED_VALUE"""),"기타")</f>
        <v>기타</v>
      </c>
      <c r="AG82" s="214"/>
      <c r="AH82" s="214"/>
      <c r="AI82" s="214"/>
      <c r="AJ82" s="215"/>
    </row>
    <row r="83">
      <c r="H83" s="208">
        <v>45878.0</v>
      </c>
      <c r="I83" s="209" t="s">
        <v>31</v>
      </c>
      <c r="J83" s="209" t="s">
        <v>30</v>
      </c>
      <c r="K83" s="210">
        <v>35000.0</v>
      </c>
      <c r="L83" s="211" t="s">
        <v>64</v>
      </c>
      <c r="M83" s="143"/>
      <c r="N83" s="211" t="s">
        <v>778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IFERROR(__xludf.DUMMYFUNCTION("FILTER('설정시트'!$D$7:$L$20,'설정시트'!$C$7:$C$20=I83)"),"식재료비")</f>
        <v>식재료비</v>
      </c>
      <c r="AC83" s="214" t="str">
        <f>IFERROR(__xludf.DUMMYFUNCTION("""COMPUTED_VALUE"""),"회사점심")</f>
        <v>회사점심</v>
      </c>
      <c r="AD83" s="214" t="str">
        <f>IFERROR(__xludf.DUMMYFUNCTION("""COMPUTED_VALUE"""),"간식/카페")</f>
        <v>간식/카페</v>
      </c>
      <c r="AE83" s="214" t="str">
        <f>IFERROR(__xludf.DUMMYFUNCTION("""COMPUTED_VALUE"""),"외식/배달")</f>
        <v>외식/배달</v>
      </c>
      <c r="AF83" s="214" t="str">
        <f>IFERROR(__xludf.DUMMYFUNCTION("""COMPUTED_VALUE"""),"기타")</f>
        <v>기타</v>
      </c>
      <c r="AG83" s="214"/>
      <c r="AH83" s="214"/>
      <c r="AI83" s="214"/>
      <c r="AJ83" s="215"/>
    </row>
    <row r="84">
      <c r="H84" s="208">
        <v>45878.0</v>
      </c>
      <c r="I84" s="209" t="s">
        <v>31</v>
      </c>
      <c r="J84" s="209" t="s">
        <v>29</v>
      </c>
      <c r="K84" s="210">
        <v>2000.0</v>
      </c>
      <c r="L84" s="211" t="s">
        <v>64</v>
      </c>
      <c r="M84" s="143"/>
      <c r="N84" s="211" t="s">
        <v>779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IFERROR(__xludf.DUMMYFUNCTION("FILTER('설정시트'!$D$7:$L$20,'설정시트'!$C$7:$C$20=I84)"),"식재료비")</f>
        <v>식재료비</v>
      </c>
      <c r="AC84" s="214" t="str">
        <f>IFERROR(__xludf.DUMMYFUNCTION("""COMPUTED_VALUE"""),"회사점심")</f>
        <v>회사점심</v>
      </c>
      <c r="AD84" s="214" t="str">
        <f>IFERROR(__xludf.DUMMYFUNCTION("""COMPUTED_VALUE"""),"간식/카페")</f>
        <v>간식/카페</v>
      </c>
      <c r="AE84" s="214" t="str">
        <f>IFERROR(__xludf.DUMMYFUNCTION("""COMPUTED_VALUE"""),"외식/배달")</f>
        <v>외식/배달</v>
      </c>
      <c r="AF84" s="214" t="str">
        <f>IFERROR(__xludf.DUMMYFUNCTION("""COMPUTED_VALUE"""),"기타")</f>
        <v>기타</v>
      </c>
      <c r="AG84" s="214"/>
      <c r="AH84" s="214"/>
      <c r="AI84" s="214"/>
      <c r="AJ84" s="215"/>
    </row>
    <row r="85">
      <c r="H85" s="208">
        <v>45878.0</v>
      </c>
      <c r="I85" s="209" t="s">
        <v>46</v>
      </c>
      <c r="J85" s="209" t="s">
        <v>48</v>
      </c>
      <c r="K85" s="210">
        <v>118400.0</v>
      </c>
      <c r="L85" s="211" t="s">
        <v>64</v>
      </c>
      <c r="M85" s="143"/>
      <c r="N85" s="211" t="s">
        <v>780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IFERROR(__xludf.DUMMYFUNCTION("FILTER('설정시트'!$D$7:$L$20,'설정시트'!$C$7:$C$20=I85)"),"축의/부의금")</f>
        <v>축의/부의금</v>
      </c>
      <c r="AC85" s="214" t="str">
        <f>IFERROR(__xludf.DUMMYFUNCTION("""COMPUTED_VALUE"""),"생신/생일선물")</f>
        <v>생신/생일선물</v>
      </c>
      <c r="AD85" s="214" t="str">
        <f>IFERROR(__xludf.DUMMYFUNCTION("""COMPUTED_VALUE"""),"명절/어버이날")</f>
        <v>명절/어버이날</v>
      </c>
      <c r="AE85" s="214" t="str">
        <f>IFERROR(__xludf.DUMMYFUNCTION("""COMPUTED_VALUE"""),"여행")</f>
        <v>여행</v>
      </c>
      <c r="AF85" s="214" t="str">
        <f>IFERROR(__xludf.DUMMYFUNCTION("""COMPUTED_VALUE"""),"기타")</f>
        <v>기타</v>
      </c>
      <c r="AG85" s="214" t="str">
        <f>IFERROR(__xludf.DUMMYFUNCTION("""COMPUTED_VALUE"""),"출산")</f>
        <v>출산</v>
      </c>
      <c r="AH85" s="214"/>
      <c r="AI85" s="214"/>
      <c r="AJ85" s="215"/>
    </row>
    <row r="86">
      <c r="H86" s="208">
        <v>45880.0</v>
      </c>
      <c r="I86" s="209" t="s">
        <v>45</v>
      </c>
      <c r="J86" s="209" t="s">
        <v>43</v>
      </c>
      <c r="K86" s="210">
        <v>2700.0</v>
      </c>
      <c r="L86" s="211" t="s">
        <v>64</v>
      </c>
      <c r="M86" s="143"/>
      <c r="N86" s="213"/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IFERROR(__xludf.DUMMYFUNCTION("FILTER('설정시트'!$D$7:$L$20,'설정시트'!$C$7:$C$20=I86)"),"약국")</f>
        <v>약국</v>
      </c>
      <c r="AC86" s="214" t="str">
        <f>IFERROR(__xludf.DUMMYFUNCTION("""COMPUTED_VALUE"""),"병원비")</f>
        <v>병원비</v>
      </c>
      <c r="AD86" s="214" t="str">
        <f>IFERROR(__xludf.DUMMYFUNCTION("""COMPUTED_VALUE"""),"영양제")</f>
        <v>영양제</v>
      </c>
      <c r="AE86" s="214" t="str">
        <f>IFERROR(__xludf.DUMMYFUNCTION("""COMPUTED_VALUE"""),"교통비")</f>
        <v>교통비</v>
      </c>
      <c r="AF86" s="214" t="str">
        <f>IFERROR(__xludf.DUMMYFUNCTION("""COMPUTED_VALUE"""),"주유비")</f>
        <v>주유비</v>
      </c>
      <c r="AG86" s="214"/>
      <c r="AH86" s="214" t="str">
        <f>IFERROR(__xludf.DUMMYFUNCTION("""COMPUTED_VALUE"""),"기타")</f>
        <v>기타</v>
      </c>
      <c r="AI86" s="214"/>
      <c r="AJ86" s="215"/>
    </row>
    <row r="87">
      <c r="H87" s="208">
        <v>45880.0</v>
      </c>
      <c r="I87" s="209" t="s">
        <v>21</v>
      </c>
      <c r="J87" s="209" t="s">
        <v>18</v>
      </c>
      <c r="K87" s="210">
        <v>66850.0</v>
      </c>
      <c r="L87" s="211" t="s">
        <v>64</v>
      </c>
      <c r="M87" s="143"/>
      <c r="N87" s="211" t="s">
        <v>781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IFERROR(__xludf.DUMMYFUNCTION("FILTER('설정시트'!$D$7:$L$20,'설정시트'!$C$7:$C$20=I87)"),"관리비")</f>
        <v>관리비</v>
      </c>
      <c r="AC87" s="214" t="str">
        <f>IFERROR(__xludf.DUMMYFUNCTION("""COMPUTED_VALUE"""),"대출이자")</f>
        <v>대출이자</v>
      </c>
      <c r="AD87" s="214" t="str">
        <f>IFERROR(__xludf.DUMMYFUNCTION("""COMPUTED_VALUE"""),"통신비")</f>
        <v>통신비</v>
      </c>
      <c r="AE87" s="214" t="str">
        <f>IFERROR(__xludf.DUMMYFUNCTION("""COMPUTED_VALUE"""),"보험료")</f>
        <v>보험료</v>
      </c>
      <c r="AF87" s="214" t="str">
        <f>IFERROR(__xludf.DUMMYFUNCTION("""COMPUTED_VALUE"""),"곗돈")</f>
        <v>곗돈</v>
      </c>
      <c r="AG87" s="214"/>
      <c r="AH87" s="214"/>
      <c r="AI87" s="214"/>
      <c r="AJ87" s="215"/>
    </row>
    <row r="88">
      <c r="H88" s="208">
        <v>45879.0</v>
      </c>
      <c r="I88" s="209" t="s">
        <v>31</v>
      </c>
      <c r="J88" s="209" t="s">
        <v>29</v>
      </c>
      <c r="K88" s="210">
        <v>7300.0</v>
      </c>
      <c r="L88" s="211" t="s">
        <v>64</v>
      </c>
      <c r="M88" s="143"/>
      <c r="N88" s="211" t="s">
        <v>743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IFERROR(__xludf.DUMMYFUNCTION("FILTER('설정시트'!$D$7:$L$20,'설정시트'!$C$7:$C$20=I88)"),"식재료비")</f>
        <v>식재료비</v>
      </c>
      <c r="AC88" s="214" t="str">
        <f>IFERROR(__xludf.DUMMYFUNCTION("""COMPUTED_VALUE"""),"회사점심")</f>
        <v>회사점심</v>
      </c>
      <c r="AD88" s="214" t="str">
        <f>IFERROR(__xludf.DUMMYFUNCTION("""COMPUTED_VALUE"""),"간식/카페")</f>
        <v>간식/카페</v>
      </c>
      <c r="AE88" s="214" t="str">
        <f>IFERROR(__xludf.DUMMYFUNCTION("""COMPUTED_VALUE"""),"외식/배달")</f>
        <v>외식/배달</v>
      </c>
      <c r="AF88" s="214" t="str">
        <f>IFERROR(__xludf.DUMMYFUNCTION("""COMPUTED_VALUE"""),"기타")</f>
        <v>기타</v>
      </c>
      <c r="AG88" s="214"/>
      <c r="AH88" s="214"/>
      <c r="AI88" s="214"/>
      <c r="AJ88" s="215"/>
    </row>
    <row r="89">
      <c r="H89" s="208">
        <v>45880.0</v>
      </c>
      <c r="I89" s="209" t="s">
        <v>31</v>
      </c>
      <c r="J89" s="209" t="s">
        <v>27</v>
      </c>
      <c r="K89" s="210">
        <v>20900.0</v>
      </c>
      <c r="L89" s="211" t="s">
        <v>64</v>
      </c>
      <c r="M89" s="143"/>
      <c r="N89" s="211" t="s">
        <v>782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IFERROR(__xludf.DUMMYFUNCTION("FILTER('설정시트'!$D$7:$L$20,'설정시트'!$C$7:$C$20=I89)"),"식재료비")</f>
        <v>식재료비</v>
      </c>
      <c r="AC89" s="214" t="str">
        <f>IFERROR(__xludf.DUMMYFUNCTION("""COMPUTED_VALUE"""),"회사점심")</f>
        <v>회사점심</v>
      </c>
      <c r="AD89" s="214" t="str">
        <f>IFERROR(__xludf.DUMMYFUNCTION("""COMPUTED_VALUE"""),"간식/카페")</f>
        <v>간식/카페</v>
      </c>
      <c r="AE89" s="214" t="str">
        <f>IFERROR(__xludf.DUMMYFUNCTION("""COMPUTED_VALUE"""),"외식/배달")</f>
        <v>외식/배달</v>
      </c>
      <c r="AF89" s="214" t="str">
        <f>IFERROR(__xludf.DUMMYFUNCTION("""COMPUTED_VALUE"""),"기타")</f>
        <v>기타</v>
      </c>
      <c r="AG89" s="214"/>
      <c r="AH89" s="214"/>
      <c r="AI89" s="214"/>
      <c r="AJ89" s="215"/>
    </row>
    <row r="90">
      <c r="H90" s="208">
        <v>45880.0</v>
      </c>
      <c r="I90" s="209" t="s">
        <v>21</v>
      </c>
      <c r="J90" s="209" t="s">
        <v>15</v>
      </c>
      <c r="K90" s="210">
        <v>18200.0</v>
      </c>
      <c r="L90" s="211" t="s">
        <v>64</v>
      </c>
      <c r="M90" s="143"/>
      <c r="N90" s="211" t="s">
        <v>731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IFERROR(__xludf.DUMMYFUNCTION("FILTER('설정시트'!$D$7:$L$20,'설정시트'!$C$7:$C$20=I90)"),"관리비")</f>
        <v>관리비</v>
      </c>
      <c r="AC90" s="214" t="str">
        <f>IFERROR(__xludf.DUMMYFUNCTION("""COMPUTED_VALUE"""),"대출이자")</f>
        <v>대출이자</v>
      </c>
      <c r="AD90" s="214" t="str">
        <f>IFERROR(__xludf.DUMMYFUNCTION("""COMPUTED_VALUE"""),"통신비")</f>
        <v>통신비</v>
      </c>
      <c r="AE90" s="214" t="str">
        <f>IFERROR(__xludf.DUMMYFUNCTION("""COMPUTED_VALUE"""),"보험료")</f>
        <v>보험료</v>
      </c>
      <c r="AF90" s="214" t="str">
        <f>IFERROR(__xludf.DUMMYFUNCTION("""COMPUTED_VALUE"""),"곗돈")</f>
        <v>곗돈</v>
      </c>
      <c r="AG90" s="214"/>
      <c r="AH90" s="214"/>
      <c r="AI90" s="214"/>
      <c r="AJ90" s="215"/>
    </row>
    <row r="91">
      <c r="H91" s="208">
        <v>45880.0</v>
      </c>
      <c r="I91" s="209" t="s">
        <v>26</v>
      </c>
      <c r="J91" s="209" t="s">
        <v>29</v>
      </c>
      <c r="K91" s="210">
        <f>4900+6200</f>
        <v>11100</v>
      </c>
      <c r="L91" s="211" t="s">
        <v>64</v>
      </c>
      <c r="M91" s="143"/>
      <c r="N91" s="211" t="s">
        <v>783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IFERROR(__xludf.DUMMYFUNCTION("FILTER('설정시트'!$D$7:$L$20,'설정시트'!$C$7:$C$20=I91)"),"식재료비")</f>
        <v>식재료비</v>
      </c>
      <c r="AC91" s="214" t="str">
        <f>IFERROR(__xludf.DUMMYFUNCTION("""COMPUTED_VALUE"""),"회사점심")</f>
        <v>회사점심</v>
      </c>
      <c r="AD91" s="214" t="str">
        <f>IFERROR(__xludf.DUMMYFUNCTION("""COMPUTED_VALUE"""),"간식/카페")</f>
        <v>간식/카페</v>
      </c>
      <c r="AE91" s="214" t="str">
        <f>IFERROR(__xludf.DUMMYFUNCTION("""COMPUTED_VALUE"""),"외식/배달")</f>
        <v>외식/배달</v>
      </c>
      <c r="AF91" s="214" t="str">
        <f>IFERROR(__xludf.DUMMYFUNCTION("""COMPUTED_VALUE"""),"기타")</f>
        <v>기타</v>
      </c>
      <c r="AG91" s="214"/>
      <c r="AH91" s="214"/>
      <c r="AI91" s="214"/>
      <c r="AJ91" s="215"/>
    </row>
    <row r="92">
      <c r="H92" s="208">
        <v>45880.0</v>
      </c>
      <c r="I92" s="209" t="s">
        <v>26</v>
      </c>
      <c r="J92" s="209" t="s">
        <v>28</v>
      </c>
      <c r="K92" s="210">
        <v>5000.0</v>
      </c>
      <c r="L92" s="211" t="s">
        <v>64</v>
      </c>
      <c r="M92" s="143"/>
      <c r="N92" s="211" t="s">
        <v>784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IFERROR(__xludf.DUMMYFUNCTION("FILTER('설정시트'!$D$7:$L$20,'설정시트'!$C$7:$C$20=I92)"),"식재료비")</f>
        <v>식재료비</v>
      </c>
      <c r="AC92" s="214" t="str">
        <f>IFERROR(__xludf.DUMMYFUNCTION("""COMPUTED_VALUE"""),"회사점심")</f>
        <v>회사점심</v>
      </c>
      <c r="AD92" s="214" t="str">
        <f>IFERROR(__xludf.DUMMYFUNCTION("""COMPUTED_VALUE"""),"간식/카페")</f>
        <v>간식/카페</v>
      </c>
      <c r="AE92" s="214" t="str">
        <f>IFERROR(__xludf.DUMMYFUNCTION("""COMPUTED_VALUE"""),"외식/배달")</f>
        <v>외식/배달</v>
      </c>
      <c r="AF92" s="214" t="str">
        <f>IFERROR(__xludf.DUMMYFUNCTION("""COMPUTED_VALUE"""),"기타")</f>
        <v>기타</v>
      </c>
      <c r="AG92" s="214"/>
      <c r="AH92" s="214"/>
      <c r="AI92" s="214"/>
      <c r="AJ92" s="215"/>
    </row>
    <row r="93">
      <c r="H93" s="208">
        <v>45881.0</v>
      </c>
      <c r="I93" s="209" t="s">
        <v>26</v>
      </c>
      <c r="J93" s="209" t="s">
        <v>28</v>
      </c>
      <c r="K93" s="210">
        <v>17000.0</v>
      </c>
      <c r="L93" s="211" t="s">
        <v>64</v>
      </c>
      <c r="M93" s="143"/>
      <c r="N93" s="211" t="s">
        <v>747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IFERROR(__xludf.DUMMYFUNCTION("FILTER('설정시트'!$D$7:$L$20,'설정시트'!$C$7:$C$20=I93)"),"식재료비")</f>
        <v>식재료비</v>
      </c>
      <c r="AC93" s="214" t="str">
        <f>IFERROR(__xludf.DUMMYFUNCTION("""COMPUTED_VALUE"""),"회사점심")</f>
        <v>회사점심</v>
      </c>
      <c r="AD93" s="214" t="str">
        <f>IFERROR(__xludf.DUMMYFUNCTION("""COMPUTED_VALUE"""),"간식/카페")</f>
        <v>간식/카페</v>
      </c>
      <c r="AE93" s="214" t="str">
        <f>IFERROR(__xludf.DUMMYFUNCTION("""COMPUTED_VALUE"""),"외식/배달")</f>
        <v>외식/배달</v>
      </c>
      <c r="AF93" s="214" t="str">
        <f>IFERROR(__xludf.DUMMYFUNCTION("""COMPUTED_VALUE"""),"기타")</f>
        <v>기타</v>
      </c>
      <c r="AG93" s="214"/>
      <c r="AH93" s="214"/>
      <c r="AI93" s="214"/>
      <c r="AJ93" s="215"/>
    </row>
    <row r="94">
      <c r="H94" s="208">
        <v>45883.0</v>
      </c>
      <c r="I94" s="209" t="s">
        <v>31</v>
      </c>
      <c r="J94" s="209" t="s">
        <v>30</v>
      </c>
      <c r="K94" s="210">
        <v>60000.0</v>
      </c>
      <c r="L94" s="211" t="s">
        <v>64</v>
      </c>
      <c r="M94" s="143"/>
      <c r="N94" s="211" t="s">
        <v>785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IFERROR(__xludf.DUMMYFUNCTION("FILTER('설정시트'!$D$7:$L$20,'설정시트'!$C$7:$C$20=I94)"),"식재료비")</f>
        <v>식재료비</v>
      </c>
      <c r="AC94" s="214" t="str">
        <f>IFERROR(__xludf.DUMMYFUNCTION("""COMPUTED_VALUE"""),"회사점심")</f>
        <v>회사점심</v>
      </c>
      <c r="AD94" s="214" t="str">
        <f>IFERROR(__xludf.DUMMYFUNCTION("""COMPUTED_VALUE"""),"간식/카페")</f>
        <v>간식/카페</v>
      </c>
      <c r="AE94" s="214" t="str">
        <f>IFERROR(__xludf.DUMMYFUNCTION("""COMPUTED_VALUE"""),"외식/배달")</f>
        <v>외식/배달</v>
      </c>
      <c r="AF94" s="214" t="str">
        <f>IFERROR(__xludf.DUMMYFUNCTION("""COMPUTED_VALUE"""),"기타")</f>
        <v>기타</v>
      </c>
      <c r="AG94" s="214"/>
      <c r="AH94" s="214"/>
      <c r="AI94" s="214"/>
      <c r="AJ94" s="215"/>
    </row>
    <row r="95">
      <c r="H95" s="208">
        <v>45883.0</v>
      </c>
      <c r="I95" s="209" t="s">
        <v>26</v>
      </c>
      <c r="J95" s="209" t="s">
        <v>29</v>
      </c>
      <c r="K95" s="210">
        <v>4000.0</v>
      </c>
      <c r="L95" s="211" t="s">
        <v>64</v>
      </c>
      <c r="M95" s="143"/>
      <c r="N95" s="211" t="s">
        <v>786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IFERROR(__xludf.DUMMYFUNCTION("FILTER('설정시트'!$D$7:$L$20,'설정시트'!$C$7:$C$20=I95)"),"식재료비")</f>
        <v>식재료비</v>
      </c>
      <c r="AC95" s="214" t="str">
        <f>IFERROR(__xludf.DUMMYFUNCTION("""COMPUTED_VALUE"""),"회사점심")</f>
        <v>회사점심</v>
      </c>
      <c r="AD95" s="214" t="str">
        <f>IFERROR(__xludf.DUMMYFUNCTION("""COMPUTED_VALUE"""),"간식/카페")</f>
        <v>간식/카페</v>
      </c>
      <c r="AE95" s="214" t="str">
        <f>IFERROR(__xludf.DUMMYFUNCTION("""COMPUTED_VALUE"""),"외식/배달")</f>
        <v>외식/배달</v>
      </c>
      <c r="AF95" s="214" t="str">
        <f>IFERROR(__xludf.DUMMYFUNCTION("""COMPUTED_VALUE"""),"기타")</f>
        <v>기타</v>
      </c>
      <c r="AG95" s="214"/>
      <c r="AH95" s="214"/>
      <c r="AI95" s="214"/>
      <c r="AJ95" s="215"/>
    </row>
    <row r="96">
      <c r="H96" s="208">
        <v>45884.0</v>
      </c>
      <c r="I96" s="209" t="s">
        <v>31</v>
      </c>
      <c r="J96" s="209" t="s">
        <v>27</v>
      </c>
      <c r="K96" s="210">
        <v>38700.0</v>
      </c>
      <c r="L96" s="211" t="s">
        <v>64</v>
      </c>
      <c r="M96" s="143"/>
      <c r="N96" s="211" t="s">
        <v>787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  <c r="AJ96" s="215"/>
    </row>
    <row r="97">
      <c r="H97" s="208">
        <v>45884.0</v>
      </c>
      <c r="I97" s="209" t="s">
        <v>25</v>
      </c>
      <c r="J97" s="209" t="s">
        <v>23</v>
      </c>
      <c r="K97" s="210">
        <v>3800.0</v>
      </c>
      <c r="L97" s="211" t="s">
        <v>64</v>
      </c>
      <c r="M97" s="143"/>
      <c r="N97" s="211" t="s">
        <v>788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IFERROR(__xludf.DUMMYFUNCTION("FILTER('설정시트'!$D$7:$L$20,'설정시트'!$C$7:$C$20=I97)"),"주방/욕실")</f>
        <v>주방/욕실</v>
      </c>
      <c r="AC97" s="214" t="str">
        <f>IFERROR(__xludf.DUMMYFUNCTION("""COMPUTED_VALUE"""),"소모품")</f>
        <v>소모품</v>
      </c>
      <c r="AD97" s="214" t="str">
        <f>IFERROR(__xludf.DUMMYFUNCTION("""COMPUTED_VALUE"""),"기타")</f>
        <v>기타</v>
      </c>
      <c r="AE97" s="214"/>
      <c r="AF97" s="214"/>
      <c r="AG97" s="214"/>
      <c r="AH97" s="214"/>
      <c r="AI97" s="214"/>
      <c r="AJ97" s="215"/>
    </row>
    <row r="98">
      <c r="H98" s="208">
        <v>45885.0</v>
      </c>
      <c r="I98" s="209" t="s">
        <v>31</v>
      </c>
      <c r="J98" s="209" t="s">
        <v>27</v>
      </c>
      <c r="K98" s="210">
        <v>35770.0</v>
      </c>
      <c r="L98" s="211" t="s">
        <v>64</v>
      </c>
      <c r="M98" s="143"/>
      <c r="N98" s="211" t="s">
        <v>782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IFERROR(__xludf.DUMMYFUNCTION("FILTER('설정시트'!$D$7:$L$20,'설정시트'!$C$7:$C$20=I98)"),"식재료비")</f>
        <v>식재료비</v>
      </c>
      <c r="AC98" s="214" t="str">
        <f>IFERROR(__xludf.DUMMYFUNCTION("""COMPUTED_VALUE"""),"회사점심")</f>
        <v>회사점심</v>
      </c>
      <c r="AD98" s="214" t="str">
        <f>IFERROR(__xludf.DUMMYFUNCTION("""COMPUTED_VALUE"""),"간식/카페")</f>
        <v>간식/카페</v>
      </c>
      <c r="AE98" s="214" t="str">
        <f>IFERROR(__xludf.DUMMYFUNCTION("""COMPUTED_VALUE"""),"외식/배달")</f>
        <v>외식/배달</v>
      </c>
      <c r="AF98" s="214" t="str">
        <f>IFERROR(__xludf.DUMMYFUNCTION("""COMPUTED_VALUE"""),"기타")</f>
        <v>기타</v>
      </c>
      <c r="AG98" s="214"/>
      <c r="AH98" s="214"/>
      <c r="AI98" s="214"/>
      <c r="AJ98" s="215"/>
    </row>
    <row r="99">
      <c r="H99" s="208">
        <v>45885.0</v>
      </c>
      <c r="I99" s="209" t="s">
        <v>45</v>
      </c>
      <c r="J99" s="209" t="s">
        <v>43</v>
      </c>
      <c r="K99" s="210">
        <v>2000.0</v>
      </c>
      <c r="L99" s="211" t="s">
        <v>64</v>
      </c>
      <c r="M99" s="143"/>
      <c r="N99" s="211" t="s">
        <v>789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IFERROR(__xludf.DUMMYFUNCTION("FILTER('설정시트'!$D$7:$L$20,'설정시트'!$C$7:$C$20=I99)"),"약국")</f>
        <v>약국</v>
      </c>
      <c r="AC99" s="214" t="str">
        <f>IFERROR(__xludf.DUMMYFUNCTION("""COMPUTED_VALUE"""),"병원비")</f>
        <v>병원비</v>
      </c>
      <c r="AD99" s="214" t="str">
        <f>IFERROR(__xludf.DUMMYFUNCTION("""COMPUTED_VALUE"""),"영양제")</f>
        <v>영양제</v>
      </c>
      <c r="AE99" s="214" t="str">
        <f>IFERROR(__xludf.DUMMYFUNCTION("""COMPUTED_VALUE"""),"교통비")</f>
        <v>교통비</v>
      </c>
      <c r="AF99" s="214" t="str">
        <f>IFERROR(__xludf.DUMMYFUNCTION("""COMPUTED_VALUE"""),"주유비")</f>
        <v>주유비</v>
      </c>
      <c r="AG99" s="214"/>
      <c r="AH99" s="214" t="str">
        <f>IFERROR(__xludf.DUMMYFUNCTION("""COMPUTED_VALUE"""),"기타")</f>
        <v>기타</v>
      </c>
      <c r="AI99" s="214"/>
      <c r="AJ99" s="215"/>
    </row>
    <row r="100">
      <c r="H100" s="208">
        <v>45885.0</v>
      </c>
      <c r="I100" s="209" t="s">
        <v>31</v>
      </c>
      <c r="J100" s="209" t="s">
        <v>30</v>
      </c>
      <c r="K100" s="210">
        <v>68000.0</v>
      </c>
      <c r="L100" s="211" t="s">
        <v>64</v>
      </c>
      <c r="M100" s="143"/>
      <c r="N100" s="211" t="s">
        <v>790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IFERROR(__xludf.DUMMYFUNCTION("FILTER('설정시트'!$D$7:$L$20,'설정시트'!$C$7:$C$20=I100)"),"식재료비")</f>
        <v>식재료비</v>
      </c>
      <c r="AC100" s="214" t="str">
        <f>IFERROR(__xludf.DUMMYFUNCTION("""COMPUTED_VALUE"""),"회사점심")</f>
        <v>회사점심</v>
      </c>
      <c r="AD100" s="214" t="str">
        <f>IFERROR(__xludf.DUMMYFUNCTION("""COMPUTED_VALUE"""),"간식/카페")</f>
        <v>간식/카페</v>
      </c>
      <c r="AE100" s="214" t="str">
        <f>IFERROR(__xludf.DUMMYFUNCTION("""COMPUTED_VALUE"""),"외식/배달")</f>
        <v>외식/배달</v>
      </c>
      <c r="AF100" s="214" t="str">
        <f>IFERROR(__xludf.DUMMYFUNCTION("""COMPUTED_VALUE"""),"기타")</f>
        <v>기타</v>
      </c>
      <c r="AG100" s="214"/>
      <c r="AH100" s="214"/>
      <c r="AI100" s="214"/>
      <c r="AJ100" s="215"/>
    </row>
    <row r="101">
      <c r="H101" s="208">
        <v>45885.0</v>
      </c>
      <c r="I101" s="209" t="s">
        <v>31</v>
      </c>
      <c r="J101" s="209" t="s">
        <v>29</v>
      </c>
      <c r="K101" s="210">
        <v>14000.0</v>
      </c>
      <c r="L101" s="211" t="s">
        <v>64</v>
      </c>
      <c r="M101" s="143"/>
      <c r="N101" s="211" t="s">
        <v>791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IFERROR(__xludf.DUMMYFUNCTION("FILTER('설정시트'!$D$7:$L$20,'설정시트'!$C$7:$C$20=I101)"),"식재료비")</f>
        <v>식재료비</v>
      </c>
      <c r="AC101" s="214" t="str">
        <f>IFERROR(__xludf.DUMMYFUNCTION("""COMPUTED_VALUE"""),"회사점심")</f>
        <v>회사점심</v>
      </c>
      <c r="AD101" s="214" t="str">
        <f>IFERROR(__xludf.DUMMYFUNCTION("""COMPUTED_VALUE"""),"간식/카페")</f>
        <v>간식/카페</v>
      </c>
      <c r="AE101" s="214" t="str">
        <f>IFERROR(__xludf.DUMMYFUNCTION("""COMPUTED_VALUE"""),"외식/배달")</f>
        <v>외식/배달</v>
      </c>
      <c r="AF101" s="214" t="str">
        <f>IFERROR(__xludf.DUMMYFUNCTION("""COMPUTED_VALUE"""),"기타")</f>
        <v>기타</v>
      </c>
      <c r="AG101" s="214"/>
      <c r="AH101" s="214"/>
      <c r="AI101" s="214"/>
      <c r="AJ101" s="215"/>
    </row>
    <row r="102">
      <c r="H102" s="208">
        <v>45882.0</v>
      </c>
      <c r="I102" s="209" t="s">
        <v>31</v>
      </c>
      <c r="J102" s="209" t="s">
        <v>30</v>
      </c>
      <c r="K102" s="216">
        <v>8000.0</v>
      </c>
      <c r="L102" s="211" t="s">
        <v>62</v>
      </c>
      <c r="M102" s="143"/>
      <c r="N102" s="211" t="s">
        <v>792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IFERROR(__xludf.DUMMYFUNCTION("FILTER('설정시트'!$D$7:$L$20,'설정시트'!$C$7:$C$20=I102)"),"식재료비")</f>
        <v>식재료비</v>
      </c>
      <c r="AC102" s="214" t="str">
        <f>IFERROR(__xludf.DUMMYFUNCTION("""COMPUTED_VALUE"""),"회사점심")</f>
        <v>회사점심</v>
      </c>
      <c r="AD102" s="214" t="str">
        <f>IFERROR(__xludf.DUMMYFUNCTION("""COMPUTED_VALUE"""),"간식/카페")</f>
        <v>간식/카페</v>
      </c>
      <c r="AE102" s="214" t="str">
        <f>IFERROR(__xludf.DUMMYFUNCTION("""COMPUTED_VALUE"""),"외식/배달")</f>
        <v>외식/배달</v>
      </c>
      <c r="AF102" s="214" t="str">
        <f>IFERROR(__xludf.DUMMYFUNCTION("""COMPUTED_VALUE"""),"기타")</f>
        <v>기타</v>
      </c>
      <c r="AG102" s="214"/>
      <c r="AH102" s="214"/>
      <c r="AI102" s="214"/>
      <c r="AJ102" s="215"/>
    </row>
    <row r="103">
      <c r="H103" s="208">
        <v>45880.0</v>
      </c>
      <c r="I103" s="209" t="s">
        <v>21</v>
      </c>
      <c r="J103" s="209" t="s">
        <v>20</v>
      </c>
      <c r="K103" s="210">
        <v>100000.0</v>
      </c>
      <c r="L103" s="211" t="s">
        <v>62</v>
      </c>
      <c r="M103" s="143"/>
      <c r="N103" s="211" t="s">
        <v>322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IFERROR(__xludf.DUMMYFUNCTION("FILTER('설정시트'!$D$7:$L$20,'설정시트'!$C$7:$C$20=I103)"),"관리비")</f>
        <v>관리비</v>
      </c>
      <c r="AC103" s="214" t="str">
        <f>IFERROR(__xludf.DUMMYFUNCTION("""COMPUTED_VALUE"""),"대출이자")</f>
        <v>대출이자</v>
      </c>
      <c r="AD103" s="214" t="str">
        <f>IFERROR(__xludf.DUMMYFUNCTION("""COMPUTED_VALUE"""),"통신비")</f>
        <v>통신비</v>
      </c>
      <c r="AE103" s="214" t="str">
        <f>IFERROR(__xludf.DUMMYFUNCTION("""COMPUTED_VALUE"""),"보험료")</f>
        <v>보험료</v>
      </c>
      <c r="AF103" s="214" t="str">
        <f>IFERROR(__xludf.DUMMYFUNCTION("""COMPUTED_VALUE"""),"곗돈")</f>
        <v>곗돈</v>
      </c>
      <c r="AG103" s="214"/>
      <c r="AH103" s="214"/>
      <c r="AI103" s="214"/>
      <c r="AJ103" s="215"/>
    </row>
    <row r="104">
      <c r="H104" s="208">
        <v>45880.0</v>
      </c>
      <c r="I104" s="209" t="s">
        <v>3</v>
      </c>
      <c r="J104" s="209" t="s">
        <v>8</v>
      </c>
      <c r="K104" s="210">
        <f>100000+120000</f>
        <v>220000</v>
      </c>
      <c r="L104" s="211"/>
      <c r="M104" s="143"/>
      <c r="N104" s="211" t="s">
        <v>793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IFERROR(__xludf.DUMMYFUNCTION("FILTER('설정시트'!$D$7:$L$20,'설정시트'!$C$7:$C$20=I104)"),"🍪 월급")</f>
        <v>🍪 월급</v>
      </c>
      <c r="AC104" s="214" t="str">
        <f>IFERROR(__xludf.DUMMYFUNCTION("""COMPUTED_VALUE"""),"🍪 부수입")</f>
        <v>🍪 부수입</v>
      </c>
      <c r="AD104" s="214" t="str">
        <f>IFERROR(__xludf.DUMMYFUNCTION("""COMPUTED_VALUE"""),"🐻 월급")</f>
        <v>🐻 월급</v>
      </c>
      <c r="AE104" s="214" t="str">
        <f>IFERROR(__xludf.DUMMYFUNCTION("""COMPUTED_VALUE"""),"🐻 부수입")</f>
        <v>🐻 부수입</v>
      </c>
      <c r="AF104" s="214" t="str">
        <f>IFERROR(__xludf.DUMMYFUNCTION("""COMPUTED_VALUE"""),"기타")</f>
        <v>기타</v>
      </c>
      <c r="AG104" s="214"/>
      <c r="AH104" s="214"/>
      <c r="AI104" s="214"/>
      <c r="AJ104" s="215"/>
    </row>
    <row r="105">
      <c r="H105" s="208">
        <v>45877.0</v>
      </c>
      <c r="I105" s="209" t="s">
        <v>45</v>
      </c>
      <c r="J105" s="209" t="s">
        <v>8</v>
      </c>
      <c r="K105" s="210">
        <v>10000.0</v>
      </c>
      <c r="L105" s="211" t="s">
        <v>62</v>
      </c>
      <c r="M105" s="143"/>
      <c r="N105" s="211" t="s">
        <v>733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IFERROR(__xludf.DUMMYFUNCTION("FILTER('설정시트'!$D$7:$L$20,'설정시트'!$C$7:$C$20=I105)"),"약국")</f>
        <v>약국</v>
      </c>
      <c r="AC105" s="214" t="str">
        <f>IFERROR(__xludf.DUMMYFUNCTION("""COMPUTED_VALUE"""),"병원비")</f>
        <v>병원비</v>
      </c>
      <c r="AD105" s="214" t="str">
        <f>IFERROR(__xludf.DUMMYFUNCTION("""COMPUTED_VALUE"""),"영양제")</f>
        <v>영양제</v>
      </c>
      <c r="AE105" s="214" t="str">
        <f>IFERROR(__xludf.DUMMYFUNCTION("""COMPUTED_VALUE"""),"교통비")</f>
        <v>교통비</v>
      </c>
      <c r="AF105" s="214" t="str">
        <f>IFERROR(__xludf.DUMMYFUNCTION("""COMPUTED_VALUE"""),"주유비")</f>
        <v>주유비</v>
      </c>
      <c r="AG105" s="214"/>
      <c r="AH105" s="214" t="str">
        <f>IFERROR(__xludf.DUMMYFUNCTION("""COMPUTED_VALUE"""),"기타")</f>
        <v>기타</v>
      </c>
      <c r="AI105" s="214"/>
      <c r="AJ105" s="215"/>
    </row>
    <row r="106">
      <c r="H106" s="208">
        <v>45881.0</v>
      </c>
      <c r="I106" s="209" t="s">
        <v>25</v>
      </c>
      <c r="J106" s="209" t="s">
        <v>8</v>
      </c>
      <c r="K106" s="216">
        <v>5000.0</v>
      </c>
      <c r="L106" s="211" t="s">
        <v>62</v>
      </c>
      <c r="M106" s="143"/>
      <c r="N106" s="211" t="s">
        <v>794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IFERROR(__xludf.DUMMYFUNCTION("FILTER('설정시트'!$D$7:$L$20,'설정시트'!$C$7:$C$20=I106)"),"주방/욕실")</f>
        <v>주방/욕실</v>
      </c>
      <c r="AC106" s="214" t="str">
        <f>IFERROR(__xludf.DUMMYFUNCTION("""COMPUTED_VALUE"""),"소모품")</f>
        <v>소모품</v>
      </c>
      <c r="AD106" s="214" t="str">
        <f>IFERROR(__xludf.DUMMYFUNCTION("""COMPUTED_VALUE"""),"기타")</f>
        <v>기타</v>
      </c>
      <c r="AE106" s="214"/>
      <c r="AF106" s="214"/>
      <c r="AG106" s="214"/>
      <c r="AH106" s="214"/>
      <c r="AI106" s="214"/>
      <c r="AJ106" s="215"/>
    </row>
    <row r="107">
      <c r="H107" s="208">
        <v>45895.0</v>
      </c>
      <c r="I107" s="209" t="s">
        <v>31</v>
      </c>
      <c r="J107" s="209" t="s">
        <v>30</v>
      </c>
      <c r="K107" s="216">
        <v>16100.0</v>
      </c>
      <c r="L107" s="211" t="s">
        <v>64</v>
      </c>
      <c r="M107" s="143"/>
      <c r="N107" s="211" t="s">
        <v>795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IFERROR(__xludf.DUMMYFUNCTION("FILTER('설정시트'!$D$7:$L$20,'설정시트'!$C$7:$C$20=I107)"),"식재료비")</f>
        <v>식재료비</v>
      </c>
      <c r="AC107" s="214" t="str">
        <f>IFERROR(__xludf.DUMMYFUNCTION("""COMPUTED_VALUE"""),"회사점심")</f>
        <v>회사점심</v>
      </c>
      <c r="AD107" s="214" t="str">
        <f>IFERROR(__xludf.DUMMYFUNCTION("""COMPUTED_VALUE"""),"간식/카페")</f>
        <v>간식/카페</v>
      </c>
      <c r="AE107" s="214" t="str">
        <f>IFERROR(__xludf.DUMMYFUNCTION("""COMPUTED_VALUE"""),"외식/배달")</f>
        <v>외식/배달</v>
      </c>
      <c r="AF107" s="214" t="str">
        <f>IFERROR(__xludf.DUMMYFUNCTION("""COMPUTED_VALUE"""),"기타")</f>
        <v>기타</v>
      </c>
      <c r="AG107" s="214"/>
      <c r="AH107" s="214"/>
      <c r="AI107" s="214"/>
      <c r="AJ107" s="215"/>
    </row>
    <row r="108">
      <c r="H108" s="208">
        <v>45894.0</v>
      </c>
      <c r="I108" s="209" t="s">
        <v>31</v>
      </c>
      <c r="J108" s="209" t="s">
        <v>30</v>
      </c>
      <c r="K108" s="216">
        <v>13500.0</v>
      </c>
      <c r="L108" s="211" t="s">
        <v>64</v>
      </c>
      <c r="M108" s="143"/>
      <c r="N108" s="211" t="s">
        <v>796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  <c r="AJ108" s="215"/>
    </row>
    <row r="109">
      <c r="H109" s="208">
        <v>45892.0</v>
      </c>
      <c r="I109" s="209" t="s">
        <v>31</v>
      </c>
      <c r="J109" s="209" t="s">
        <v>30</v>
      </c>
      <c r="K109" s="216">
        <v>29900.0</v>
      </c>
      <c r="L109" s="211" t="s">
        <v>64</v>
      </c>
      <c r="M109" s="143"/>
      <c r="N109" s="211" t="s">
        <v>797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IFERROR(__xludf.DUMMYFUNCTION("FILTER('설정시트'!$D$7:$L$20,'설정시트'!$C$7:$C$20=I109)"),"식재료비")</f>
        <v>식재료비</v>
      </c>
      <c r="AC109" s="214" t="str">
        <f>IFERROR(__xludf.DUMMYFUNCTION("""COMPUTED_VALUE"""),"회사점심")</f>
        <v>회사점심</v>
      </c>
      <c r="AD109" s="214" t="str">
        <f>IFERROR(__xludf.DUMMYFUNCTION("""COMPUTED_VALUE"""),"간식/카페")</f>
        <v>간식/카페</v>
      </c>
      <c r="AE109" s="214" t="str">
        <f>IFERROR(__xludf.DUMMYFUNCTION("""COMPUTED_VALUE"""),"외식/배달")</f>
        <v>외식/배달</v>
      </c>
      <c r="AF109" s="214" t="str">
        <f>IFERROR(__xludf.DUMMYFUNCTION("""COMPUTED_VALUE"""),"기타")</f>
        <v>기타</v>
      </c>
      <c r="AG109" s="214"/>
      <c r="AH109" s="214"/>
      <c r="AI109" s="214"/>
      <c r="AJ109" s="215"/>
    </row>
    <row r="110">
      <c r="H110" s="208">
        <v>45890.0</v>
      </c>
      <c r="I110" s="209" t="s">
        <v>45</v>
      </c>
      <c r="J110" s="209" t="s">
        <v>44</v>
      </c>
      <c r="K110" s="216">
        <v>50000.0</v>
      </c>
      <c r="L110" s="211" t="s">
        <v>64</v>
      </c>
      <c r="M110" s="143"/>
      <c r="N110" s="211" t="s">
        <v>747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IFERROR(__xludf.DUMMYFUNCTION("FILTER('설정시트'!$D$7:$L$20,'설정시트'!$C$7:$C$20=I110)"),"약국")</f>
        <v>약국</v>
      </c>
      <c r="AC110" s="214" t="str">
        <f>IFERROR(__xludf.DUMMYFUNCTION("""COMPUTED_VALUE"""),"병원비")</f>
        <v>병원비</v>
      </c>
      <c r="AD110" s="214" t="str">
        <f>IFERROR(__xludf.DUMMYFUNCTION("""COMPUTED_VALUE"""),"영양제")</f>
        <v>영양제</v>
      </c>
      <c r="AE110" s="214" t="str">
        <f>IFERROR(__xludf.DUMMYFUNCTION("""COMPUTED_VALUE"""),"교통비")</f>
        <v>교통비</v>
      </c>
      <c r="AF110" s="214" t="str">
        <f>IFERROR(__xludf.DUMMYFUNCTION("""COMPUTED_VALUE"""),"주유비")</f>
        <v>주유비</v>
      </c>
      <c r="AG110" s="214"/>
      <c r="AH110" s="214" t="str">
        <f>IFERROR(__xludf.DUMMYFUNCTION("""COMPUTED_VALUE"""),"기타")</f>
        <v>기타</v>
      </c>
      <c r="AI110" s="214"/>
      <c r="AJ110" s="215"/>
    </row>
    <row r="111">
      <c r="H111" s="208">
        <v>45886.0</v>
      </c>
      <c r="I111" s="209" t="s">
        <v>31</v>
      </c>
      <c r="J111" s="209" t="s">
        <v>30</v>
      </c>
      <c r="K111" s="216">
        <v>28200.0</v>
      </c>
      <c r="L111" s="211" t="s">
        <v>64</v>
      </c>
      <c r="M111" s="143"/>
      <c r="N111" s="211" t="s">
        <v>747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IFERROR(__xludf.DUMMYFUNCTION("FILTER('설정시트'!$D$7:$L$20,'설정시트'!$C$7:$C$20=I111)"),"식재료비")</f>
        <v>식재료비</v>
      </c>
      <c r="AC111" s="214" t="str">
        <f>IFERROR(__xludf.DUMMYFUNCTION("""COMPUTED_VALUE"""),"회사점심")</f>
        <v>회사점심</v>
      </c>
      <c r="AD111" s="214" t="str">
        <f>IFERROR(__xludf.DUMMYFUNCTION("""COMPUTED_VALUE"""),"간식/카페")</f>
        <v>간식/카페</v>
      </c>
      <c r="AE111" s="214" t="str">
        <f>IFERROR(__xludf.DUMMYFUNCTION("""COMPUTED_VALUE"""),"외식/배달")</f>
        <v>외식/배달</v>
      </c>
      <c r="AF111" s="214" t="str">
        <f>IFERROR(__xludf.DUMMYFUNCTION("""COMPUTED_VALUE"""),"기타")</f>
        <v>기타</v>
      </c>
      <c r="AG111" s="214"/>
      <c r="AH111" s="214"/>
      <c r="AI111" s="214"/>
      <c r="AJ111" s="215"/>
    </row>
    <row r="112">
      <c r="H112" s="208">
        <v>45890.0</v>
      </c>
      <c r="I112" s="209" t="s">
        <v>52</v>
      </c>
      <c r="J112" s="209" t="s">
        <v>8</v>
      </c>
      <c r="K112" s="216">
        <v>127200.0</v>
      </c>
      <c r="L112" s="211" t="s">
        <v>64</v>
      </c>
      <c r="M112" s="143"/>
      <c r="N112" s="211" t="s">
        <v>798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IFERROR(__xludf.DUMMYFUNCTION("FILTER('설정시트'!$D$7:$L$20,'설정시트'!$C$7:$C$20=I112)"),"축의/부의금")</f>
        <v>축의/부의금</v>
      </c>
      <c r="AC112" s="214" t="str">
        <f>IFERROR(__xludf.DUMMYFUNCTION("""COMPUTED_VALUE"""),"생신/생일선물")</f>
        <v>생신/생일선물</v>
      </c>
      <c r="AD112" s="214" t="str">
        <f>IFERROR(__xludf.DUMMYFUNCTION("""COMPUTED_VALUE"""),"명절/어버이날")</f>
        <v>명절/어버이날</v>
      </c>
      <c r="AE112" s="214" t="str">
        <f>IFERROR(__xludf.DUMMYFUNCTION("""COMPUTED_VALUE"""),"여행")</f>
        <v>여행</v>
      </c>
      <c r="AF112" s="214" t="str">
        <f>IFERROR(__xludf.DUMMYFUNCTION("""COMPUTED_VALUE"""),"기타")</f>
        <v>기타</v>
      </c>
      <c r="AG112" s="214" t="str">
        <f>IFERROR(__xludf.DUMMYFUNCTION("""COMPUTED_VALUE"""),"출산")</f>
        <v>출산</v>
      </c>
      <c r="AH112" s="214"/>
      <c r="AI112" s="214"/>
      <c r="AJ112" s="215"/>
    </row>
    <row r="113">
      <c r="H113" s="208">
        <v>45890.0</v>
      </c>
      <c r="I113" s="209" t="s">
        <v>31</v>
      </c>
      <c r="J113" s="209" t="s">
        <v>29</v>
      </c>
      <c r="K113" s="216">
        <v>1200.0</v>
      </c>
      <c r="L113" s="211" t="s">
        <v>64</v>
      </c>
      <c r="M113" s="143"/>
      <c r="N113" s="211" t="s">
        <v>740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IFERROR(__xludf.DUMMYFUNCTION("FILTER('설정시트'!$D$7:$L$20,'설정시트'!$C$7:$C$20=I113)"),"식재료비")</f>
        <v>식재료비</v>
      </c>
      <c r="AC113" s="214" t="str">
        <f>IFERROR(__xludf.DUMMYFUNCTION("""COMPUTED_VALUE"""),"회사점심")</f>
        <v>회사점심</v>
      </c>
      <c r="AD113" s="214" t="str">
        <f>IFERROR(__xludf.DUMMYFUNCTION("""COMPUTED_VALUE"""),"간식/카페")</f>
        <v>간식/카페</v>
      </c>
      <c r="AE113" s="214" t="str">
        <f>IFERROR(__xludf.DUMMYFUNCTION("""COMPUTED_VALUE"""),"외식/배달")</f>
        <v>외식/배달</v>
      </c>
      <c r="AF113" s="214" t="str">
        <f>IFERROR(__xludf.DUMMYFUNCTION("""COMPUTED_VALUE"""),"기타")</f>
        <v>기타</v>
      </c>
      <c r="AG113" s="214"/>
      <c r="AH113" s="214"/>
      <c r="AI113" s="214"/>
      <c r="AJ113" s="215"/>
    </row>
    <row r="114">
      <c r="H114" s="208">
        <v>45890.0</v>
      </c>
      <c r="I114" s="209" t="s">
        <v>26</v>
      </c>
      <c r="J114" s="209" t="s">
        <v>28</v>
      </c>
      <c r="K114" s="216">
        <v>20800.0</v>
      </c>
      <c r="L114" s="211" t="s">
        <v>64</v>
      </c>
      <c r="M114" s="143"/>
      <c r="N114" s="211" t="s">
        <v>799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IFERROR(__xludf.DUMMYFUNCTION("FILTER('설정시트'!$D$7:$L$20,'설정시트'!$C$7:$C$20=I114)"),"식재료비")</f>
        <v>식재료비</v>
      </c>
      <c r="AC114" s="214" t="str">
        <f>IFERROR(__xludf.DUMMYFUNCTION("""COMPUTED_VALUE"""),"회사점심")</f>
        <v>회사점심</v>
      </c>
      <c r="AD114" s="214" t="str">
        <f>IFERROR(__xludf.DUMMYFUNCTION("""COMPUTED_VALUE"""),"간식/카페")</f>
        <v>간식/카페</v>
      </c>
      <c r="AE114" s="214" t="str">
        <f>IFERROR(__xludf.DUMMYFUNCTION("""COMPUTED_VALUE"""),"외식/배달")</f>
        <v>외식/배달</v>
      </c>
      <c r="AF114" s="214" t="str">
        <f>IFERROR(__xludf.DUMMYFUNCTION("""COMPUTED_VALUE"""),"기타")</f>
        <v>기타</v>
      </c>
      <c r="AG114" s="214"/>
      <c r="AH114" s="214"/>
      <c r="AI114" s="214"/>
      <c r="AJ114" s="215"/>
    </row>
    <row r="115">
      <c r="H115" s="208">
        <v>45890.0</v>
      </c>
      <c r="I115" s="209" t="s">
        <v>38</v>
      </c>
      <c r="J115" s="209" t="s">
        <v>33</v>
      </c>
      <c r="K115" s="216">
        <v>102800.0</v>
      </c>
      <c r="L115" s="211" t="s">
        <v>64</v>
      </c>
      <c r="M115" s="143"/>
      <c r="N115" s="211" t="s">
        <v>800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IFERROR(__xludf.DUMMYFUNCTION("FILTER('설정시트'!$D$7:$L$20,'설정시트'!$C$7:$C$20=I115)"),"의류/잡화")</f>
        <v>의류/잡화</v>
      </c>
      <c r="AC115" s="214" t="str">
        <f>IFERROR(__xludf.DUMMYFUNCTION("""COMPUTED_VALUE"""),"OTT")</f>
        <v>OTT</v>
      </c>
      <c r="AD115" s="214" t="str">
        <f>IFERROR(__xludf.DUMMYFUNCTION("""COMPUTED_VALUE"""),"문화생활")</f>
        <v>문화생활</v>
      </c>
      <c r="AE115" s="214" t="str">
        <f>IFERROR(__xludf.DUMMYFUNCTION("""COMPUTED_VALUE"""),"자기계발")</f>
        <v>자기계발</v>
      </c>
      <c r="AF115" s="214" t="str">
        <f>IFERROR(__xludf.DUMMYFUNCTION("""COMPUTED_VALUE"""),"미용")</f>
        <v>미용</v>
      </c>
      <c r="AG115" s="214"/>
      <c r="AH115" s="214" t="str">
        <f>IFERROR(__xludf.DUMMYFUNCTION("""COMPUTED_VALUE"""),"기타")</f>
        <v>기타</v>
      </c>
      <c r="AI115" s="214"/>
      <c r="AJ115" s="215"/>
    </row>
    <row r="116">
      <c r="H116" s="208">
        <v>45889.0</v>
      </c>
      <c r="I116" s="209" t="s">
        <v>21</v>
      </c>
      <c r="J116" s="209" t="s">
        <v>15</v>
      </c>
      <c r="K116" s="216">
        <v>19050.0</v>
      </c>
      <c r="L116" s="211" t="s">
        <v>64</v>
      </c>
      <c r="M116" s="143"/>
      <c r="N116" s="211" t="s">
        <v>351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IFERROR(__xludf.DUMMYFUNCTION("FILTER('설정시트'!$D$7:$L$20,'설정시트'!$C$7:$C$20=I116)"),"관리비")</f>
        <v>관리비</v>
      </c>
      <c r="AC116" s="214" t="str">
        <f>IFERROR(__xludf.DUMMYFUNCTION("""COMPUTED_VALUE"""),"대출이자")</f>
        <v>대출이자</v>
      </c>
      <c r="AD116" s="214" t="str">
        <f>IFERROR(__xludf.DUMMYFUNCTION("""COMPUTED_VALUE"""),"통신비")</f>
        <v>통신비</v>
      </c>
      <c r="AE116" s="214" t="str">
        <f>IFERROR(__xludf.DUMMYFUNCTION("""COMPUTED_VALUE"""),"보험료")</f>
        <v>보험료</v>
      </c>
      <c r="AF116" s="214" t="str">
        <f>IFERROR(__xludf.DUMMYFUNCTION("""COMPUTED_VALUE"""),"곗돈")</f>
        <v>곗돈</v>
      </c>
      <c r="AG116" s="214"/>
      <c r="AH116" s="214"/>
      <c r="AI116" s="214"/>
      <c r="AJ116" s="215"/>
    </row>
    <row r="117">
      <c r="H117" s="208">
        <v>45889.0</v>
      </c>
      <c r="I117" s="217" t="s">
        <v>31</v>
      </c>
      <c r="J117" s="217" t="s">
        <v>30</v>
      </c>
      <c r="K117" s="218">
        <v>20800.0</v>
      </c>
      <c r="L117" s="211" t="s">
        <v>64</v>
      </c>
      <c r="M117" s="143"/>
      <c r="N117" s="211" t="s">
        <v>449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IFERROR(__xludf.DUMMYFUNCTION("FILTER('설정시트'!$D$7:$L$20,'설정시트'!$C$7:$C$20=I117)"),"식재료비")</f>
        <v>식재료비</v>
      </c>
      <c r="AC117" s="214" t="str">
        <f>IFERROR(__xludf.DUMMYFUNCTION("""COMPUTED_VALUE"""),"회사점심")</f>
        <v>회사점심</v>
      </c>
      <c r="AD117" s="214" t="str">
        <f>IFERROR(__xludf.DUMMYFUNCTION("""COMPUTED_VALUE"""),"간식/카페")</f>
        <v>간식/카페</v>
      </c>
      <c r="AE117" s="214" t="str">
        <f>IFERROR(__xludf.DUMMYFUNCTION("""COMPUTED_VALUE"""),"외식/배달")</f>
        <v>외식/배달</v>
      </c>
      <c r="AF117" s="214" t="str">
        <f>IFERROR(__xludf.DUMMYFUNCTION("""COMPUTED_VALUE"""),"기타")</f>
        <v>기타</v>
      </c>
      <c r="AG117" s="214"/>
      <c r="AH117" s="214"/>
      <c r="AI117" s="214"/>
      <c r="AJ117" s="215"/>
    </row>
    <row r="118">
      <c r="H118" s="208">
        <v>45889.0</v>
      </c>
      <c r="I118" s="217" t="s">
        <v>38</v>
      </c>
      <c r="J118" s="217" t="s">
        <v>33</v>
      </c>
      <c r="K118" s="218">
        <v>43900.0</v>
      </c>
      <c r="L118" s="211" t="s">
        <v>64</v>
      </c>
      <c r="M118" s="143"/>
      <c r="N118" s="211" t="s">
        <v>801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IFERROR(__xludf.DUMMYFUNCTION("FILTER('설정시트'!$D$7:$L$20,'설정시트'!$C$7:$C$20=I118)"),"의류/잡화")</f>
        <v>의류/잡화</v>
      </c>
      <c r="AC118" s="214" t="str">
        <f>IFERROR(__xludf.DUMMYFUNCTION("""COMPUTED_VALUE"""),"OTT")</f>
        <v>OTT</v>
      </c>
      <c r="AD118" s="214" t="str">
        <f>IFERROR(__xludf.DUMMYFUNCTION("""COMPUTED_VALUE"""),"문화생활")</f>
        <v>문화생활</v>
      </c>
      <c r="AE118" s="214" t="str">
        <f>IFERROR(__xludf.DUMMYFUNCTION("""COMPUTED_VALUE"""),"자기계발")</f>
        <v>자기계발</v>
      </c>
      <c r="AF118" s="214" t="str">
        <f>IFERROR(__xludf.DUMMYFUNCTION("""COMPUTED_VALUE"""),"미용")</f>
        <v>미용</v>
      </c>
      <c r="AG118" s="214"/>
      <c r="AH118" s="214" t="str">
        <f>IFERROR(__xludf.DUMMYFUNCTION("""COMPUTED_VALUE"""),"기타")</f>
        <v>기타</v>
      </c>
      <c r="AI118" s="214"/>
      <c r="AJ118" s="215"/>
    </row>
    <row r="119">
      <c r="H119" s="208">
        <v>45889.0</v>
      </c>
      <c r="I119" s="217" t="s">
        <v>31</v>
      </c>
      <c r="J119" s="217" t="s">
        <v>29</v>
      </c>
      <c r="K119" s="218">
        <v>1200.0</v>
      </c>
      <c r="L119" s="211" t="s">
        <v>64</v>
      </c>
      <c r="M119" s="143"/>
      <c r="N119" s="211" t="s">
        <v>740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IFERROR(__xludf.DUMMYFUNCTION("FILTER('설정시트'!$D$7:$L$20,'설정시트'!$C$7:$C$20=I119)"),"식재료비")</f>
        <v>식재료비</v>
      </c>
      <c r="AC119" s="214" t="str">
        <f>IFERROR(__xludf.DUMMYFUNCTION("""COMPUTED_VALUE"""),"회사점심")</f>
        <v>회사점심</v>
      </c>
      <c r="AD119" s="214" t="str">
        <f>IFERROR(__xludf.DUMMYFUNCTION("""COMPUTED_VALUE"""),"간식/카페")</f>
        <v>간식/카페</v>
      </c>
      <c r="AE119" s="214" t="str">
        <f>IFERROR(__xludf.DUMMYFUNCTION("""COMPUTED_VALUE"""),"외식/배달")</f>
        <v>외식/배달</v>
      </c>
      <c r="AF119" s="214" t="str">
        <f>IFERROR(__xludf.DUMMYFUNCTION("""COMPUTED_VALUE"""),"기타")</f>
        <v>기타</v>
      </c>
      <c r="AG119" s="214"/>
      <c r="AH119" s="214"/>
      <c r="AI119" s="214"/>
      <c r="AJ119" s="215"/>
    </row>
    <row r="120">
      <c r="H120" s="208">
        <v>45888.0</v>
      </c>
      <c r="I120" s="217" t="s">
        <v>31</v>
      </c>
      <c r="J120" s="217" t="s">
        <v>29</v>
      </c>
      <c r="K120" s="218">
        <v>2700.0</v>
      </c>
      <c r="L120" s="211" t="s">
        <v>64</v>
      </c>
      <c r="M120" s="143"/>
      <c r="N120" s="211" t="s">
        <v>802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IFERROR(__xludf.DUMMYFUNCTION("FILTER('설정시트'!$D$7:$L$20,'설정시트'!$C$7:$C$20=I120)"),"식재료비")</f>
        <v>식재료비</v>
      </c>
      <c r="AC120" s="214" t="str">
        <f>IFERROR(__xludf.DUMMYFUNCTION("""COMPUTED_VALUE"""),"회사점심")</f>
        <v>회사점심</v>
      </c>
      <c r="AD120" s="214" t="str">
        <f>IFERROR(__xludf.DUMMYFUNCTION("""COMPUTED_VALUE"""),"간식/카페")</f>
        <v>간식/카페</v>
      </c>
      <c r="AE120" s="214" t="str">
        <f>IFERROR(__xludf.DUMMYFUNCTION("""COMPUTED_VALUE"""),"외식/배달")</f>
        <v>외식/배달</v>
      </c>
      <c r="AF120" s="214" t="str">
        <f>IFERROR(__xludf.DUMMYFUNCTION("""COMPUTED_VALUE"""),"기타")</f>
        <v>기타</v>
      </c>
      <c r="AG120" s="214"/>
      <c r="AH120" s="214"/>
      <c r="AI120" s="214"/>
      <c r="AJ120" s="215"/>
    </row>
    <row r="121">
      <c r="H121" s="208">
        <v>45887.0</v>
      </c>
      <c r="I121" s="217" t="s">
        <v>31</v>
      </c>
      <c r="J121" s="217" t="s">
        <v>29</v>
      </c>
      <c r="K121" s="218">
        <v>1200.0</v>
      </c>
      <c r="L121" s="211" t="s">
        <v>64</v>
      </c>
      <c r="M121" s="143"/>
      <c r="N121" s="211" t="s">
        <v>728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45886.0</v>
      </c>
      <c r="I122" s="217" t="s">
        <v>31</v>
      </c>
      <c r="J122" s="217" t="s">
        <v>29</v>
      </c>
      <c r="K122" s="218">
        <v>7100.0</v>
      </c>
      <c r="L122" s="211" t="s">
        <v>64</v>
      </c>
      <c r="M122" s="143"/>
      <c r="N122" s="211" t="s">
        <v>732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IFERROR(__xludf.DUMMYFUNCTION("FILTER('설정시트'!$D$7:$L$20,'설정시트'!$C$7:$C$20=I122)"),"식재료비")</f>
        <v>식재료비</v>
      </c>
      <c r="AC122" s="214" t="str">
        <f>IFERROR(__xludf.DUMMYFUNCTION("""COMPUTED_VALUE"""),"회사점심")</f>
        <v>회사점심</v>
      </c>
      <c r="AD122" s="214" t="str">
        <f>IFERROR(__xludf.DUMMYFUNCTION("""COMPUTED_VALUE"""),"간식/카페")</f>
        <v>간식/카페</v>
      </c>
      <c r="AE122" s="214" t="str">
        <f>IFERROR(__xludf.DUMMYFUNCTION("""COMPUTED_VALUE"""),"외식/배달")</f>
        <v>외식/배달</v>
      </c>
      <c r="AF122" s="214" t="str">
        <f>IFERROR(__xludf.DUMMYFUNCTION("""COMPUTED_VALUE"""),"기타")</f>
        <v>기타</v>
      </c>
      <c r="AG122" s="214"/>
      <c r="AH122" s="214"/>
      <c r="AI122" s="214"/>
      <c r="AJ122" s="215"/>
    </row>
    <row r="123">
      <c r="H123" s="208">
        <v>45886.0</v>
      </c>
      <c r="I123" s="217" t="s">
        <v>46</v>
      </c>
      <c r="J123" s="217" t="s">
        <v>8</v>
      </c>
      <c r="K123" s="218">
        <v>60800.0</v>
      </c>
      <c r="L123" s="211" t="s">
        <v>64</v>
      </c>
      <c r="M123" s="143"/>
      <c r="N123" s="211" t="s">
        <v>803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IFERROR(__xludf.DUMMYFUNCTION("FILTER('설정시트'!$D$7:$L$20,'설정시트'!$C$7:$C$20=I123)"),"축의/부의금")</f>
        <v>축의/부의금</v>
      </c>
      <c r="AC123" s="214" t="str">
        <f>IFERROR(__xludf.DUMMYFUNCTION("""COMPUTED_VALUE"""),"생신/생일선물")</f>
        <v>생신/생일선물</v>
      </c>
      <c r="AD123" s="214" t="str">
        <f>IFERROR(__xludf.DUMMYFUNCTION("""COMPUTED_VALUE"""),"명절/어버이날")</f>
        <v>명절/어버이날</v>
      </c>
      <c r="AE123" s="214" t="str">
        <f>IFERROR(__xludf.DUMMYFUNCTION("""COMPUTED_VALUE"""),"여행")</f>
        <v>여행</v>
      </c>
      <c r="AF123" s="214" t="str">
        <f>IFERROR(__xludf.DUMMYFUNCTION("""COMPUTED_VALUE"""),"기타")</f>
        <v>기타</v>
      </c>
      <c r="AG123" s="214" t="str">
        <f>IFERROR(__xludf.DUMMYFUNCTION("""COMPUTED_VALUE"""),"출산")</f>
        <v>출산</v>
      </c>
      <c r="AH123" s="214"/>
      <c r="AI123" s="214"/>
      <c r="AJ123" s="215"/>
    </row>
    <row r="124">
      <c r="H124" s="208">
        <v>45894.0</v>
      </c>
      <c r="I124" s="217" t="s">
        <v>26</v>
      </c>
      <c r="J124" s="217" t="s">
        <v>30</v>
      </c>
      <c r="K124" s="218">
        <v>13500.0</v>
      </c>
      <c r="L124" s="211" t="s">
        <v>64</v>
      </c>
      <c r="M124" s="143"/>
      <c r="N124" s="211" t="s">
        <v>804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45895.0</v>
      </c>
      <c r="I125" s="217" t="s">
        <v>26</v>
      </c>
      <c r="J125" s="217" t="s">
        <v>30</v>
      </c>
      <c r="K125" s="218">
        <v>16100.0</v>
      </c>
      <c r="L125" s="211" t="s">
        <v>64</v>
      </c>
      <c r="M125" s="143"/>
      <c r="N125" s="211" t="s">
        <v>795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IFERROR(__xludf.DUMMYFUNCTION("FILTER('설정시트'!$D$7:$L$20,'설정시트'!$C$7:$C$20=I125)"),"식재료비")</f>
        <v>식재료비</v>
      </c>
      <c r="AC125" s="214" t="str">
        <f>IFERROR(__xludf.DUMMYFUNCTION("""COMPUTED_VALUE"""),"회사점심")</f>
        <v>회사점심</v>
      </c>
      <c r="AD125" s="214" t="str">
        <f>IFERROR(__xludf.DUMMYFUNCTION("""COMPUTED_VALUE"""),"간식/카페")</f>
        <v>간식/카페</v>
      </c>
      <c r="AE125" s="214" t="str">
        <f>IFERROR(__xludf.DUMMYFUNCTION("""COMPUTED_VALUE"""),"외식/배달")</f>
        <v>외식/배달</v>
      </c>
      <c r="AF125" s="214" t="str">
        <f>IFERROR(__xludf.DUMMYFUNCTION("""COMPUTED_VALUE"""),"기타")</f>
        <v>기타</v>
      </c>
      <c r="AG125" s="214"/>
      <c r="AH125" s="214"/>
      <c r="AI125" s="214"/>
      <c r="AJ125" s="215"/>
    </row>
    <row r="126">
      <c r="H126" s="208">
        <v>45896.0</v>
      </c>
      <c r="I126" s="217" t="s">
        <v>31</v>
      </c>
      <c r="J126" s="217" t="s">
        <v>29</v>
      </c>
      <c r="K126" s="218">
        <v>1200.0</v>
      </c>
      <c r="L126" s="211" t="s">
        <v>64</v>
      </c>
      <c r="M126" s="143"/>
      <c r="N126" s="211" t="s">
        <v>770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IFERROR(__xludf.DUMMYFUNCTION("FILTER('설정시트'!$D$7:$L$20,'설정시트'!$C$7:$C$20=I126)"),"식재료비")</f>
        <v>식재료비</v>
      </c>
      <c r="AC126" s="214" t="str">
        <f>IFERROR(__xludf.DUMMYFUNCTION("""COMPUTED_VALUE"""),"회사점심")</f>
        <v>회사점심</v>
      </c>
      <c r="AD126" s="214" t="str">
        <f>IFERROR(__xludf.DUMMYFUNCTION("""COMPUTED_VALUE"""),"간식/카페")</f>
        <v>간식/카페</v>
      </c>
      <c r="AE126" s="214" t="str">
        <f>IFERROR(__xludf.DUMMYFUNCTION("""COMPUTED_VALUE"""),"외식/배달")</f>
        <v>외식/배달</v>
      </c>
      <c r="AF126" s="214" t="str">
        <f>IFERROR(__xludf.DUMMYFUNCTION("""COMPUTED_VALUE"""),"기타")</f>
        <v>기타</v>
      </c>
      <c r="AG126" s="214"/>
      <c r="AH126" s="214"/>
      <c r="AI126" s="214"/>
      <c r="AJ126" s="215"/>
    </row>
    <row r="127">
      <c r="H127" s="208">
        <v>45896.0</v>
      </c>
      <c r="I127" s="217" t="s">
        <v>26</v>
      </c>
      <c r="J127" s="217" t="s">
        <v>27</v>
      </c>
      <c r="K127" s="218">
        <v>8000.0</v>
      </c>
      <c r="L127" s="211" t="s">
        <v>64</v>
      </c>
      <c r="M127" s="143"/>
      <c r="N127" s="211" t="s">
        <v>805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IFERROR(__xludf.DUMMYFUNCTION("FILTER('설정시트'!$D$7:$L$20,'설정시트'!$C$7:$C$20=I127)"),"식재료비")</f>
        <v>식재료비</v>
      </c>
      <c r="AC127" s="214" t="str">
        <f>IFERROR(__xludf.DUMMYFUNCTION("""COMPUTED_VALUE"""),"회사점심")</f>
        <v>회사점심</v>
      </c>
      <c r="AD127" s="214" t="str">
        <f>IFERROR(__xludf.DUMMYFUNCTION("""COMPUTED_VALUE"""),"간식/카페")</f>
        <v>간식/카페</v>
      </c>
      <c r="AE127" s="214" t="str">
        <f>IFERROR(__xludf.DUMMYFUNCTION("""COMPUTED_VALUE"""),"외식/배달")</f>
        <v>외식/배달</v>
      </c>
      <c r="AF127" s="214" t="str">
        <f>IFERROR(__xludf.DUMMYFUNCTION("""COMPUTED_VALUE"""),"기타")</f>
        <v>기타</v>
      </c>
      <c r="AG127" s="214"/>
      <c r="AH127" s="214"/>
      <c r="AI127" s="214"/>
      <c r="AJ127" s="215"/>
    </row>
    <row r="128">
      <c r="H128" s="208">
        <v>45898.0</v>
      </c>
      <c r="I128" s="217" t="s">
        <v>45</v>
      </c>
      <c r="J128" s="217" t="s">
        <v>41</v>
      </c>
      <c r="K128" s="218">
        <v>176400.0</v>
      </c>
      <c r="L128" s="211" t="s">
        <v>64</v>
      </c>
      <c r="M128" s="143"/>
      <c r="N128" s="211" t="s">
        <v>806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IFERROR(__xludf.DUMMYFUNCTION("FILTER('설정시트'!$D$7:$L$20,'설정시트'!$C$7:$C$20=I128)"),"약국")</f>
        <v>약국</v>
      </c>
      <c r="AC128" s="214" t="str">
        <f>IFERROR(__xludf.DUMMYFUNCTION("""COMPUTED_VALUE"""),"병원비")</f>
        <v>병원비</v>
      </c>
      <c r="AD128" s="214" t="str">
        <f>IFERROR(__xludf.DUMMYFUNCTION("""COMPUTED_VALUE"""),"영양제")</f>
        <v>영양제</v>
      </c>
      <c r="AE128" s="214" t="str">
        <f>IFERROR(__xludf.DUMMYFUNCTION("""COMPUTED_VALUE"""),"교통비")</f>
        <v>교통비</v>
      </c>
      <c r="AF128" s="214" t="str">
        <f>IFERROR(__xludf.DUMMYFUNCTION("""COMPUTED_VALUE"""),"주유비")</f>
        <v>주유비</v>
      </c>
      <c r="AG128" s="214"/>
      <c r="AH128" s="214" t="str">
        <f>IFERROR(__xludf.DUMMYFUNCTION("""COMPUTED_VALUE"""),"기타")</f>
        <v>기타</v>
      </c>
      <c r="AI128" s="214"/>
      <c r="AJ128" s="215"/>
    </row>
    <row r="129">
      <c r="H129" s="208">
        <v>45898.0</v>
      </c>
      <c r="I129" s="217" t="s">
        <v>45</v>
      </c>
      <c r="J129" s="217" t="s">
        <v>40</v>
      </c>
      <c r="K129" s="218">
        <v>45000.0</v>
      </c>
      <c r="L129" s="211" t="s">
        <v>64</v>
      </c>
      <c r="M129" s="143"/>
      <c r="N129" s="211" t="s">
        <v>807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IFERROR(__xludf.DUMMYFUNCTION("FILTER('설정시트'!$D$7:$L$20,'설정시트'!$C$7:$C$20=I129)"),"약국")</f>
        <v>약국</v>
      </c>
      <c r="AC129" s="214" t="str">
        <f>IFERROR(__xludf.DUMMYFUNCTION("""COMPUTED_VALUE"""),"병원비")</f>
        <v>병원비</v>
      </c>
      <c r="AD129" s="214" t="str">
        <f>IFERROR(__xludf.DUMMYFUNCTION("""COMPUTED_VALUE"""),"영양제")</f>
        <v>영양제</v>
      </c>
      <c r="AE129" s="214" t="str">
        <f>IFERROR(__xludf.DUMMYFUNCTION("""COMPUTED_VALUE"""),"교통비")</f>
        <v>교통비</v>
      </c>
      <c r="AF129" s="214" t="str">
        <f>IFERROR(__xludf.DUMMYFUNCTION("""COMPUTED_VALUE"""),"주유비")</f>
        <v>주유비</v>
      </c>
      <c r="AG129" s="214"/>
      <c r="AH129" s="214" t="str">
        <f>IFERROR(__xludf.DUMMYFUNCTION("""COMPUTED_VALUE"""),"기타")</f>
        <v>기타</v>
      </c>
      <c r="AI129" s="214"/>
      <c r="AJ129" s="215"/>
    </row>
    <row r="130">
      <c r="H130" s="208">
        <v>45898.0</v>
      </c>
      <c r="I130" s="217" t="s">
        <v>31</v>
      </c>
      <c r="J130" s="217" t="s">
        <v>30</v>
      </c>
      <c r="K130" s="218">
        <v>42000.0</v>
      </c>
      <c r="L130" s="211" t="s">
        <v>64</v>
      </c>
      <c r="M130" s="143"/>
      <c r="N130" s="211" t="s">
        <v>808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IFERROR(__xludf.DUMMYFUNCTION("FILTER('설정시트'!$D$7:$L$20,'설정시트'!$C$7:$C$20=I130)"),"식재료비")</f>
        <v>식재료비</v>
      </c>
      <c r="AC130" s="214" t="str">
        <f>IFERROR(__xludf.DUMMYFUNCTION("""COMPUTED_VALUE"""),"회사점심")</f>
        <v>회사점심</v>
      </c>
      <c r="AD130" s="214" t="str">
        <f>IFERROR(__xludf.DUMMYFUNCTION("""COMPUTED_VALUE"""),"간식/카페")</f>
        <v>간식/카페</v>
      </c>
      <c r="AE130" s="214" t="str">
        <f>IFERROR(__xludf.DUMMYFUNCTION("""COMPUTED_VALUE"""),"외식/배달")</f>
        <v>외식/배달</v>
      </c>
      <c r="AF130" s="214" t="str">
        <f>IFERROR(__xludf.DUMMYFUNCTION("""COMPUTED_VALUE"""),"기타")</f>
        <v>기타</v>
      </c>
      <c r="AG130" s="214"/>
      <c r="AH130" s="214"/>
      <c r="AI130" s="214"/>
      <c r="AJ130" s="215"/>
    </row>
    <row r="131">
      <c r="H131" s="208">
        <v>45899.0</v>
      </c>
      <c r="I131" s="217" t="s">
        <v>52</v>
      </c>
      <c r="J131" s="217" t="s">
        <v>8</v>
      </c>
      <c r="K131" s="218">
        <v>138600.0</v>
      </c>
      <c r="L131" s="211" t="s">
        <v>64</v>
      </c>
      <c r="M131" s="143"/>
      <c r="N131" s="211" t="s">
        <v>809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IFERROR(__xludf.DUMMYFUNCTION("FILTER('설정시트'!$D$7:$L$20,'설정시트'!$C$7:$C$20=I131)"),"축의/부의금")</f>
        <v>축의/부의금</v>
      </c>
      <c r="AC131" s="214" t="str">
        <f>IFERROR(__xludf.DUMMYFUNCTION("""COMPUTED_VALUE"""),"생신/생일선물")</f>
        <v>생신/생일선물</v>
      </c>
      <c r="AD131" s="214" t="str">
        <f>IFERROR(__xludf.DUMMYFUNCTION("""COMPUTED_VALUE"""),"명절/어버이날")</f>
        <v>명절/어버이날</v>
      </c>
      <c r="AE131" s="214" t="str">
        <f>IFERROR(__xludf.DUMMYFUNCTION("""COMPUTED_VALUE"""),"여행")</f>
        <v>여행</v>
      </c>
      <c r="AF131" s="214" t="str">
        <f>IFERROR(__xludf.DUMMYFUNCTION("""COMPUTED_VALUE"""),"기타")</f>
        <v>기타</v>
      </c>
      <c r="AG131" s="214" t="str">
        <f>IFERROR(__xludf.DUMMYFUNCTION("""COMPUTED_VALUE"""),"출산")</f>
        <v>출산</v>
      </c>
      <c r="AH131" s="214"/>
      <c r="AI131" s="214"/>
      <c r="AJ131" s="215"/>
    </row>
    <row r="132">
      <c r="H132" s="208">
        <v>45900.0</v>
      </c>
      <c r="I132" s="217" t="s">
        <v>31</v>
      </c>
      <c r="J132" s="217" t="s">
        <v>30</v>
      </c>
      <c r="K132" s="218">
        <v>23000.0</v>
      </c>
      <c r="L132" s="211" t="s">
        <v>64</v>
      </c>
      <c r="M132" s="143"/>
      <c r="N132" s="211" t="s">
        <v>810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IFERROR(__xludf.DUMMYFUNCTION("FILTER('설정시트'!$D$7:$L$20,'설정시트'!$C$7:$C$20=I132)"),"식재료비")</f>
        <v>식재료비</v>
      </c>
      <c r="AC132" s="214" t="str">
        <f>IFERROR(__xludf.DUMMYFUNCTION("""COMPUTED_VALUE"""),"회사점심")</f>
        <v>회사점심</v>
      </c>
      <c r="AD132" s="214" t="str">
        <f>IFERROR(__xludf.DUMMYFUNCTION("""COMPUTED_VALUE"""),"간식/카페")</f>
        <v>간식/카페</v>
      </c>
      <c r="AE132" s="214" t="str">
        <f>IFERROR(__xludf.DUMMYFUNCTION("""COMPUTED_VALUE"""),"외식/배달")</f>
        <v>외식/배달</v>
      </c>
      <c r="AF132" s="214" t="str">
        <f>IFERROR(__xludf.DUMMYFUNCTION("""COMPUTED_VALUE"""),"기타")</f>
        <v>기타</v>
      </c>
      <c r="AG132" s="214"/>
      <c r="AH132" s="214"/>
      <c r="AI132" s="214"/>
      <c r="AJ132" s="215"/>
    </row>
    <row r="133">
      <c r="H133" s="208">
        <v>45895.0</v>
      </c>
      <c r="I133" s="217" t="s">
        <v>21</v>
      </c>
      <c r="J133" s="217" t="s">
        <v>15</v>
      </c>
      <c r="K133" s="218">
        <v>274040.0</v>
      </c>
      <c r="L133" s="211" t="s">
        <v>64</v>
      </c>
      <c r="M133" s="143"/>
      <c r="N133" s="211" t="s">
        <v>811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IFERROR(__xludf.DUMMYFUNCTION("FILTER('설정시트'!$D$7:$L$20,'설정시트'!$C$7:$C$20=I133)"),"관리비")</f>
        <v>관리비</v>
      </c>
      <c r="AC133" s="214" t="str">
        <f>IFERROR(__xludf.DUMMYFUNCTION("""COMPUTED_VALUE"""),"대출이자")</f>
        <v>대출이자</v>
      </c>
      <c r="AD133" s="214" t="str">
        <f>IFERROR(__xludf.DUMMYFUNCTION("""COMPUTED_VALUE"""),"통신비")</f>
        <v>통신비</v>
      </c>
      <c r="AE133" s="214" t="str">
        <f>IFERROR(__xludf.DUMMYFUNCTION("""COMPUTED_VALUE"""),"보험료")</f>
        <v>보험료</v>
      </c>
      <c r="AF133" s="214" t="str">
        <f>IFERROR(__xludf.DUMMYFUNCTION("""COMPUTED_VALUE"""),"곗돈")</f>
        <v>곗돈</v>
      </c>
      <c r="AG133" s="214"/>
      <c r="AH133" s="214"/>
      <c r="AI133" s="214"/>
      <c r="AJ133" s="215"/>
    </row>
    <row r="134">
      <c r="H134" s="208">
        <v>45885.0</v>
      </c>
      <c r="I134" s="217" t="s">
        <v>32</v>
      </c>
      <c r="J134" s="217" t="s">
        <v>33</v>
      </c>
      <c r="K134" s="218">
        <v>229000.0</v>
      </c>
      <c r="L134" s="211" t="s">
        <v>65</v>
      </c>
      <c r="M134" s="143"/>
      <c r="N134" s="211" t="s">
        <v>812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IFERROR(__xludf.DUMMYFUNCTION("FILTER('설정시트'!$D$7:$L$20,'설정시트'!$C$7:$C$20=I134)"),"의류/잡화")</f>
        <v>의류/잡화</v>
      </c>
      <c r="AC134" s="214" t="str">
        <f>IFERROR(__xludf.DUMMYFUNCTION("""COMPUTED_VALUE"""),"OTT")</f>
        <v>OTT</v>
      </c>
      <c r="AD134" s="214" t="str">
        <f>IFERROR(__xludf.DUMMYFUNCTION("""COMPUTED_VALUE"""),"문화생활")</f>
        <v>문화생활</v>
      </c>
      <c r="AE134" s="214" t="str">
        <f>IFERROR(__xludf.DUMMYFUNCTION("""COMPUTED_VALUE"""),"자기계발")</f>
        <v>자기계발</v>
      </c>
      <c r="AF134" s="214" t="str">
        <f>IFERROR(__xludf.DUMMYFUNCTION("""COMPUTED_VALUE"""),"미용")</f>
        <v>미용</v>
      </c>
      <c r="AG134" s="214"/>
      <c r="AH134" s="214" t="str">
        <f>IFERROR(__xludf.DUMMYFUNCTION("""COMPUTED_VALUE"""),"기타")</f>
        <v>기타</v>
      </c>
      <c r="AI134" s="214"/>
      <c r="AJ134" s="215"/>
    </row>
    <row r="135">
      <c r="H135" s="208"/>
      <c r="I135" s="217"/>
      <c r="J135" s="217"/>
      <c r="K135" s="218"/>
      <c r="L135" s="211"/>
      <c r="M135" s="143"/>
      <c r="N135" s="213"/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IFERROR(__xludf.DUMMYFUNCTION("FILTER('설정시트'!$D$7:$L$20,'설정시트'!$C$7:$C$20=I135)"),"#N/A")</f>
        <v>#N/A</v>
      </c>
      <c r="AC135" s="214"/>
      <c r="AD135" s="214"/>
      <c r="AE135" s="214"/>
      <c r="AF135" s="214"/>
      <c r="AG135" s="214"/>
      <c r="AH135" s="214"/>
      <c r="AI135" s="214"/>
    </row>
    <row r="136">
      <c r="H136" s="208"/>
      <c r="I136" s="217"/>
      <c r="J136" s="217"/>
      <c r="K136" s="218"/>
      <c r="L136" s="211"/>
      <c r="M136" s="143"/>
      <c r="N136" s="213"/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IFERROR(__xludf.DUMMYFUNCTION("FILTER('설정시트'!$D$7:$L$20,'설정시트'!$C$7:$C$20=I136)"),"#N/A")</f>
        <v>#N/A</v>
      </c>
      <c r="AC136" s="214"/>
      <c r="AD136" s="214"/>
      <c r="AE136" s="214"/>
      <c r="AF136" s="214"/>
      <c r="AG136" s="214"/>
      <c r="AH136" s="214"/>
      <c r="AI136" s="214"/>
    </row>
    <row r="137">
      <c r="H137" s="208"/>
      <c r="I137" s="217"/>
      <c r="J137" s="217"/>
      <c r="K137" s="218"/>
      <c r="L137" s="211"/>
      <c r="M137" s="143"/>
      <c r="N137" s="213"/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IFERROR(__xludf.DUMMYFUNCTION("FILTER('설정시트'!$D$7:$L$20,'설정시트'!$C$7:$C$20=I137)"),"#N/A")</f>
        <v>#N/A</v>
      </c>
      <c r="AC137" s="214"/>
      <c r="AD137" s="214"/>
      <c r="AE137" s="214"/>
      <c r="AF137" s="214"/>
      <c r="AG137" s="214"/>
      <c r="AH137" s="214"/>
      <c r="AI137" s="214"/>
    </row>
    <row r="138">
      <c r="H138" s="208"/>
      <c r="I138" s="217"/>
      <c r="J138" s="217"/>
      <c r="K138" s="218"/>
      <c r="L138" s="211"/>
      <c r="M138" s="143"/>
      <c r="N138" s="213"/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IFERROR(__xludf.DUMMYFUNCTION("FILTER('설정시트'!$D$7:$L$20,'설정시트'!$C$7:$C$20=I138)"),"#N/A")</f>
        <v>#N/A</v>
      </c>
      <c r="AC138" s="214"/>
      <c r="AD138" s="214"/>
      <c r="AE138" s="214"/>
      <c r="AF138" s="214"/>
      <c r="AG138" s="214"/>
      <c r="AH138" s="214"/>
      <c r="AI138" s="214"/>
    </row>
    <row r="139">
      <c r="H139" s="208"/>
      <c r="I139" s="217"/>
      <c r="J139" s="217"/>
      <c r="K139" s="218"/>
      <c r="L139" s="211"/>
      <c r="M139" s="143"/>
      <c r="N139" s="213"/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IFERROR(__xludf.DUMMYFUNCTION("FILTER('설정시트'!$D$7:$L$20,'설정시트'!$C$7:$C$20=I139)"),"#N/A")</f>
        <v>#N/A</v>
      </c>
      <c r="AC139" s="214"/>
      <c r="AD139" s="214"/>
      <c r="AE139" s="214"/>
      <c r="AF139" s="214"/>
      <c r="AG139" s="214"/>
      <c r="AH139" s="214"/>
      <c r="AI139" s="214"/>
    </row>
    <row r="140">
      <c r="H140" s="208"/>
      <c r="I140" s="217"/>
      <c r="J140" s="217"/>
      <c r="K140" s="218"/>
      <c r="L140" s="211"/>
      <c r="M140" s="143"/>
      <c r="N140" s="213"/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IFERROR(__xludf.DUMMYFUNCTION("FILTER('설정시트'!$D$7:$L$20,'설정시트'!$C$7:$C$20=I140)"),"#N/A")</f>
        <v>#N/A</v>
      </c>
      <c r="AC140" s="214"/>
      <c r="AD140" s="214"/>
      <c r="AE140" s="214"/>
      <c r="AF140" s="214"/>
      <c r="AG140" s="214"/>
      <c r="AH140" s="214"/>
      <c r="AI140" s="214"/>
    </row>
    <row r="141">
      <c r="H141" s="208"/>
      <c r="I141" s="217"/>
      <c r="J141" s="217"/>
      <c r="K141" s="218"/>
      <c r="L141" s="211"/>
      <c r="M141" s="143"/>
      <c r="N141" s="213"/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IFERROR(__xludf.DUMMYFUNCTION("FILTER('설정시트'!$D$7:$L$20,'설정시트'!$C$7:$C$20=I141)"),"#N/A")</f>
        <v>#N/A</v>
      </c>
      <c r="AC141" s="214"/>
      <c r="AD141" s="214"/>
      <c r="AE141" s="214"/>
      <c r="AF141" s="214"/>
      <c r="AG141" s="214"/>
      <c r="AH141" s="214"/>
      <c r="AI141" s="214"/>
    </row>
    <row r="142">
      <c r="H142" s="208"/>
      <c r="I142" s="217"/>
      <c r="J142" s="217"/>
      <c r="K142" s="218"/>
      <c r="L142" s="211"/>
      <c r="M142" s="143"/>
      <c r="N142" s="213"/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IFERROR(__xludf.DUMMYFUNCTION("FILTER('설정시트'!$D$7:$L$20,'설정시트'!$C$7:$C$20=I142)"),"#N/A")</f>
        <v>#N/A</v>
      </c>
      <c r="AC142" s="214"/>
      <c r="AD142" s="214"/>
      <c r="AE142" s="214"/>
      <c r="AF142" s="214"/>
      <c r="AG142" s="214"/>
      <c r="AH142" s="214"/>
      <c r="AI142" s="214"/>
    </row>
    <row r="143">
      <c r="H143" s="208"/>
      <c r="I143" s="217"/>
      <c r="J143" s="217"/>
      <c r="K143" s="218"/>
      <c r="L143" s="211"/>
      <c r="M143" s="143"/>
      <c r="N143" s="213"/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IFERROR(__xludf.DUMMYFUNCTION("FILTER('설정시트'!$D$7:$L$20,'설정시트'!$C$7:$C$20=I143)"),"#N/A")</f>
        <v>#N/A</v>
      </c>
      <c r="AC143" s="214"/>
      <c r="AD143" s="214"/>
      <c r="AE143" s="214"/>
      <c r="AF143" s="214"/>
      <c r="AG143" s="214"/>
      <c r="AH143" s="214"/>
      <c r="AI143" s="214"/>
    </row>
    <row r="144">
      <c r="H144" s="208"/>
      <c r="I144" s="217"/>
      <c r="J144" s="217"/>
      <c r="K144" s="218"/>
      <c r="L144" s="211"/>
      <c r="M144" s="143"/>
      <c r="N144" s="213"/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IFERROR(__xludf.DUMMYFUNCTION("FILTER('설정시트'!$D$7:$L$20,'설정시트'!$C$7:$C$20=I144)"),"#N/A")</f>
        <v>#N/A</v>
      </c>
      <c r="AC144" s="214"/>
      <c r="AD144" s="214"/>
      <c r="AE144" s="214"/>
      <c r="AF144" s="214"/>
      <c r="AG144" s="214"/>
      <c r="AH144" s="214"/>
      <c r="AI144" s="214"/>
    </row>
    <row r="145">
      <c r="H145" s="208"/>
      <c r="I145" s="217"/>
      <c r="J145" s="217"/>
      <c r="K145" s="218"/>
      <c r="L145" s="211"/>
      <c r="M145" s="143"/>
      <c r="N145" s="213"/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IFERROR(__xludf.DUMMYFUNCTION("FILTER('설정시트'!$D$7:$L$20,'설정시트'!$C$7:$C$20=I145)"),"#N/A")</f>
        <v>#N/A</v>
      </c>
      <c r="AC145" s="214"/>
      <c r="AD145" s="214"/>
      <c r="AE145" s="214"/>
      <c r="AF145" s="214"/>
      <c r="AG145" s="214"/>
      <c r="AH145" s="214"/>
      <c r="AI145" s="214"/>
    </row>
    <row r="146">
      <c r="H146" s="208"/>
      <c r="I146" s="217"/>
      <c r="J146" s="217"/>
      <c r="K146" s="218"/>
      <c r="L146" s="211"/>
      <c r="M146" s="143"/>
      <c r="N146" s="213"/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IFERROR(__xludf.DUMMYFUNCTION("FILTER('설정시트'!$D$7:$L$20,'설정시트'!$C$7:$C$20=I146)"),"#N/A")</f>
        <v>#N/A</v>
      </c>
      <c r="AC146" s="214"/>
      <c r="AD146" s="214"/>
      <c r="AE146" s="214"/>
      <c r="AF146" s="214"/>
      <c r="AG146" s="214"/>
      <c r="AH146" s="214"/>
      <c r="AI146" s="214"/>
    </row>
    <row r="147">
      <c r="H147" s="208"/>
      <c r="I147" s="217"/>
      <c r="J147" s="217"/>
      <c r="K147" s="218"/>
      <c r="L147" s="211"/>
      <c r="M147" s="143"/>
      <c r="N147" s="213"/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IFERROR(__xludf.DUMMYFUNCTION("FILTER('설정시트'!$D$7:$L$20,'설정시트'!$C$7:$C$20=I147)"),"#N/A")</f>
        <v>#N/A</v>
      </c>
      <c r="AC147" s="214"/>
      <c r="AD147" s="214"/>
      <c r="AE147" s="214"/>
      <c r="AF147" s="214"/>
      <c r="AG147" s="214"/>
      <c r="AH147" s="214"/>
      <c r="AI147" s="214"/>
    </row>
    <row r="148">
      <c r="H148" s="208"/>
      <c r="I148" s="217"/>
      <c r="J148" s="217"/>
      <c r="K148" s="218"/>
      <c r="L148" s="211"/>
      <c r="M148" s="143"/>
      <c r="N148" s="213"/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IFERROR(__xludf.DUMMYFUNCTION("FILTER('설정시트'!$D$7:$L$20,'설정시트'!$C$7:$C$20=I148)"),"#N/A")</f>
        <v>#N/A</v>
      </c>
      <c r="AC148" s="214"/>
      <c r="AD148" s="214"/>
      <c r="AE148" s="214"/>
      <c r="AF148" s="214"/>
      <c r="AG148" s="214"/>
      <c r="AH148" s="214"/>
      <c r="AI148" s="214"/>
    </row>
    <row r="149">
      <c r="H149" s="208"/>
      <c r="I149" s="217"/>
      <c r="J149" s="217"/>
      <c r="K149" s="218"/>
      <c r="L149" s="211"/>
      <c r="M149" s="143"/>
      <c r="N149" s="213"/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IFERROR(__xludf.DUMMYFUNCTION("FILTER('설정시트'!$D$7:$L$20,'설정시트'!$C$7:$C$20=I149)"),"#N/A")</f>
        <v>#N/A</v>
      </c>
      <c r="AC149" s="214"/>
      <c r="AD149" s="214"/>
      <c r="AE149" s="214"/>
      <c r="AF149" s="214"/>
      <c r="AG149" s="214"/>
      <c r="AH149" s="214"/>
      <c r="AI149" s="214"/>
    </row>
    <row r="150">
      <c r="H150" s="221"/>
      <c r="I150" s="217"/>
      <c r="J150" s="217"/>
      <c r="K150" s="218"/>
      <c r="L150" s="211"/>
      <c r="M150" s="143"/>
      <c r="N150" s="213"/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IFERROR(__xludf.DUMMYFUNCTION("FILTER('설정시트'!$D$7:$L$20,'설정시트'!$C$7:$C$20=I150)"),"#N/A")</f>
        <v>#N/A</v>
      </c>
      <c r="AC150" s="214"/>
      <c r="AD150" s="214"/>
      <c r="AE150" s="214"/>
      <c r="AF150" s="214"/>
      <c r="AG150" s="214"/>
      <c r="AH150" s="214"/>
      <c r="AI150" s="214"/>
    </row>
    <row r="151">
      <c r="H151" s="221"/>
      <c r="I151" s="222"/>
      <c r="J151" s="217"/>
      <c r="K151" s="220"/>
      <c r="L151" s="213"/>
      <c r="M151" s="143"/>
      <c r="N151" s="213"/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IFERROR(__xludf.DUMMYFUNCTION("FILTER('설정시트'!$D$7:$L$20,'설정시트'!$C$7:$C$20=I151)"),"#N/A")</f>
        <v>#N/A</v>
      </c>
      <c r="AC151" s="214"/>
      <c r="AD151" s="214"/>
      <c r="AE151" s="214"/>
      <c r="AF151" s="214"/>
      <c r="AG151" s="214"/>
      <c r="AH151" s="214"/>
      <c r="AI151" s="214"/>
    </row>
    <row r="152">
      <c r="H152" s="221"/>
      <c r="I152" s="222"/>
      <c r="J152" s="217"/>
      <c r="K152" s="220"/>
      <c r="L152" s="213"/>
      <c r="M152" s="143"/>
      <c r="N152" s="213"/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IFERROR(__xludf.DUMMYFUNCTION("FILTER('설정시트'!$D$7:$L$20,'설정시트'!$C$7:$C$20=I152)"),"#N/A")</f>
        <v>#N/A</v>
      </c>
      <c r="AC152" s="214"/>
      <c r="AD152" s="214"/>
      <c r="AE152" s="214"/>
      <c r="AF152" s="214"/>
      <c r="AG152" s="214"/>
      <c r="AH152" s="214"/>
      <c r="AI152" s="214"/>
    </row>
    <row r="153">
      <c r="H153" s="221"/>
      <c r="I153" s="222"/>
      <c r="J153" s="217"/>
      <c r="K153" s="220"/>
      <c r="L153" s="213"/>
      <c r="M153" s="143"/>
      <c r="N153" s="213"/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IFERROR(__xludf.DUMMYFUNCTION("FILTER('설정시트'!$D$7:$L$20,'설정시트'!$C$7:$C$20=I153)"),"#N/A")</f>
        <v>#N/A</v>
      </c>
      <c r="AC153" s="214"/>
      <c r="AD153" s="214"/>
      <c r="AE153" s="214"/>
      <c r="AF153" s="214"/>
      <c r="AG153" s="214"/>
      <c r="AH153" s="214"/>
      <c r="AI153" s="214"/>
    </row>
    <row r="154">
      <c r="H154" s="221"/>
      <c r="I154" s="222"/>
      <c r="J154" s="217"/>
      <c r="K154" s="220"/>
      <c r="L154" s="213"/>
      <c r="M154" s="143"/>
      <c r="N154" s="213"/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IFERROR(__xludf.DUMMYFUNCTION("FILTER('설정시트'!$D$7:$L$20,'설정시트'!$C$7:$C$20=I154)"),"#N/A")</f>
        <v>#N/A</v>
      </c>
      <c r="AC154" s="214"/>
      <c r="AD154" s="214"/>
      <c r="AE154" s="214"/>
      <c r="AF154" s="214"/>
      <c r="AG154" s="214"/>
      <c r="AH154" s="214"/>
      <c r="AI154" s="214"/>
    </row>
    <row r="155">
      <c r="H155" s="221"/>
      <c r="I155" s="222"/>
      <c r="J155" s="217"/>
      <c r="K155" s="220"/>
      <c r="L155" s="213"/>
      <c r="M155" s="143"/>
      <c r="N155" s="213"/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IFERROR(__xludf.DUMMYFUNCTION("FILTER('설정시트'!$D$7:$L$20,'설정시트'!$C$7:$C$20=I155)"),"#N/A")</f>
        <v>#N/A</v>
      </c>
      <c r="AC155" s="214"/>
      <c r="AD155" s="214"/>
      <c r="AE155" s="214"/>
      <c r="AF155" s="214"/>
      <c r="AG155" s="214"/>
      <c r="AH155" s="214"/>
      <c r="AI155" s="214"/>
    </row>
    <row r="156">
      <c r="H156" s="221"/>
      <c r="I156" s="222"/>
      <c r="J156" s="217"/>
      <c r="K156" s="220"/>
      <c r="L156" s="213"/>
      <c r="M156" s="143"/>
      <c r="N156" s="213"/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IFERROR(__xludf.DUMMYFUNCTION("FILTER('설정시트'!$D$7:$L$20,'설정시트'!$C$7:$C$20=I156)"),"#N/A")</f>
        <v>#N/A</v>
      </c>
      <c r="AC156" s="214"/>
      <c r="AD156" s="214"/>
      <c r="AE156" s="214"/>
      <c r="AF156" s="214"/>
      <c r="AG156" s="214"/>
      <c r="AH156" s="214"/>
      <c r="AI156" s="214"/>
    </row>
    <row r="157">
      <c r="H157" s="221"/>
      <c r="I157" s="222"/>
      <c r="J157" s="217"/>
      <c r="K157" s="220"/>
      <c r="L157" s="213"/>
      <c r="M157" s="143"/>
      <c r="N157" s="213"/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IFERROR(__xludf.DUMMYFUNCTION("FILTER('설정시트'!$D$7:$L$20,'설정시트'!$C$7:$C$20=I157)"),"#N/A")</f>
        <v>#N/A</v>
      </c>
      <c r="AC157" s="214"/>
      <c r="AD157" s="214"/>
      <c r="AE157" s="214"/>
      <c r="AF157" s="214"/>
      <c r="AG157" s="214"/>
      <c r="AH157" s="214"/>
      <c r="AI157" s="214"/>
    </row>
    <row r="158">
      <c r="H158" s="221"/>
      <c r="I158" s="222"/>
      <c r="J158" s="217"/>
      <c r="K158" s="220"/>
      <c r="L158" s="213"/>
      <c r="M158" s="143"/>
      <c r="N158" s="213"/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IFERROR(__xludf.DUMMYFUNCTION("FILTER('설정시트'!$D$7:$L$20,'설정시트'!$C$7:$C$20=I158)"),"#N/A")</f>
        <v>#N/A</v>
      </c>
      <c r="AC158" s="214"/>
      <c r="AD158" s="214"/>
      <c r="AE158" s="214"/>
      <c r="AF158" s="214"/>
      <c r="AG158" s="214"/>
      <c r="AH158" s="214"/>
      <c r="AI158" s="214"/>
    </row>
    <row r="159">
      <c r="H159" s="221"/>
      <c r="I159" s="222"/>
      <c r="J159" s="217"/>
      <c r="K159" s="220"/>
      <c r="L159" s="213"/>
      <c r="M159" s="143"/>
      <c r="N159" s="213"/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IFERROR(__xludf.DUMMYFUNCTION("FILTER('설정시트'!$D$7:$L$20,'설정시트'!$C$7:$C$20=I159)"),"#N/A")</f>
        <v>#N/A</v>
      </c>
      <c r="AC159" s="214"/>
      <c r="AD159" s="214"/>
      <c r="AE159" s="214"/>
      <c r="AF159" s="214"/>
      <c r="AG159" s="214"/>
      <c r="AH159" s="214"/>
      <c r="AI159" s="214"/>
    </row>
    <row r="160">
      <c r="H160" s="221"/>
      <c r="I160" s="222"/>
      <c r="J160" s="217"/>
      <c r="K160" s="220"/>
      <c r="L160" s="213"/>
      <c r="M160" s="143"/>
      <c r="N160" s="213"/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IFERROR(__xludf.DUMMYFUNCTION("FILTER('설정시트'!$D$7:$L$20,'설정시트'!$C$7:$C$20=I160)"),"#N/A")</f>
        <v>#N/A</v>
      </c>
      <c r="AC160" s="214"/>
      <c r="AD160" s="214"/>
      <c r="AE160" s="214"/>
      <c r="AF160" s="214"/>
      <c r="AG160" s="214"/>
      <c r="AH160" s="214"/>
      <c r="AI160" s="214"/>
    </row>
    <row r="161">
      <c r="H161" s="221"/>
      <c r="I161" s="222"/>
      <c r="J161" s="217"/>
      <c r="K161" s="220"/>
      <c r="L161" s="213"/>
      <c r="M161" s="143"/>
      <c r="N161" s="213"/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IFERROR(__xludf.DUMMYFUNCTION("FILTER('설정시트'!$D$7:$L$20,'설정시트'!$C$7:$C$20=I161)"),"#N/A")</f>
        <v>#N/A</v>
      </c>
      <c r="AC161" s="214"/>
      <c r="AD161" s="214"/>
      <c r="AE161" s="214"/>
      <c r="AF161" s="214"/>
      <c r="AG161" s="214"/>
      <c r="AH161" s="214"/>
      <c r="AI161" s="214"/>
    </row>
    <row r="162">
      <c r="H162" s="221"/>
      <c r="I162" s="222"/>
      <c r="J162" s="217"/>
      <c r="K162" s="220"/>
      <c r="L162" s="213"/>
      <c r="M162" s="143"/>
      <c r="N162" s="213"/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IFERROR(__xludf.DUMMYFUNCTION("FILTER('설정시트'!$D$7:$L$20,'설정시트'!$C$7:$C$20=I162)"),"#N/A")</f>
        <v>#N/A</v>
      </c>
      <c r="AC162" s="214"/>
      <c r="AD162" s="214"/>
      <c r="AE162" s="214"/>
      <c r="AF162" s="214"/>
      <c r="AG162" s="214"/>
      <c r="AH162" s="214"/>
      <c r="AI162" s="214"/>
    </row>
    <row r="163">
      <c r="H163" s="221"/>
      <c r="I163" s="222"/>
      <c r="J163" s="217"/>
      <c r="K163" s="220"/>
      <c r="L163" s="213"/>
      <c r="M163" s="143"/>
      <c r="N163" s="213"/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IFERROR(__xludf.DUMMYFUNCTION("FILTER('설정시트'!$D$7:$L$20,'설정시트'!$C$7:$C$20=I163)"),"#N/A")</f>
        <v>#N/A</v>
      </c>
      <c r="AC163" s="214"/>
      <c r="AD163" s="214"/>
      <c r="AE163" s="214"/>
      <c r="AF163" s="214"/>
      <c r="AG163" s="214"/>
      <c r="AH163" s="214"/>
      <c r="AI163" s="214"/>
    </row>
    <row r="164">
      <c r="H164" s="221"/>
      <c r="I164" s="222"/>
      <c r="J164" s="217"/>
      <c r="K164" s="220"/>
      <c r="L164" s="213"/>
      <c r="M164" s="143"/>
      <c r="N164" s="213"/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IFERROR(__xludf.DUMMYFUNCTION("FILTER('설정시트'!$D$7:$L$20,'설정시트'!$C$7:$C$20=I164)"),"#N/A")</f>
        <v>#N/A</v>
      </c>
      <c r="AC164" s="214"/>
      <c r="AD164" s="214"/>
      <c r="AE164" s="214"/>
      <c r="AF164" s="214"/>
      <c r="AG164" s="214"/>
      <c r="AH164" s="214"/>
      <c r="AI164" s="214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1306F103-82DB-4721-A081-DFC677B29403}" filter="1" showAutoFilter="1">
      <autoFilter ref="$H$61:$J$150"/>
    </customSheetView>
    <customSheetView guid="{48029EEC-043B-4596-BD82-4885B5601D90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244">
      <formula1>'8월'!$AB$244:$AI$244</formula1>
    </dataValidation>
    <dataValidation type="list" allowBlank="1" showErrorMessage="1" sqref="J447">
      <formula1>'8월'!$AB$447:$AI$447</formula1>
    </dataValidation>
    <dataValidation type="list" allowBlank="1" showErrorMessage="1" sqref="J338">
      <formula1>'8월'!$AB$338:$AI$338</formula1>
    </dataValidation>
    <dataValidation type="list" allowBlank="1" showErrorMessage="1" sqref="J353">
      <formula1>'8월'!$AB$353:$AI$353</formula1>
    </dataValidation>
    <dataValidation type="list" allowBlank="1" showErrorMessage="1" sqref="J442">
      <formula1>'8월'!$AB$442:$AI$442</formula1>
    </dataValidation>
    <dataValidation type="list" allowBlank="1" showErrorMessage="1" sqref="J249">
      <formula1>'8월'!$AB$249:$AI$249</formula1>
    </dataValidation>
    <dataValidation type="list" allowBlank="1" showErrorMessage="1" sqref="J130">
      <formula1>'8월'!$AB$130:$AI$130</formula1>
    </dataValidation>
    <dataValidation type="list" allowBlank="1" showErrorMessage="1" sqref="J70">
      <formula1>'8월'!$AB$70:$AI$70</formula1>
    </dataValidation>
    <dataValidation type="list" allowBlank="1" showErrorMessage="1" sqref="J135">
      <formula1>'8월'!$AB$135:$AI$135</formula1>
    </dataValidation>
    <dataValidation type="list" allowBlank="1" showErrorMessage="1" sqref="J170">
      <formula1>'8월'!$AB$170:$AI$170</formula1>
    </dataValidation>
    <dataValidation type="list" allowBlank="1" showErrorMessage="1" sqref="J115">
      <formula1>'8월'!$AB$115:$AI$115</formula1>
    </dataValidation>
    <dataValidation type="list" allowBlank="1" showErrorMessage="1" sqref="J295">
      <formula1>'8월'!$AB$295:$AI$295</formula1>
    </dataValidation>
    <dataValidation type="list" allowBlank="1" showErrorMessage="1" sqref="J498">
      <formula1>'8월'!$AB$498:$AI$498</formula1>
    </dataValidation>
    <dataValidation type="list" allowBlank="1" showErrorMessage="1" sqref="J389">
      <formula1>'8월'!$AB$389:$AI$389</formula1>
    </dataValidation>
    <dataValidation type="list" allowBlank="1" showErrorMessage="1" sqref="J96">
      <formula1>'8월'!$AB$96:$AI$96</formula1>
    </dataValidation>
    <dataValidation type="list" allowBlank="1" showErrorMessage="1" sqref="J318">
      <formula1>'8월'!$AB$318:$AI$318</formula1>
    </dataValidation>
    <dataValidation type="list" allowBlank="1" showErrorMessage="1" sqref="J84">
      <formula1>'8월'!$AB$84:$AI$84</formula1>
    </dataValidation>
    <dataValidation type="list" allowBlank="1" showErrorMessage="1" sqref="J427">
      <formula1>'8월'!$AB$427:$AI$427</formula1>
    </dataValidation>
    <dataValidation type="list" allowBlank="1" showErrorMessage="1" sqref="J333">
      <formula1>'8월'!$AB$333:$AI$333</formula1>
    </dataValidation>
    <dataValidation type="list" allowBlank="1" showErrorMessage="1" sqref="J186">
      <formula1>'8월'!$AB$186:$AI$186</formula1>
    </dataValidation>
    <dataValidation type="list" allowBlank="1" showErrorMessage="1" sqref="J422">
      <formula1>'8월'!$AB$422:$AI$422</formula1>
    </dataValidation>
    <dataValidation type="list" allowBlank="1" showErrorMessage="1" sqref="J493">
      <formula1>'8월'!$AB$493:$AI$493</formula1>
    </dataValidation>
    <dataValidation type="list" allowBlank="1" showErrorMessage="1" sqref="J110">
      <formula1>'8월'!$AB$110:$AI$110</formula1>
    </dataValidation>
    <dataValidation type="list" allowBlank="1" showErrorMessage="1" sqref="J229">
      <formula1>'8월'!$AB$229:$AI$229</formula1>
    </dataValidation>
    <dataValidation type="list" allowBlank="1" showErrorMessage="1" sqref="J190">
      <formula1>'8월'!$AB$190:$AI$190</formula1>
    </dataValidation>
    <dataValidation type="list" allowBlank="1" showErrorMessage="1" sqref="J224">
      <formula1>'8월'!$AB$224:$AI$224</formula1>
    </dataValidation>
    <dataValidation type="list" allowBlank="1" showErrorMessage="1" sqref="J384">
      <formula1>'8월'!$AB$384:$AI$384</formula1>
    </dataValidation>
    <dataValidation type="list" allowBlank="1" showErrorMessage="1" sqref="J166">
      <formula1>'8월'!$AB$166:$AI$166</formula1>
    </dataValidation>
    <dataValidation type="list" allowBlank="1" showErrorMessage="1" sqref="J416">
      <formula1>'8월'!$AB$416:$AI$416</formula1>
    </dataValidation>
    <dataValidation type="list" allowBlank="1" showErrorMessage="1" sqref="J109">
      <formula1>'8월'!$AB$109:$AI$109</formula1>
    </dataValidation>
    <dataValidation type="list" allowBlank="1" showErrorMessage="1" sqref="J181">
      <formula1>'8월'!$AB$181:$AI$181</formula1>
    </dataValidation>
    <dataValidation type="list" allowBlank="1" showErrorMessage="1" sqref="J393">
      <formula1>'8월'!$AB$393:$AI$393</formula1>
    </dataValidation>
    <dataValidation type="list" allowBlank="1" showErrorMessage="1" sqref="J275">
      <formula1>'8월'!$AB$275:$AI$275</formula1>
    </dataValidation>
    <dataValidation type="list" allowBlank="1" showErrorMessage="1" sqref="J407">
      <formula1>'8월'!$AB$407:$AI$407</formula1>
    </dataValidation>
    <dataValidation type="list" allowBlank="1" showErrorMessage="1" sqref="J364">
      <formula1>'8월'!$AB$364:$AI$364</formula1>
    </dataValidation>
    <dataValidation type="list" allowBlank="1" showErrorMessage="1" sqref="J284">
      <formula1>'8월'!$AB$284:$AI$284</formula1>
    </dataValidation>
    <dataValidation type="list" allowBlank="1" showErrorMessage="1" sqref="J290">
      <formula1>'8월'!$AB$290:$AI$290</formula1>
    </dataValidation>
    <dataValidation type="list" allowBlank="1" showErrorMessage="1" sqref="J218">
      <formula1>'8월'!$AB$218:$AI$218</formula1>
    </dataValidation>
    <dataValidation type="list" allowBlank="1" showErrorMessage="1" sqref="J473">
      <formula1>'8월'!$AB$473:$AI$473</formula1>
    </dataValidation>
    <dataValidation type="list" allowBlank="1" showErrorMessage="1" sqref="J175">
      <formula1>'8월'!$AB$175:$AI$175</formula1>
    </dataValidation>
    <dataValidation type="list" allowBlank="1" showErrorMessage="1" sqref="J327">
      <formula1>'8월'!$AB$327:$AI$327</formula1>
    </dataValidation>
    <dataValidation type="list" allowBlank="1" showErrorMessage="1" sqref="J209">
      <formula1>'8월'!$AB$209:$AI$209</formula1>
    </dataValidation>
    <dataValidation type="list" allowBlank="1" showErrorMessage="1" sqref="J373">
      <formula1>'8월'!$AB$373:$AI$373</formula1>
    </dataValidation>
    <dataValidation type="list" allowBlank="1" showErrorMessage="1" sqref="J146">
      <formula1>'8월'!$AB$146:$AI$146</formula1>
    </dataValidation>
    <dataValidation type="list" allowBlank="1" showErrorMessage="1" sqref="J482">
      <formula1>'8월'!$AB$482:$AI$482</formula1>
    </dataValidation>
    <dataValidation type="list" allowBlank="1" showErrorMessage="1" sqref="J264">
      <formula1>'8월'!$AB$264:$AI$264</formula1>
    </dataValidation>
    <dataValidation type="list" allowBlank="1" showErrorMessage="1" sqref="J255">
      <formula1>'8월'!$AB$255:$AI$255</formula1>
    </dataValidation>
    <dataValidation type="list" allowBlank="1" showErrorMessage="1" sqref="J462">
      <formula1>'8월'!$AB$462:$AI$462</formula1>
    </dataValidation>
    <dataValidation type="list" allowBlank="1" showErrorMessage="1" sqref="J344">
      <formula1>'8월'!$AB$344:$AI$344</formula1>
    </dataValidation>
    <dataValidation type="list" allowBlank="1" showErrorMessage="1" sqref="J307">
      <formula1>'8월'!$AB$307:$AI$307</formula1>
    </dataValidation>
    <dataValidation type="list" allowBlank="1" showErrorMessage="1" sqref="J155">
      <formula1>'8월'!$AB$155:$AI$155</formula1>
    </dataValidation>
    <dataValidation type="list" allowBlank="1" showErrorMessage="1" sqref="J453">
      <formula1>'8월'!$AB$453:$AI$453</formula1>
    </dataValidation>
    <dataValidation type="list" allowBlank="1" showErrorMessage="1" sqref="J433">
      <formula1>'8월'!$AB$433:$AI$433</formula1>
    </dataValidation>
    <dataValidation type="list" allowBlank="1" showErrorMessage="1" sqref="J164">
      <formula1>'8월'!$AB$164:$AI$164</formula1>
    </dataValidation>
    <dataValidation type="list" allowBlank="1" showErrorMessage="1" sqref="J197">
      <formula1>'8월'!$AB$197:$AI$197</formula1>
    </dataValidation>
    <dataValidation type="list" allowBlank="1" showErrorMessage="1" sqref="J324">
      <formula1>'8월'!$AB$324:$AI$324</formula1>
    </dataValidation>
    <dataValidation type="list" allowBlank="1" showErrorMessage="1" sqref="J215">
      <formula1>'8월'!$AB$215:$AI$215</formula1>
    </dataValidation>
    <dataValidation type="list" allowBlank="1" showErrorMessage="1" sqref="J65">
      <formula1>'8월'!$AB$65:$AI$65</formula1>
    </dataValidation>
    <dataValidation type="list" allowBlank="1" showErrorMessage="1" sqref="J86">
      <formula1>'8월'!$AB$86:$AI$86</formula1>
    </dataValidation>
    <dataValidation type="list" allowBlank="1" showErrorMessage="1" sqref="J230">
      <formula1>'8월'!$AB$230:$AI$230</formula1>
    </dataValidation>
    <dataValidation type="list" allowBlank="1" showErrorMessage="1" sqref="J471">
      <formula1>'8월'!$AB$471:$AI$471</formula1>
    </dataValidation>
    <dataValidation type="list" allowBlank="1" showErrorMessage="1" sqref="J235">
      <formula1>'8월'!$AB$235:$AI$235</formula1>
    </dataValidation>
    <dataValidation type="list" allowBlank="1" showErrorMessage="1" sqref="J253">
      <formula1>'8월'!$AB$253:$AI$253</formula1>
    </dataValidation>
    <dataValidation type="list" allowBlank="1" showErrorMessage="1" sqref="J286">
      <formula1>'8월'!$AB$286:$AI$286</formula1>
    </dataValidation>
    <dataValidation type="list" allowBlank="1" showErrorMessage="1" sqref="J362">
      <formula1>'8월'!$AB$362:$AI$362</formula1>
    </dataValidation>
    <dataValidation type="list" allowBlank="1" showErrorMessage="1" sqref="J395">
      <formula1>'8월'!$AB$395:$AI$395</formula1>
    </dataValidation>
    <dataValidation type="list" allowBlank="1" showErrorMessage="1" sqref="J121">
      <formula1>'8월'!$AB$121:$AI$121</formula1>
    </dataValidation>
    <dataValidation type="list" allowBlank="1" showErrorMessage="1" sqref="J126">
      <formula1>'8월'!$AB$126:$AI$126</formula1>
    </dataValidation>
    <dataValidation type="list" allowBlank="1" showErrorMessage="1" sqref="J304">
      <formula1>'8월'!$AB$304:$AI$304</formula1>
    </dataValidation>
    <dataValidation type="list" allowBlank="1" showErrorMessage="1" sqref="J451">
      <formula1>'8월'!$AB$451:$AI$451</formula1>
    </dataValidation>
    <dataValidation type="list" allowBlank="1" showErrorMessage="1" sqref="J484">
      <formula1>'8월'!$AB$484:$AI$484</formula1>
    </dataValidation>
    <dataValidation type="list" allowBlank="1" showErrorMessage="1" sqref="J72">
      <formula1>'8월'!$AB$72:$AI$72</formula1>
    </dataValidation>
    <dataValidation type="list" allowBlank="1" showErrorMessage="1" sqref="J101">
      <formula1>'8월'!$AB$101:$AI$101</formula1>
    </dataValidation>
    <dataValidation type="list" allowBlank="1" showErrorMessage="1" sqref="J79">
      <formula1>'8월'!$AB$79:$AI$79</formula1>
    </dataValidation>
    <dataValidation type="list" allowBlank="1" showErrorMessage="1" sqref="J469">
      <formula1>'8월'!$AB$469:$AI$469</formula1>
    </dataValidation>
    <dataValidation type="list" allowBlank="1" showErrorMessage="1" sqref="J144">
      <formula1>'8월'!$AB$144:$AI$144</formula1>
    </dataValidation>
    <dataValidation type="list" allowBlank="1" showErrorMessage="1" sqref="J177">
      <formula1>'8월'!$AB$177:$AI$177</formula1>
    </dataValidation>
    <dataValidation type="list" allowBlank="1" showErrorMessage="1" sqref="J210">
      <formula1>'8월'!$AB$210:$AI$210</formula1>
    </dataValidation>
    <dataValidation type="list" allowBlank="1" showErrorMessage="1" sqref="J106">
      <formula1>'8월'!$AB$106:$AI$106</formula1>
    </dataValidation>
    <dataValidation type="list" allowBlank="1" showErrorMessage="1" sqref="J124">
      <formula1>'8월'!$AB$124:$AI$124</formula1>
    </dataValidation>
    <dataValidation type="list" allowBlank="1" showErrorMessage="1" sqref="J157">
      <formula1>'8월'!$AB$157:$AI$157</formula1>
    </dataValidation>
    <dataValidation type="list" allowBlank="1" showErrorMessage="1" sqref="J270">
      <formula1>'8월'!$AB$270:$AI$270</formula1>
    </dataValidation>
    <dataValidation type="list" allowBlank="1" showErrorMessage="1" sqref="J489">
      <formula1>'8월'!$AB$489:$AI$489</formula1>
    </dataValidation>
    <dataValidation type="list" allowBlank="1" showErrorMessage="1" sqref="J266">
      <formula1>'8월'!$AB$266:$AI$266</formula1>
    </dataValidation>
    <dataValidation type="list" allowBlank="1" showErrorMessage="1" sqref="J195">
      <formula1>'8월'!$AB$195:$AI$195</formula1>
    </dataValidation>
    <dataValidation type="list" allowBlank="1" showErrorMessage="1" sqref="J342">
      <formula1>'8월'!$AB$342:$AI$342</formula1>
    </dataValidation>
    <dataValidation type="list" allowBlank="1" showErrorMessage="1" sqref="J413">
      <formula1>'8월'!$AB$413:$AI$413</formula1>
    </dataValidation>
    <dataValidation type="list" allowBlank="1" showErrorMessage="1" sqref="J233">
      <formula1>'8월'!$AB$233:$AI$233</formula1>
    </dataValidation>
    <dataValidation type="list" allowBlank="1" showErrorMessage="1" sqref="J375">
      <formula1>'8월'!$AB$375:$AI$375</formula1>
    </dataValidation>
    <dataValidation type="list" allowBlank="1" showErrorMessage="1" sqref="J322">
      <formula1>'8월'!$AB$322:$AI$322</formula1>
    </dataValidation>
    <dataValidation type="list" allowBlank="1" showErrorMessage="1" sqref="J77">
      <formula1>'8월'!$AB$77:$AI$77</formula1>
    </dataValidation>
    <dataValidation type="list" allowBlank="1" showErrorMessage="1" sqref="J213">
      <formula1>'8월'!$AB$213:$AI$213</formula1>
    </dataValidation>
    <dataValidation type="list" allowBlank="1" showErrorMessage="1" sqref="J289">
      <formula1>'8월'!$AB$289:$AI$289</formula1>
    </dataValidation>
    <dataValidation type="list" allowBlank="1" showErrorMessage="1" sqref="L62:L500">
      <formula1>'설정시트'!$D$23:$O$23</formula1>
    </dataValidation>
    <dataValidation type="list" allowBlank="1" showErrorMessage="1" sqref="J449">
      <formula1>'8월'!$AB$449:$AI$449</formula1>
    </dataValidation>
    <dataValidation type="list" allowBlank="1" showErrorMessage="1" sqref="J74">
      <formula1>'8월'!$AB$74:$AI$74</formula1>
    </dataValidation>
    <dataValidation type="list" allowBlank="1" showErrorMessage="1" sqref="J431">
      <formula1>'8월'!$AB$431:$AI$431</formula1>
    </dataValidation>
    <dataValidation type="list" allowBlank="1" showErrorMessage="1" sqref="J398">
      <formula1>'8월'!$AB$398:$AI$398</formula1>
    </dataValidation>
    <dataValidation type="list" allowBlank="1" showErrorMessage="1" sqref="J104">
      <formula1>'8월'!$AB$104:$AI$104</formula1>
    </dataValidation>
    <dataValidation type="list" allowBlank="1" showErrorMessage="1" sqref="J378">
      <formula1>'8월'!$AB$378:$AI$378</formula1>
    </dataValidation>
    <dataValidation type="list" allowBlank="1" showErrorMessage="1" sqref="J161">
      <formula1>'8월'!$AB$161:$AI$161</formula1>
    </dataValidation>
    <dataValidation type="list" allowBlank="1" showErrorMessage="1" sqref="J67">
      <formula1>'8월'!$AB$67:$AI$67</formula1>
    </dataValidation>
    <dataValidation type="list" allowBlank="1" showErrorMessage="1" sqref="J487">
      <formula1>'8월'!$AB$487:$AI$487</formula1>
    </dataValidation>
    <dataValidation type="list" allowBlank="1" showErrorMessage="1" sqref="J82">
      <formula1>'8월'!$AB$82:$AI$82</formula1>
    </dataValidation>
    <dataValidation type="list" allowBlank="1" showErrorMessage="1" sqref="J467">
      <formula1>'8월'!$AB$467:$AI$467</formula1>
    </dataValidation>
    <dataValidation type="list" allowBlank="1" showErrorMessage="1" sqref="J429">
      <formula1>'8월'!$AB$429:$AI$429</formula1>
    </dataValidation>
    <dataValidation type="list" allowBlank="1" showErrorMessage="1" sqref="J250">
      <formula1>'8월'!$AB$250:$AI$250</formula1>
    </dataValidation>
    <dataValidation type="list" allowBlank="1" showErrorMessage="1" sqref="J358">
      <formula1>'8월'!$AB$358:$AI$358</formula1>
    </dataValidation>
    <dataValidation type="list" allowBlank="1" showErrorMessage="1" sqref="J500">
      <formula1>'8월'!$AB$500:$AI$500</formula1>
    </dataValidation>
    <dataValidation type="list" allowBlank="1" showErrorMessage="1" sqref="J69">
      <formula1>'8월'!$AB$69:$AI$69</formula1>
    </dataValidation>
    <dataValidation type="list" allowBlank="1" showErrorMessage="1" sqref="J80">
      <formula1>'8월'!$AB$80:$AI$80</formula1>
    </dataValidation>
    <dataValidation type="list" allowBlank="1" showErrorMessage="1" sqref="J269">
      <formula1>'8월'!$AB$269:$AI$269</formula1>
    </dataValidation>
    <dataValidation type="list" allowBlank="1" showErrorMessage="1" sqref="J411">
      <formula1>'8월'!$AB$411:$AI$411</formula1>
    </dataValidation>
    <dataValidation type="list" allowBlank="1" showErrorMessage="1" sqref="J141">
      <formula1>'8월'!$AB$141:$AI$141</formula1>
    </dataValidation>
    <dataValidation type="list" allowBlank="1" showErrorMessage="1" sqref="J302">
      <formula1>'8월'!$AB$302:$AI$302</formula1>
    </dataValidation>
    <dataValidation type="list" allowBlank="1" showErrorMessage="1" sqref="J211">
      <formula1>'8월'!$AB$211:$AI$211</formula1>
    </dataValidation>
    <dataValidation type="list" allowBlank="1" showErrorMessage="1" sqref="J89">
      <formula1>'8월'!$AB$89:$AI$89</formula1>
    </dataValidation>
    <dataValidation type="list" allowBlank="1" showErrorMessage="1" sqref="J277">
      <formula1>'8월'!$AB$277:$AI$277</formula1>
    </dataValidation>
    <dataValidation type="list" allowBlank="1" showErrorMessage="1" sqref="J485">
      <formula1>'8월'!$AB$485:$AI$485</formula1>
    </dataValidation>
    <dataValidation type="list" allowBlank="1" showErrorMessage="1" sqref="J414">
      <formula1>'8월'!$AB$414:$AI$414</formula1>
    </dataValidation>
    <dataValidation type="list" allowBlank="1" showErrorMessage="1" sqref="J178">
      <formula1>'8월'!$AB$178:$AI$178</formula1>
    </dataValidation>
    <dataValidation type="list" allowBlank="1" showErrorMessage="1" sqref="J173">
      <formula1>'8월'!$AB$173:$AI$173</formula1>
    </dataValidation>
    <dataValidation type="list" allowBlank="1" showErrorMessage="1" sqref="J107">
      <formula1>'8월'!$AB$107:$AI$107</formula1>
    </dataValidation>
    <dataValidation type="list" allowBlank="1" showErrorMessage="1" sqref="J267">
      <formula1>'8월'!$AB$267:$AI$267</formula1>
    </dataValidation>
    <dataValidation type="list" allowBlank="1" showErrorMessage="1" sqref="J272">
      <formula1>'8월'!$AB$272:$AI$272</formula1>
    </dataValidation>
    <dataValidation type="list" allowBlank="1" showErrorMessage="1" sqref="J480">
      <formula1>'8월'!$AB$480:$AI$480</formula1>
    </dataValidation>
    <dataValidation type="list" allowBlank="1" showErrorMessage="1" sqref="J310">
      <formula1>'8월'!$AB$310:$AI$310</formula1>
    </dataValidation>
    <dataValidation type="list" allowBlank="1" showErrorMessage="1" sqref="J315">
      <formula1>'8월'!$AB$315:$AI$315</formula1>
    </dataValidation>
    <dataValidation type="list" allowBlank="1" showErrorMessage="1" sqref="J148">
      <formula1>'8월'!$AB$148:$AI$148</formula1>
    </dataValidation>
    <dataValidation type="list" allowBlank="1" showErrorMessage="1" sqref="J262">
      <formula1>'8월'!$AB$262:$AI$262</formula1>
    </dataValidation>
    <dataValidation type="list" allowBlank="1" showErrorMessage="1" sqref="J356">
      <formula1>'8월'!$AB$356:$AI$356</formula1>
    </dataValidation>
    <dataValidation type="list" allowBlank="1" showErrorMessage="1" sqref="J361">
      <formula1>'8월'!$AB$361:$AI$361</formula1>
    </dataValidation>
    <dataValidation type="list" allowBlank="1" showErrorMessage="1" sqref="J366">
      <formula1>'8월'!$AB$366:$AI$366</formula1>
    </dataValidation>
    <dataValidation type="list" allowBlank="1" showErrorMessage="1" sqref="J419">
      <formula1>'8월'!$AB$419:$AI$419</formula1>
    </dataValidation>
    <dataValidation type="list" allowBlank="1" showErrorMessage="1" sqref="J455">
      <formula1>'8월'!$AB$455:$AI$455</formula1>
    </dataValidation>
    <dataValidation type="list" allowBlank="1" showErrorMessage="1" sqref="J300">
      <formula1>'8월'!$AB$300:$AI$300</formula1>
    </dataValidation>
    <dataValidation type="list" allowBlank="1" showErrorMessage="1" sqref="J143">
      <formula1>'8월'!$AB$143:$AI$143</formula1>
    </dataValidation>
    <dataValidation type="list" allowBlank="1" showErrorMessage="1" sqref="J409">
      <formula1>'8월'!$AB$409:$AI$409</formula1>
    </dataValidation>
    <dataValidation type="list" allowBlank="1" showErrorMessage="1" sqref="J351">
      <formula1>'8월'!$AB$351:$AI$351</formula1>
    </dataValidation>
    <dataValidation type="list" allowBlank="1" showErrorMessage="1" sqref="J404">
      <formula1>'8월'!$AB$404:$AI$404</formula1>
    </dataValidation>
    <dataValidation type="list" allowBlank="1" showErrorMessage="1" sqref="J355">
      <formula1>'8월'!$AB$355:$AI$355</formula1>
    </dataValidation>
    <dataValidation type="list" allowBlank="1" showErrorMessage="1" sqref="J365">
      <formula1>'8월'!$AB$365:$AI$365</formula1>
    </dataValidation>
    <dataValidation type="list" allowBlank="1" showErrorMessage="1" sqref="J137">
      <formula1>'8월'!$AB$137:$AI$137</formula1>
    </dataValidation>
    <dataValidation type="list" allowBlank="1" showErrorMessage="1" sqref="J227">
      <formula1>'8월'!$AB$227:$AI$227</formula1>
    </dataValidation>
    <dataValidation type="list" allowBlank="1" showErrorMessage="1" sqref="J88">
      <formula1>'8월'!$AB$88:$AI$88</formula1>
    </dataValidation>
    <dataValidation type="list" allowBlank="1" showErrorMessage="1" sqref="J138">
      <formula1>'8월'!$AB$138:$AI$138</formula1>
    </dataValidation>
    <dataValidation type="list" allowBlank="1" showErrorMessage="1" sqref="J445">
      <formula1>'8월'!$AB$445:$AI$445</formula1>
    </dataValidation>
    <dataValidation type="list" allowBlank="1" showErrorMessage="1" sqref="J454">
      <formula1>'8월'!$AB$454:$AI$454</formula1>
    </dataValidation>
    <dataValidation type="list" allowBlank="1" showErrorMessage="1" sqref="J147">
      <formula1>'8월'!$AB$147:$AI$147</formula1>
    </dataValidation>
    <dataValidation type="list" allowBlank="1" showErrorMessage="1" sqref="J237">
      <formula1>'8월'!$AB$237:$AI$237</formula1>
    </dataValidation>
    <dataValidation type="list" allowBlank="1" showErrorMessage="1" sqref="J226">
      <formula1>'8월'!$AB$226:$AI$226</formula1>
    </dataValidation>
    <dataValidation type="list" allowBlank="1" showErrorMessage="1" sqref="J415">
      <formula1>'8월'!$AB$415:$AI$415</formula1>
    </dataValidation>
    <dataValidation type="list" allowBlank="1" showErrorMessage="1" sqref="J182">
      <formula1>'8월'!$AB$182:$AI$182</formula1>
    </dataValidation>
    <dataValidation type="list" allowBlank="1" showErrorMessage="1" sqref="J392">
      <formula1>'8월'!$AB$392:$AI$392</formula1>
    </dataValidation>
    <dataValidation type="list" allowBlank="1" showErrorMessage="1" sqref="J184">
      <formula1>'8월'!$AB$184:$AI$184</formula1>
    </dataValidation>
    <dataValidation type="list" allowBlank="1" showErrorMessage="1" sqref="J390">
      <formula1>'8월'!$AB$390:$AI$390</formula1>
    </dataValidation>
    <dataValidation type="list" allowBlank="1" showErrorMessage="1" sqref="J316">
      <formula1>'8월'!$AB$316:$AI$316</formula1>
    </dataValidation>
    <dataValidation type="list" allowBlank="1" showErrorMessage="1" sqref="J325">
      <formula1>'8월'!$AB$325:$AI$325</formula1>
    </dataValidation>
    <dataValidation type="list" allowBlank="1" showErrorMessage="1" sqref="J491">
      <formula1>'8월'!$AB$491:$AI$491</formula1>
    </dataValidation>
    <dataValidation type="list" allowBlank="1" showErrorMessage="1" sqref="J108">
      <formula1>'8월'!$AB$108:$AI$108</formula1>
    </dataValidation>
    <dataValidation type="list" allowBlank="1" showErrorMessage="1" sqref="J444">
      <formula1>'8월'!$AB$444:$AI$444</formula1>
    </dataValidation>
    <dataValidation type="list" allowBlank="1" showErrorMessage="1" sqref="J490">
      <formula1>'8월'!$AB$490:$AI$490</formula1>
    </dataValidation>
    <dataValidation type="list" allowBlank="1" showErrorMessage="1" sqref="J174">
      <formula1>'8월'!$AB$174:$AI$174</formula1>
    </dataValidation>
    <dataValidation type="list" allowBlank="1" showErrorMessage="1" sqref="J236">
      <formula1>'8월'!$AB$236:$AI$236</formula1>
    </dataValidation>
    <dataValidation type="list" allowBlank="1" showErrorMessage="1" sqref="J326">
      <formula1>'8월'!$AB$326:$AI$326</formula1>
    </dataValidation>
    <dataValidation type="list" allowBlank="1" showErrorMessage="1" sqref="J87">
      <formula1>'8월'!$AB$87:$AI$87</formula1>
    </dataValidation>
    <dataValidation type="list" allowBlank="1" showErrorMessage="1" sqref="J391">
      <formula1>'8월'!$AB$391:$AI$391</formula1>
    </dataValidation>
    <dataValidation type="list" allowBlank="1" showErrorMessage="1" sqref="J481">
      <formula1>'8월'!$AB$481:$AI$481</formula1>
    </dataValidation>
    <dataValidation type="list" allowBlank="1" showErrorMessage="1" sqref="J183">
      <formula1>'8월'!$AB$183:$AI$183</formula1>
    </dataValidation>
    <dataValidation type="list" allowBlank="1" showErrorMessage="1" sqref="J273">
      <formula1>'8월'!$AB$273:$AI$273</formula1>
    </dataValidation>
    <dataValidation type="list" allowBlank="1" showErrorMessage="1" sqref="J400">
      <formula1>'8월'!$AB$400:$AI$400</formula1>
    </dataValidation>
    <dataValidation type="list" allowBlank="1" showErrorMessage="1" sqref="J225">
      <formula1>'8월'!$AB$225:$AI$225</formula1>
    </dataValidation>
    <dataValidation type="list" allowBlank="1" showErrorMessage="1" sqref="J499">
      <formula1>'8월'!$AB$499:$AI$499</formula1>
    </dataValidation>
    <dataValidation type="list" allowBlank="1" showErrorMessage="1" sqref="J131">
      <formula1>'8월'!$AB$131:$AI$131</formula1>
    </dataValidation>
    <dataValidation type="list" allowBlank="1" showErrorMessage="1" sqref="J149">
      <formula1>'8월'!$AB$149:$AI$149</formula1>
    </dataValidation>
    <dataValidation type="list" allowBlank="1" showErrorMessage="1" sqref="J263">
      <formula1>'8월'!$AB$263:$AI$263</formula1>
    </dataValidation>
    <dataValidation type="list" allowBlank="1" showErrorMessage="1" sqref="J443">
      <formula1>'8월'!$AB$443:$AI$443</formula1>
    </dataValidation>
    <dataValidation type="list" allowBlank="1" showErrorMessage="1" sqref="J220">
      <formula1>'8월'!$AB$220:$AI$220</formula1>
    </dataValidation>
    <dataValidation type="list" allowBlank="1" showErrorMessage="1" sqref="J329">
      <formula1>'8월'!$AB$329:$AI$329</formula1>
    </dataValidation>
    <dataValidation type="list" allowBlank="1" showErrorMessage="1" sqref="J367">
      <formula1>'8월'!$AB$367:$AI$367</formula1>
    </dataValidation>
    <dataValidation type="list" allowBlank="1" showErrorMessage="1" sqref="J187">
      <formula1>'8월'!$AB$187:$AI$187</formula1>
    </dataValidation>
    <dataValidation type="list" allowBlank="1" showErrorMessage="1" sqref="J405">
      <formula1>'8월'!$AB$405:$AI$405</formula1>
    </dataValidation>
    <dataValidation type="list" allowBlank="1" showErrorMessage="1" sqref="J494">
      <formula1>'8월'!$AB$494:$AI$494</formula1>
    </dataValidation>
    <dataValidation type="list" allowBlank="1" showErrorMessage="1" sqref="J134">
      <formula1>'8월'!$AB$134:$AI$134</formula1>
    </dataValidation>
    <dataValidation type="list" allowBlank="1" showErrorMessage="1" sqref="J276">
      <formula1>'8월'!$AB$276:$AI$276</formula1>
    </dataValidation>
    <dataValidation type="list" allowBlank="1" showErrorMessage="1" sqref="J403">
      <formula1>'8월'!$AB$403:$AI$403</formula1>
    </dataValidation>
    <dataValidation type="list" allowBlank="1" showErrorMessage="1" sqref="J352">
      <formula1>'8월'!$AB$352:$AI$352</formula1>
    </dataValidation>
    <dataValidation type="list" allowBlank="1" showErrorMessage="1" sqref="J172">
      <formula1>'8월'!$AB$172:$AI$172</formula1>
    </dataValidation>
    <dataValidation type="list" allowBlank="1" showErrorMessage="1" sqref="J441">
      <formula1>'8월'!$AB$441:$AI$441</formula1>
    </dataValidation>
    <dataValidation type="list" allowBlank="1" showErrorMessage="1" sqref="J456">
      <formula1>'8월'!$AB$456:$AI$456</formula1>
    </dataValidation>
    <dataValidation type="list" allowBlank="1" showErrorMessage="1" sqref="J314">
      <formula1>'8월'!$AB$314:$AI$314</formula1>
    </dataValidation>
    <dataValidation type="list" allowBlank="1" showErrorMessage="1" sqref="J418">
      <formula1>'8월'!$AB$418:$AI$418</formula1>
    </dataValidation>
    <dataValidation type="list" allowBlank="1" showErrorMessage="1" sqref="J238">
      <formula1>'8월'!$AB$238:$AI$238</formula1>
    </dataValidation>
    <dataValidation type="list" allowBlank="1" showErrorMessage="1" sqref="J171">
      <formula1>'8월'!$AB$171:$AI$171</formula1>
    </dataValidation>
    <dataValidation type="list" allowBlank="1" showErrorMessage="1" sqref="J133">
      <formula1>'8월'!$AB$133:$AI$133</formula1>
    </dataValidation>
    <dataValidation type="list" allowBlank="1" showErrorMessage="1" sqref="J261">
      <formula1>'8월'!$AB$261:$AI$261</formula1>
    </dataValidation>
    <dataValidation type="list" allowBlank="1" showErrorMessage="1" sqref="J497">
      <formula1>'8월'!$AB$497:$AI$497</formula1>
    </dataValidation>
    <dataValidation type="list" allowBlank="1" showErrorMessage="1" sqref="J279">
      <formula1>'8월'!$AB$279:$AI$279</formula1>
    </dataValidation>
    <dataValidation type="list" allowBlank="1" showErrorMessage="1" sqref="J369">
      <formula1>'8월'!$AB$369:$AI$369</formula1>
    </dataValidation>
    <dataValidation type="list" allowBlank="1" showErrorMessage="1" sqref="J223">
      <formula1>'8월'!$AB$223:$AI$223</formula1>
    </dataValidation>
    <dataValidation type="list" allowBlank="1" showErrorMessage="1" sqref="J312">
      <formula1>'8월'!$AB$312:$AI$312</formula1>
    </dataValidation>
    <dataValidation type="list" allowBlank="1" showErrorMessage="1" sqref="J402">
      <formula1>'8월'!$AB$402:$AI$402</formula1>
    </dataValidation>
    <dataValidation type="list" allowBlank="1" showErrorMessage="1" sqref="J313">
      <formula1>'8월'!$AB$313:$AI$313</formula1>
    </dataValidation>
    <dataValidation type="list" allowBlank="1" showErrorMessage="1" sqref="J459">
      <formula1>'8월'!$AB$459:$AI$459</formula1>
    </dataValidation>
    <dataValidation type="list" allowBlank="1" showErrorMessage="1" sqref="J189">
      <formula1>'8월'!$AB$189:$AI$189</formula1>
    </dataValidation>
    <dataValidation type="list" allowBlank="1" showErrorMessage="1" sqref="J440">
      <formula1>'8월'!$AB$440:$AI$440</formula1>
    </dataValidation>
    <dataValidation type="list" allowBlank="1" showErrorMessage="1" sqref="J260">
      <formula1>'8월'!$AB$260:$AI$260</formula1>
    </dataValidation>
    <dataValidation type="list" allowBlank="1" showErrorMessage="1" sqref="J350">
      <formula1>'8월'!$AB$350:$AI$350</formula1>
    </dataValidation>
    <dataValidation type="list" allowBlank="1" showErrorMessage="1" sqref="J401">
      <formula1>'8월'!$AB$401:$AI$401</formula1>
    </dataValidation>
    <dataValidation type="list" allowBlank="1" showErrorMessage="1" sqref="J132">
      <formula1>'8월'!$AB$132:$AI$132</formula1>
    </dataValidation>
    <dataValidation type="list" allowBlank="1" showErrorMessage="1" sqref="J222">
      <formula1>'8월'!$AB$222:$AI$222</formula1>
    </dataValidation>
    <dataValidation type="list" allowBlank="1" showErrorMessage="1" sqref="J496">
      <formula1>'8월'!$AB$496:$AI$496</formula1>
    </dataValidation>
    <dataValidation type="list" allowBlank="1" showErrorMessage="1" sqref="J221">
      <formula1>'8월'!$AB$221:$AI$221</formula1>
    </dataValidation>
    <dataValidation type="list" allowBlank="1" showErrorMessage="1" sqref="J311">
      <formula1>'8월'!$AB$311:$AI$311</formula1>
    </dataValidation>
    <dataValidation type="list" allowBlank="1" showErrorMessage="1" sqref="J495">
      <formula1>'8월'!$AB$495:$AI$495</formula1>
    </dataValidation>
    <dataValidation type="list" allowBlank="1" showErrorMessage="1" sqref="J278">
      <formula1>'8월'!$AB$278:$AI$278</formula1>
    </dataValidation>
    <dataValidation type="list" allowBlank="1" showErrorMessage="1" sqref="J368">
      <formula1>'8월'!$AB$368:$AI$368</formula1>
    </dataValidation>
    <dataValidation type="list" allowBlank="1" showErrorMessage="1" sqref="J458">
      <formula1>'8월'!$AB$458:$AI$458</formula1>
    </dataValidation>
    <dataValidation type="list" allowBlank="1" showErrorMessage="1" sqref="J188">
      <formula1>'8월'!$AB$188:$AI$188</formula1>
    </dataValidation>
    <dataValidation type="list" allowBlank="1" showErrorMessage="1" sqref="J68">
      <formula1>'8월'!$AB$68:$AI$68</formula1>
    </dataValidation>
    <dataValidation type="list" allowBlank="1" showErrorMessage="1" sqref="J452">
      <formula1>'8월'!$AB$452:$AI$452</formula1>
    </dataValidation>
    <dataValidation type="list" allowBlank="1" showErrorMessage="1" sqref="J145">
      <formula1>'8월'!$AB$145:$AI$145</formula1>
    </dataValidation>
    <dataValidation type="list" allowBlank="1" showErrorMessage="1" sqref="J239">
      <formula1>'8월'!$AB$239:$AI$239</formula1>
    </dataValidation>
    <dataValidation type="list" allowBlank="1" showErrorMessage="1" sqref="J140">
      <formula1>'8월'!$AB$140:$AI$140</formula1>
    </dataValidation>
    <dataValidation type="list" allowBlank="1" showErrorMessage="1" sqref="J160">
      <formula1>'8월'!$AB$160:$AI$160</formula1>
    </dataValidation>
    <dataValidation type="list" allowBlank="1" showErrorMessage="1" sqref="J97">
      <formula1>'8월'!$AB$97:$AI$97</formula1>
    </dataValidation>
    <dataValidation type="list" allowBlank="1" showErrorMessage="1" sqref="J457">
      <formula1>'8월'!$AB$457:$AI$457</formula1>
    </dataValidation>
    <dataValidation type="list" allowBlank="1" showErrorMessage="1" sqref="J234">
      <formula1>'8월'!$AB$234:$AI$234</formula1>
    </dataValidation>
    <dataValidation type="list" allowBlank="1" showErrorMessage="1" sqref="J343">
      <formula1>'8월'!$AB$343:$AI$343</formula1>
    </dataValidation>
    <dataValidation type="list" allowBlank="1" showErrorMessage="1" sqref="J196">
      <formula1>'8월'!$AB$196:$AI$196</formula1>
    </dataValidation>
    <dataValidation type="list" allowBlank="1" showErrorMessage="1" sqref="J348">
      <formula1>'8월'!$AB$348:$AI$348</formula1>
    </dataValidation>
    <dataValidation type="list" allowBlank="1" showErrorMessage="1" sqref="J432">
      <formula1>'8월'!$AB$432:$AI$432</formula1>
    </dataValidation>
    <dataValidation type="list" allowBlank="1" showErrorMessage="1" sqref="J323">
      <formula1>'8월'!$AB$323:$AI$323</formula1>
    </dataValidation>
    <dataValidation type="list" allowBlank="1" showErrorMessage="1" sqref="J214">
      <formula1>'8월'!$AB$214:$AI$214</formula1>
    </dataValidation>
    <dataValidation type="list" allowBlank="1" showErrorMessage="1" sqref="J120">
      <formula1>'8월'!$AB$120:$AI$120</formula1>
    </dataValidation>
    <dataValidation type="list" allowBlank="1" showErrorMessage="1" sqref="J394">
      <formula1>'8월'!$AB$394:$AI$394</formula1>
    </dataValidation>
    <dataValidation type="list" allowBlank="1" showErrorMessage="1" sqref="J180">
      <formula1>'8월'!$AB$180:$AI$180</formula1>
    </dataValidation>
    <dataValidation type="list" allowBlank="1" showErrorMessage="1" sqref="J399">
      <formula1>'8월'!$AB$399:$AI$399</formula1>
    </dataValidation>
    <dataValidation type="list" allowBlank="1" showErrorMessage="1" sqref="J488">
      <formula1>'8월'!$AB$488:$AI$488</formula1>
    </dataValidation>
    <dataValidation type="list" allowBlank="1" showErrorMessage="1" sqref="J219">
      <formula1>'8월'!$AB$219:$AI$219</formula1>
    </dataValidation>
    <dataValidation type="list" allowBlank="1" showErrorMessage="1" sqref="J328">
      <formula1>'8월'!$AB$328:$AI$328</formula1>
    </dataValidation>
    <dataValidation type="list" allowBlank="1" showErrorMessage="1" sqref="J125">
      <formula1>'8월'!$AB$125:$AI$125</formula1>
    </dataValidation>
    <dataValidation type="list" allowBlank="1" showErrorMessage="1" sqref="J285">
      <formula1>'8월'!$AB$285:$AI$285</formula1>
    </dataValidation>
    <dataValidation type="list" allowBlank="1" showErrorMessage="1" sqref="J176">
      <formula1>'8월'!$AB$176:$AI$176</formula1>
    </dataValidation>
    <dataValidation type="list" allowBlank="1" showErrorMessage="1" sqref="J83">
      <formula1>'8월'!$AB$83:$AI$83</formula1>
    </dataValidation>
    <dataValidation type="list" allowBlank="1" showErrorMessage="1" sqref="J71">
      <formula1>'8월'!$AB$71:$AI$71</formula1>
    </dataValidation>
    <dataValidation type="list" allowBlank="1" showErrorMessage="1" sqref="J437">
      <formula1>'8월'!$AB$437:$AI$437</formula1>
    </dataValidation>
    <dataValidation type="list" allowBlank="1" showErrorMessage="1" sqref="J100">
      <formula1>'8월'!$AB$100:$AI$100</formula1>
    </dataValidation>
    <dataValidation type="list" allowBlank="1" showErrorMessage="1" sqref="J208">
      <formula1>'8월'!$AB$208:$AI$208</formula1>
    </dataValidation>
    <dataValidation type="list" allowBlank="1" showErrorMessage="1" sqref="J280">
      <formula1>'8월'!$AB$280:$AI$280</formula1>
    </dataValidation>
    <dataValidation type="list" allowBlank="1" showErrorMessage="1" sqref="J294">
      <formula1>'8월'!$AB$294:$AI$294</formula1>
    </dataValidation>
    <dataValidation type="list" allowBlank="1" showErrorMessage="1" sqref="J483">
      <formula1>'8월'!$AB$483:$AI$483</formula1>
    </dataValidation>
    <dataValidation type="list" allowBlank="1" showErrorMessage="1" sqref="J374">
      <formula1>'8월'!$AB$374:$AI$374</formula1>
    </dataValidation>
    <dataValidation type="list" allowBlank="1" showErrorMessage="1" sqref="J95">
      <formula1>'8월'!$AB$95:$AI$95</formula1>
    </dataValidation>
    <dataValidation type="list" allowBlank="1" showErrorMessage="1" sqref="J185">
      <formula1>'8월'!$AB$185:$AI$185</formula1>
    </dataValidation>
    <dataValidation type="list" allowBlank="1" showErrorMessage="1" sqref="J317">
      <formula1>'8월'!$AB$317:$AI$317</formula1>
    </dataValidation>
    <dataValidation type="list" allowBlank="1" showErrorMessage="1" sqref="J85">
      <formula1>'8월'!$AB$85:$AI$85</formula1>
    </dataValidation>
    <dataValidation type="list" allowBlank="1" showErrorMessage="1" sqref="J492">
      <formula1>'8월'!$AB$492:$AI$492</formula1>
    </dataValidation>
    <dataValidation type="list" allowBlank="1" showErrorMessage="1" sqref="J426">
      <formula1>'8월'!$AB$426:$AI$426</formula1>
    </dataValidation>
    <dataValidation type="list" allowBlank="1" showErrorMessage="1" sqref="J308">
      <formula1>'8월'!$AB$308:$AI$308</formula1>
    </dataValidation>
    <dataValidation type="list" allowBlank="1" showErrorMessage="1" sqref="J156">
      <formula1>'8월'!$AB$156:$AI$156</formula1>
    </dataValidation>
    <dataValidation type="list" allowBlank="1" showErrorMessage="1" sqref="J265">
      <formula1>'8월'!$AB$265:$AI$265</formula1>
    </dataValidation>
    <dataValidation type="list" allowBlank="1" showErrorMessage="1" sqref="J383">
      <formula1>'8월'!$AB$383:$AI$383</formula1>
    </dataValidation>
    <dataValidation type="list" allowBlank="1" showErrorMessage="1" sqref="J191">
      <formula1>'8월'!$AB$191:$AI$191</formula1>
    </dataValidation>
    <dataValidation type="list" allowBlank="1" showErrorMessage="1" sqref="J417">
      <formula1>'8월'!$AB$417:$AI$417</formula1>
    </dataValidation>
    <dataValidation type="list" allowBlank="1" showErrorMessage="1" sqref="J119">
      <formula1>'8월'!$AB$119:$AI$119</formula1>
    </dataValidation>
    <dataValidation type="list" allowBlank="1" showErrorMessage="1" sqref="J274">
      <formula1>'8월'!$AB$274:$AI$274</formula1>
    </dataValidation>
    <dataValidation type="list" allowBlank="1" showErrorMessage="1" sqref="J354">
      <formula1>'8월'!$AB$354:$AI$354</formula1>
    </dataValidation>
    <dataValidation type="list" allowBlank="1" showErrorMessage="1" sqref="J136">
      <formula1>'8월'!$AB$136:$AI$136</formula1>
    </dataValidation>
    <dataValidation type="list" allowBlank="1" showErrorMessage="1" sqref="J463">
      <formula1>'8월'!$AB$463:$AI$463</formula1>
    </dataValidation>
    <dataValidation type="list" allowBlank="1" showErrorMessage="1" sqref="J472">
      <formula1>'8월'!$AB$472:$AI$472</formula1>
    </dataValidation>
    <dataValidation type="list" allowBlank="1" showErrorMessage="1" sqref="J165">
      <formula1>'8월'!$AB$165:$AI$165</formula1>
    </dataValidation>
    <dataValidation type="list" allowBlank="1" showErrorMessage="1" sqref="J406">
      <formula1>'8월'!$AB$406:$AI$406</formula1>
    </dataValidation>
    <dataValidation type="list" allowBlank="1" showErrorMessage="1" sqref="J254">
      <formula1>'8월'!$AB$254:$AI$254</formula1>
    </dataValidation>
    <dataValidation type="list" allowBlank="1" showErrorMessage="1" sqref="J245">
      <formula1>'8월'!$AB$245:$AI$245</formula1>
    </dataValidation>
    <dataValidation type="list" allowBlank="1" showErrorMessage="1" sqref="J363">
      <formula1>'8월'!$AB$363:$AI$363</formula1>
    </dataValidation>
    <dataValidation type="list" allowBlank="1" showErrorMessage="1" sqref="J319">
      <formula1>'8월'!$AB$319:$AI$319</formula1>
    </dataValidation>
    <dataValidation type="list" allowBlank="1" showErrorMessage="1" sqref="J466">
      <formula1>'8월'!$AB$466:$AI$466</formula1>
    </dataValidation>
    <dataValidation type="list" allowBlank="1" showErrorMessage="1" sqref="J357">
      <formula1>'8월'!$AB$357:$AI$357</formula1>
    </dataValidation>
    <dataValidation type="list" allowBlank="1" showErrorMessage="1" sqref="J428">
      <formula1>'8월'!$AB$428:$AI$428</formula1>
    </dataValidation>
    <dataValidation type="list" allowBlank="1" showErrorMessage="1" sqref="J410">
      <formula1>'8월'!$AB$410:$AI$410</formula1>
    </dataValidation>
    <dataValidation type="list" allowBlank="1" showErrorMessage="1" sqref="J268">
      <formula1>'8월'!$AB$268:$AI$268</formula1>
    </dataValidation>
    <dataValidation type="list" allowBlank="1" showErrorMessage="1" sqref="J408">
      <formula1>'8월'!$AB$408:$AI$408</formula1>
    </dataValidation>
    <dataValidation type="list" allowBlank="1" showErrorMessage="1" sqref="J301">
      <formula1>'8월'!$AB$301:$AI$301</formula1>
    </dataValidation>
    <dataValidation type="list" allowBlank="1" showErrorMessage="1" sqref="J339">
      <formula1>'8월'!$AB$339:$AI$339</formula1>
    </dataValidation>
    <dataValidation type="list" allowBlank="1" showErrorMessage="1" sqref="J159">
      <formula1>'8월'!$AB$159:$AI$159</formula1>
    </dataValidation>
    <dataValidation type="list" allowBlank="1" showErrorMessage="1" sqref="J73">
      <formula1>'8월'!$AB$73:$AI$73</formula1>
    </dataValidation>
    <dataValidation type="list" allowBlank="1" showErrorMessage="1" sqref="J337">
      <formula1>'8월'!$AB$337:$AI$337</formula1>
    </dataValidation>
    <dataValidation type="list" allowBlank="1" showErrorMessage="1" sqref="J228">
      <formula1>'8월'!$AB$228:$AI$228</formula1>
    </dataValidation>
    <dataValidation type="list" allowBlank="1" showErrorMessage="1" sqref="J139">
      <formula1>'8월'!$AB$139:$AI$139</formula1>
    </dataValidation>
    <dataValidation type="list" allowBlank="1" showErrorMessage="1" sqref="J271">
      <formula1>'8월'!$AB$271:$AI$271</formula1>
    </dataValidation>
    <dataValidation type="list" allowBlank="1" showErrorMessage="1" sqref="J248">
      <formula1>'8월'!$AB$248:$AI$248</formula1>
    </dataValidation>
    <dataValidation type="list" allowBlank="1" showErrorMessage="1" sqref="J66">
      <formula1>'8월'!$AB$66:$AI$66</formula1>
    </dataValidation>
    <dataValidation type="list" allowBlank="1" showErrorMessage="1" sqref="J162">
      <formula1>'8월'!$AB$162:$AI$162</formula1>
    </dataValidation>
    <dataValidation type="list" allowBlank="1" showErrorMessage="1" sqref="J446">
      <formula1>'8월'!$AB$446:$AI$446</formula1>
    </dataValidation>
    <dataValidation type="list" allowBlank="1" showErrorMessage="1" sqref="J78">
      <formula1>'8월'!$AB$78:$AI$78</formula1>
    </dataValidation>
    <dataValidation type="list" allowBlank="1" showErrorMessage="1" sqref="J450">
      <formula1>'8월'!$AB$450:$AI$450</formula1>
    </dataValidation>
    <dataValidation type="list" allowBlank="1" showErrorMessage="1" sqref="J341">
      <formula1>'8월'!$AB$341:$AI$341</formula1>
    </dataValidation>
    <dataValidation type="list" allowBlank="1" showErrorMessage="1" sqref="J303">
      <formula1>'8월'!$AB$303:$AI$303</formula1>
    </dataValidation>
    <dataValidation type="list" allowBlank="1" showErrorMessage="1" sqref="J199">
      <formula1>'8월'!$AB$199:$AI$199</formula1>
    </dataValidation>
    <dataValidation type="list" allowBlank="1" showErrorMessage="1" sqref="J360">
      <formula1>'8월'!$AB$360:$AI$360</formula1>
    </dataValidation>
    <dataValidation type="list" allowBlank="1" showErrorMessage="1" sqref="J468">
      <formula1>'8월'!$AB$468:$AI$468</formula1>
    </dataValidation>
    <dataValidation type="list" allowBlank="1" showErrorMessage="1" sqref="J142">
      <formula1>'8월'!$AB$142:$AI$142</formula1>
    </dataValidation>
    <dataValidation type="list" allowBlank="1" showErrorMessage="1" sqref="J251">
      <formula1>'8월'!$AB$251:$AI$251</formula1>
    </dataValidation>
    <dataValidation type="list" allowBlank="1" showErrorMessage="1" sqref="J105">
      <formula1>'8월'!$AB$105:$AI$105</formula1>
    </dataValidation>
    <dataValidation type="list" allowBlank="1" showErrorMessage="1" sqref="J123">
      <formula1>'8월'!$AB$123:$AI$123</formula1>
    </dataValidation>
    <dataValidation type="list" allowBlank="1" showErrorMessage="1" sqref="J379">
      <formula1>'8월'!$AB$379:$AI$379</formula1>
    </dataValidation>
    <dataValidation type="list" allowBlank="1" showErrorMessage="1" sqref="J397">
      <formula1>'8월'!$AB$397:$AI$397</formula1>
    </dataValidation>
    <dataValidation type="list" allowBlank="1" showErrorMessage="1" sqref="J412">
      <formula1>'8월'!$AB$412:$AI$412</formula1>
    </dataValidation>
    <dataValidation type="list" allowBlank="1" showErrorMessage="1" sqref="J232">
      <formula1>'8월'!$AB$232:$AI$232</formula1>
    </dataValidation>
    <dataValidation type="list" allowBlank="1" showErrorMessage="1" sqref="J198">
      <formula1>'8월'!$AB$198:$AI$198</formula1>
    </dataValidation>
    <dataValidation type="list" allowBlank="1" showErrorMessage="1" sqref="J340">
      <formula1>'8월'!$AB$340:$AI$340</formula1>
    </dataValidation>
    <dataValidation type="list" allowBlank="1" showErrorMessage="1" sqref="J448">
      <formula1>'8월'!$AB$448:$AI$448</formula1>
    </dataValidation>
    <dataValidation type="list" allowBlank="1" showErrorMessage="1" sqref="J75">
      <formula1>'8월'!$AB$75:$AI$75</formula1>
    </dataValidation>
    <dataValidation type="list" allowBlank="1" showErrorMessage="1" sqref="J179">
      <formula1>'8월'!$AB$179:$AI$179</formula1>
    </dataValidation>
    <dataValidation type="list" allowBlank="1" showErrorMessage="1" sqref="J231">
      <formula1>'8월'!$AB$231:$AI$231</formula1>
    </dataValidation>
    <dataValidation type="list" allowBlank="1" showErrorMessage="1" sqref="J321">
      <formula1>'8월'!$AB$321:$AI$321</formula1>
    </dataValidation>
    <dataValidation type="list" allowBlank="1" showErrorMessage="1" sqref="J103">
      <formula1>'8월'!$AB$103:$AI$103</formula1>
    </dataValidation>
    <dataValidation type="list" allowBlank="1" showErrorMessage="1" sqref="J430">
      <formula1>'8월'!$AB$430:$AI$430</formula1>
    </dataValidation>
    <dataValidation type="list" allowBlank="1" showErrorMessage="1" sqref="J81">
      <formula1>'8월'!$AB$81:$AI$81</formula1>
    </dataValidation>
    <dataValidation type="list" allowBlank="1" showErrorMessage="1" sqref="J288">
      <formula1>'8월'!$AB$288:$AI$288</formula1>
    </dataValidation>
    <dataValidation type="list" allowBlank="1" showErrorMessage="1" sqref="J359">
      <formula1>'8월'!$AB$359:$AI$359</formula1>
    </dataValidation>
    <dataValidation type="list" allowBlank="1" showErrorMessage="1" sqref="J377">
      <formula1>'8월'!$AB$377:$AI$377</formula1>
    </dataValidation>
    <dataValidation type="list" allowBlank="1" showErrorMessage="1" sqref="J287">
      <formula1>'8월'!$AB$287:$AI$287</formula1>
    </dataValidation>
    <dataValidation type="list" allowBlank="1" showErrorMessage="1" sqref="J122">
      <formula1>'8월'!$AB$122:$AI$122</formula1>
    </dataValidation>
    <dataValidation type="list" allowBlank="1" showErrorMessage="1" sqref="J212">
      <formula1>'8월'!$AB$212:$AI$212</formula1>
    </dataValidation>
    <dataValidation type="list" allowBlank="1" showErrorMessage="1" sqref="J396">
      <formula1>'8월'!$AB$396:$AI$396</formula1>
    </dataValidation>
    <dataValidation type="list" allowBlank="1" showErrorMessage="1" sqref="J486">
      <formula1>'8월'!$AB$486:$AI$486</formula1>
    </dataValidation>
    <dataValidation type="list" allowBlank="1" showErrorMessage="1" sqref="J305">
      <formula1>'8월'!$AB$305:$AI$305</formula1>
    </dataValidation>
    <dataValidation type="list" allowBlank="1" showErrorMessage="1" sqref="J91">
      <formula1>'8월'!$AB$91:$AI$91</formula1>
    </dataValidation>
    <dataValidation type="list" allowBlank="1" showErrorMessage="1" sqref="J292">
      <formula1>'8월'!$AB$292:$AI$292</formula1>
    </dataValidation>
    <dataValidation type="list" allowBlank="1" showErrorMessage="1" sqref="J282">
      <formula1>'8월'!$AB$282:$AI$282</formula1>
    </dataValidation>
    <dataValidation type="list" allowBlank="1" showErrorMessage="1" sqref="J112">
      <formula1>'8월'!$AB$112:$AI$112</formula1>
    </dataValidation>
    <dataValidation type="list" allowBlank="1" showErrorMessage="1" sqref="J62">
      <formula1>'8월'!$AB$62:$AI$62</formula1>
    </dataValidation>
    <dataValidation type="list" allowBlank="1" showErrorMessage="1" sqref="J206">
      <formula1>'8월'!$AB$206:$AI$206</formula1>
    </dataValidation>
    <dataValidation type="list" allowBlank="1" showErrorMessage="1" sqref="J386">
      <formula1>'8월'!$AB$386:$AI$386</formula1>
    </dataValidation>
    <dataValidation type="list" allowBlank="1" showErrorMessage="1" sqref="J193">
      <formula1>'8월'!$AB$193:$AI$193</formula1>
    </dataValidation>
    <dataValidation type="list" allowBlank="1" showErrorMessage="1" sqref="J320">
      <formula1>'8월'!$AB$320:$AI$320</formula1>
    </dataValidation>
    <dataValidation type="list" allowBlank="1" showErrorMessage="1" sqref="J381">
      <formula1>'8월'!$AB$381:$AI$381</formula1>
    </dataValidation>
    <dataValidation type="list" allowBlank="1" showErrorMessage="1" sqref="J424">
      <formula1>'8월'!$AB$424:$AI$424</formula1>
    </dataValidation>
    <dataValidation type="list" allowBlank="1" showErrorMessage="1" sqref="J475">
      <formula1>'8월'!$AB$475:$AI$475</formula1>
    </dataValidation>
    <dataValidation type="list" allowBlank="1" showErrorMessage="1" sqref="J201">
      <formula1>'8월'!$AB$201:$AI$201</formula1>
    </dataValidation>
    <dataValidation type="list" allowBlank="1" showErrorMessage="1" sqref="J216">
      <formula1>'8월'!$AB$216:$AI$216</formula1>
    </dataValidation>
    <dataValidation type="list" allowBlank="1" showErrorMessage="1" sqref="J76">
      <formula1>'8월'!$AB$76:$AI$76</formula1>
    </dataValidation>
    <dataValidation type="list" allowBlank="1" showErrorMessage="1" sqref="J163">
      <formula1>'8월'!$AB$163:$AI$163</formula1>
    </dataValidation>
    <dataValidation type="list" allowBlank="1" showErrorMessage="1" sqref="J376">
      <formula1>'8월'!$AB$376:$AI$376</formula1>
    </dataValidation>
    <dataValidation type="list" allowBlank="1" showErrorMessage="1" sqref="J168">
      <formula1>'8월'!$AB$168:$AI$168</formula1>
    </dataValidation>
    <dataValidation type="list" allowBlank="1" showErrorMessage="1" sqref="J371">
      <formula1>'8월'!$AB$371:$AI$371</formula1>
    </dataValidation>
    <dataValidation type="list" allowBlank="1" showErrorMessage="1" sqref="J102">
      <formula1>'8월'!$AB$102:$AI$102</formula1>
    </dataValidation>
    <dataValidation type="list" allowBlank="1" showErrorMessage="1" sqref="J465">
      <formula1>'8월'!$AB$465:$AI$465</formula1>
    </dataValidation>
    <dataValidation type="list" allowBlank="1" showErrorMessage="1" sqref="J470">
      <formula1>'8월'!$AB$470:$AI$470</formula1>
    </dataValidation>
    <dataValidation type="list" allowBlank="1" showErrorMessage="1" sqref="J90">
      <formula1>'8월'!$AB$90:$AI$90</formula1>
    </dataValidation>
    <dataValidation type="list" allowBlank="1" showErrorMessage="1" sqref="J247">
      <formula1>'8월'!$AB$247:$AI$247</formula1>
    </dataValidation>
    <dataValidation type="list" allowBlank="1" showErrorMessage="1" sqref="J153">
      <formula1>'8월'!$AB$153:$AI$153</formula1>
    </dataValidation>
    <dataValidation type="list" allowBlank="1" showErrorMessage="1" sqref="J460">
      <formula1>'8월'!$AB$460:$AI$460</formula1>
    </dataValidation>
    <dataValidation type="list" allowBlank="1" showErrorMessage="1" sqref="J252">
      <formula1>'8월'!$AB$252:$AI$252</formula1>
    </dataValidation>
    <dataValidation type="list" allowBlank="1" showErrorMessage="1" sqref="J158">
      <formula1>'8월'!$AB$158:$AI$158</formula1>
    </dataValidation>
    <dataValidation type="list" allowBlank="1" showErrorMessage="1" sqref="J257">
      <formula1>'8월'!$AB$257:$AI$257</formula1>
    </dataValidation>
    <dataValidation type="list" allowBlank="1" showErrorMessage="1" sqref="J464">
      <formula1>'8월'!$AB$464:$AI$464</formula1>
    </dataValidation>
    <dataValidation type="list" allowBlank="1" showErrorMessage="1" sqref="J246">
      <formula1>'8월'!$AB$246:$AI$246</formula1>
    </dataValidation>
    <dataValidation type="list" allowBlank="1" showErrorMessage="1" sqref="J336">
      <formula1>'8월'!$AB$336:$AI$336</formula1>
    </dataValidation>
    <dataValidation type="list" allowBlank="1" showErrorMessage="1" sqref="J128">
      <formula1>'8월'!$AB$128:$AI$128</formula1>
    </dataValidation>
    <dataValidation type="list" allowBlank="1" showErrorMessage="1" sqref="J256">
      <formula1>'8월'!$AB$256:$AI$256</formula1>
    </dataValidation>
    <dataValidation type="list" allowBlank="1" showErrorMessage="1" sqref="J345">
      <formula1>'8월'!$AB$345:$AI$345</formula1>
    </dataValidation>
    <dataValidation type="list" allowBlank="1" showErrorMessage="1" sqref="J435">
      <formula1>'8월'!$AB$435:$AI$435</formula1>
    </dataValidation>
    <dataValidation type="list" allowBlank="1" showErrorMessage="1" sqref="J346">
      <formula1>'8월'!$AB$346:$AI$346</formula1>
    </dataValidation>
    <dataValidation type="list" allowBlank="1" showErrorMessage="1" sqref="J64">
      <formula1>'8월'!$AB$64:$AI$64</formula1>
    </dataValidation>
    <dataValidation type="list" allowBlank="1" showErrorMessage="1" sqref="J380">
      <formula1>'8월'!$AB$380:$AI$380</formula1>
    </dataValidation>
    <dataValidation type="list" allowBlank="1" showErrorMessage="1" sqref="J194">
      <formula1>'8월'!$AB$194:$AI$194</formula1>
    </dataValidation>
    <dataValidation type="list" allowBlank="1" showErrorMessage="1" sqref="J281">
      <formula1>'8월'!$AB$281:$AI$281</formula1>
    </dataValidation>
    <dataValidation type="list" allowBlank="1" showErrorMessage="1" sqref="J293">
      <formula1>'8월'!$AB$293:$AI$293</formula1>
    </dataValidation>
    <dataValidation type="list" allowBlank="1" showErrorMessage="1" sqref="J93">
      <formula1>'8월'!$AB$93:$AI$93</formula1>
    </dataValidation>
    <dataValidation type="list" allowBlank="1" showErrorMessage="1" sqref="J306">
      <formula1>'8월'!$AB$306:$AI$306</formula1>
    </dataValidation>
    <dataValidation type="list" allowBlank="1" showErrorMessage="1" sqref="J63">
      <formula1>'8월'!$AB$63:$AI$63</formula1>
    </dataValidation>
    <dataValidation type="list" allowBlank="1" showErrorMessage="1" sqref="J434">
      <formula1>'8월'!$AB$434:$AI$434</formula1>
    </dataValidation>
    <dataValidation type="list" allowBlank="1" showErrorMessage="1" sqref="J117">
      <formula1>'8월'!$AB$117:$AI$117</formula1>
    </dataValidation>
    <dataValidation type="list" allowBlank="1" showErrorMessage="1" sqref="J207">
      <formula1>'8월'!$AB$207:$AI$207</formula1>
    </dataValidation>
    <dataValidation type="list" allowBlank="1" showErrorMessage="1" sqref="J283">
      <formula1>'8월'!$AB$283:$AI$283</formula1>
    </dataValidation>
    <dataValidation type="list" allowBlank="1" showErrorMessage="1" sqref="J291">
      <formula1>'8월'!$AB$291:$AI$291</formula1>
    </dataValidation>
    <dataValidation type="list" allowBlank="1" showErrorMessage="1" sqref="J192">
      <formula1>'8월'!$AB$192:$AI$192</formula1>
    </dataValidation>
    <dataValidation type="list" allowBlank="1" showErrorMessage="1" sqref="J217">
      <formula1>'8월'!$AB$217:$AI$217</formula1>
    </dataValidation>
    <dataValidation type="list" allowBlank="1" showErrorMessage="1" sqref="J92">
      <formula1>'8월'!$AB$92:$AI$92</formula1>
    </dataValidation>
    <dataValidation type="list" allowBlank="1" showErrorMessage="1" sqref="J382">
      <formula1>'8월'!$AB$382:$AI$382</formula1>
    </dataValidation>
    <dataValidation type="list" allowBlank="1" showErrorMessage="1" sqref="J118">
      <formula1>'8월'!$AB$118:$AI$118</formula1>
    </dataValidation>
    <dataValidation type="list" allowBlank="1" showErrorMessage="1" sqref="J127">
      <formula1>'8월'!$AB$127:$AI$127</formula1>
    </dataValidation>
    <dataValidation type="list" allowBlank="1" showErrorMessage="1" sqref="J335">
      <formula1>'8월'!$AB$335:$AI$335</formula1>
    </dataValidation>
    <dataValidation type="list" allowBlank="1" showErrorMessage="1" sqref="J425">
      <formula1>'8월'!$AB$425:$AI$425</formula1>
    </dataValidation>
    <dataValidation type="list" allowBlank="1" showErrorMessage="1" sqref="J116">
      <formula1>'8월'!$AB$116:$AI$116</formula1>
    </dataValidation>
    <dataValidation type="list" allowBlank="1" showErrorMessage="1" sqref="J258">
      <formula1>'8월'!$AB$258:$AI$258</formula1>
    </dataValidation>
    <dataValidation type="list" allowBlank="1" showErrorMessage="1" sqref="J372">
      <formula1>'8월'!$AB$372:$AI$372</formula1>
    </dataValidation>
    <dataValidation type="list" allowBlank="1" showErrorMessage="1" sqref="J476">
      <formula1>'8월'!$AB$476:$AI$476</formula1>
    </dataValidation>
    <dataValidation type="list" allowBlank="1" showErrorMessage="1" sqref="J296">
      <formula1>'8월'!$AB$296:$AI$296</formula1>
    </dataValidation>
    <dataValidation type="list" allowBlank="1" showErrorMessage="1" sqref="J309">
      <formula1>'8월'!$AB$309:$AI$309</formula1>
    </dataValidation>
    <dataValidation type="list" allowBlank="1" showErrorMessage="1" sqref="J423">
      <formula1>'8월'!$AB$423:$AI$423</formula1>
    </dataValidation>
    <dataValidation type="list" allowBlank="1" showErrorMessage="1" sqref="J202">
      <formula1>'8월'!$AB$202:$AI$202</formula1>
    </dataValidation>
    <dataValidation type="list" allowBlank="1" showErrorMessage="1" sqref="J438">
      <formula1>'8월'!$AB$438:$AI$438</formula1>
    </dataValidation>
    <dataValidation type="list" allowBlank="1" showErrorMessage="1" sqref="J334">
      <formula1>'8월'!$AB$334:$AI$334</formula1>
    </dataValidation>
    <dataValidation type="list" allowBlank="1" showErrorMessage="1" sqref="J154">
      <formula1>'8월'!$AB$154:$AI$154</formula1>
    </dataValidation>
    <dataValidation type="list" allowBlank="1" showErrorMessage="1" sqref="J461">
      <formula1>'8월'!$AB$461:$AI$461</formula1>
    </dataValidation>
    <dataValidation type="list" allowBlank="1" showErrorMessage="1" sqref="J94">
      <formula1>'8월'!$AB$94:$AI$94</formula1>
    </dataValidation>
    <dataValidation type="list" allowBlank="1" showErrorMessage="1" sqref="J243">
      <formula1>'8월'!$AB$243:$AI$243</formula1>
    </dataValidation>
    <dataValidation type="list" allowBlank="1" showErrorMessage="1" sqref="J479">
      <formula1>'8월'!$AB$479:$AI$479</formula1>
    </dataValidation>
    <dataValidation type="list" allowBlank="1" showErrorMessage="1" sqref="J436">
      <formula1>'8월'!$AB$436:$AI$436</formula1>
    </dataValidation>
    <dataValidation type="list" allowBlank="1" showErrorMessage="1" sqref="J111">
      <formula1>'8월'!$AB$111:$AI$111</formula1>
    </dataValidation>
    <dataValidation type="list" allowBlank="1" showErrorMessage="1" sqref="J385">
      <formula1>'8월'!$AB$385:$AI$385</formula1>
    </dataValidation>
    <dataValidation type="list" allowBlank="1" showErrorMessage="1" sqref="J129">
      <formula1>'8월'!$AB$129:$AI$129</formula1>
    </dataValidation>
    <dataValidation type="list" allowBlank="1" showErrorMessage="1" sqref="J332">
      <formula1>'8월'!$AB$332:$AI$332</formula1>
    </dataValidation>
    <dataValidation type="list" allowBlank="1" showErrorMessage="1" sqref="J347">
      <formula1>'8월'!$AB$347:$AI$347</formula1>
    </dataValidation>
    <dataValidation type="list" allowBlank="1" showErrorMessage="1" sqref="J474">
      <formula1>'8월'!$AB$474:$AI$474</formula1>
    </dataValidation>
    <dataValidation type="list" allowBlank="1" showErrorMessage="1" sqref="J299">
      <formula1>'8월'!$AB$299:$AI$299</formula1>
    </dataValidation>
    <dataValidation type="list" allowBlank="1" showErrorMessage="1" sqref="J205">
      <formula1>'8월'!$AB$205:$AI$205</formula1>
    </dataValidation>
    <dataValidation type="list" allowBlank="1" showErrorMessage="1" sqref="J370">
      <formula1>'8월'!$AB$370:$AI$370</formula1>
    </dataValidation>
    <dataValidation type="list" allowBlank="1" showErrorMessage="1" sqref="J200">
      <formula1>'8월'!$AB$200:$AI$200</formula1>
    </dataValidation>
    <dataValidation type="list" allowBlank="1" showErrorMessage="1" sqref="J167">
      <formula1>'8월'!$AB$167:$AI$167</formula1>
    </dataValidation>
    <dataValidation type="list" allowBlank="1" showErrorMessage="1" sqref="J98">
      <formula1>'8월'!$AB$98:$AI$98</formula1>
    </dataValidation>
    <dataValidation type="list" allowBlank="1" showErrorMessage="1" sqref="J152">
      <formula1>'8월'!$AB$152:$AI$152</formula1>
    </dataValidation>
    <dataValidation type="list" allowBlank="1" showErrorMessage="1" sqref="J242">
      <formula1>'8월'!$AB$242:$AI$242</formula1>
    </dataValidation>
    <dataValidation type="list" allowBlank="1" showErrorMessage="1" sqref="J331">
      <formula1>'8월'!$AB$331:$AI$331</formula1>
    </dataValidation>
    <dataValidation type="list" allowBlank="1" showErrorMessage="1" sqref="J421">
      <formula1>'8월'!$AB$421:$AI$421</formula1>
    </dataValidation>
    <dataValidation type="list" allowBlank="1" showErrorMessage="1" sqref="J241">
      <formula1>'8월'!$AB$241:$AI$241</formula1>
    </dataValidation>
    <dataValidation type="list" allowBlank="1" showErrorMessage="1" sqref="J478">
      <formula1>'8월'!$AB$478:$AI$478</formula1>
    </dataValidation>
    <dataValidation type="list" allowBlank="1" showErrorMessage="1" sqref="J204">
      <formula1>'8월'!$AB$204:$AI$204</formula1>
    </dataValidation>
    <dataValidation type="list" allowBlank="1" showErrorMessage="1" sqref="J114">
      <formula1>'8월'!$AB$114:$AI$114</formula1>
    </dataValidation>
    <dataValidation type="list" allowBlank="1" showErrorMessage="1" sqref="J298">
      <formula1>'8월'!$AB$298:$AI$298</formula1>
    </dataValidation>
    <dataValidation type="list" allowBlank="1" showErrorMessage="1" sqref="J388">
      <formula1>'8월'!$AB$388:$AI$388</formula1>
    </dataValidation>
    <dataValidation type="list" allowBlank="1" showErrorMessage="1" sqref="J151">
      <formula1>'8월'!$AB$151:$AI$151</formula1>
    </dataValidation>
    <dataValidation type="list" allowBlank="1" showErrorMessage="1" sqref="J259">
      <formula1>'8월'!$AB$259:$AI$259</formula1>
    </dataValidation>
    <dataValidation type="list" allowBlank="1" showErrorMessage="1" sqref="J113">
      <formula1>'8월'!$AB$113:$AI$113</formula1>
    </dataValidation>
    <dataValidation type="list" allowBlank="1" showErrorMessage="1" sqref="J387">
      <formula1>'8월'!$AB$387:$AI$387</formula1>
    </dataValidation>
    <dataValidation type="list" allowBlank="1" showErrorMessage="1" sqref="J349">
      <formula1>'8월'!$AB$349:$AI$349</formula1>
    </dataValidation>
    <dataValidation type="list" allowBlank="1" showErrorMessage="1" sqref="J169">
      <formula1>'8월'!$AB$169:$AI$169</formula1>
    </dataValidation>
    <dataValidation type="list" allowBlank="1" showErrorMessage="1" sqref="J439">
      <formula1>'8월'!$AB$439:$AI$439</formula1>
    </dataValidation>
    <dataValidation type="list" allowBlank="1" showErrorMessage="1" sqref="J203">
      <formula1>'8월'!$AB$203:$AI$203</formula1>
    </dataValidation>
    <dataValidation type="list" allowBlank="1" showErrorMessage="1" sqref="J477">
      <formula1>'8월'!$AB$477:$AI$477</formula1>
    </dataValidation>
    <dataValidation type="list" allowBlank="1" showErrorMessage="1" sqref="J297">
      <formula1>'8월'!$AB$297:$AI$297</formula1>
    </dataValidation>
    <dataValidation type="list" allowBlank="1" showErrorMessage="1" sqref="I62:I500">
      <formula1>'설정시트'!$C$7:$C$20</formula1>
    </dataValidation>
    <dataValidation type="list" allowBlank="1" showErrorMessage="1" sqref="J420">
      <formula1>'8월'!$AB$420:$AI$420</formula1>
    </dataValidation>
    <dataValidation type="list" allowBlank="1" showErrorMessage="1" sqref="J240">
      <formula1>'8월'!$AB$240:$AI$240</formula1>
    </dataValidation>
    <dataValidation type="list" allowBlank="1" showErrorMessage="1" sqref="J330">
      <formula1>'8월'!$AB$330:$AI$330</formula1>
    </dataValidation>
    <dataValidation type="list" allowBlank="1" showErrorMessage="1" sqref="J99">
      <formula1>'8월'!$AB$99:$AI$99</formula1>
    </dataValidation>
    <dataValidation type="list" allowBlank="1" showErrorMessage="1" sqref="J150">
      <formula1>'8월'!$AB$150:$AI$150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9.0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45900</v>
      </c>
      <c r="S9" s="117">
        <f t="shared" ref="S9:X9" si="1">R9 + 1</f>
        <v>45901</v>
      </c>
      <c r="T9" s="118">
        <f t="shared" si="1"/>
        <v>45902</v>
      </c>
      <c r="U9" s="118">
        <f t="shared" si="1"/>
        <v>45903</v>
      </c>
      <c r="V9" s="118">
        <f t="shared" si="1"/>
        <v>45904</v>
      </c>
      <c r="W9" s="118">
        <f t="shared" si="1"/>
        <v>45905</v>
      </c>
      <c r="X9" s="119">
        <f t="shared" si="1"/>
        <v>45906</v>
      </c>
      <c r="Y9" s="120"/>
      <c r="AB9" s="121" t="str">
        <f>$H$25</f>
        <v>🍪고정비</v>
      </c>
      <c r="AC9" s="122">
        <f>$K$31</f>
        <v>0</v>
      </c>
      <c r="AD9" s="123">
        <f t="shared" ref="AD9:AD20" si="4">_xlfn.RANK.EQ(AC9,$AB$9:$AC$20,0) + ROW(AB1)/10000</f>
        <v>10.0001</v>
      </c>
      <c r="AE9" s="123">
        <f t="shared" ref="AE9:AE20" si="5">SMALL($AD$9:$AD$20, ROW(AB1))</f>
        <v>1.001</v>
      </c>
      <c r="AF9" s="123" t="str">
        <f t="shared" ref="AF9:AF20" si="6">INDEX($AB$9:$AB$20,MATCH(AE9,$AD$9:$AD$20,0))</f>
        <v>🐻기타</v>
      </c>
      <c r="AG9" s="122">
        <f t="shared" ref="AG9:AG20" si="7">INDEX($AC$9:$AC$20,MATCH(AE9,$AD$9:$AD$20,0))</f>
        <v>876600</v>
      </c>
    </row>
    <row r="10">
      <c r="E10" s="114" t="s">
        <v>55</v>
      </c>
      <c r="F10" s="115">
        <f t="shared" si="2"/>
        <v>0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248440</v>
      </c>
      <c r="T10" s="126">
        <f t="shared" si="3"/>
        <v>138420</v>
      </c>
      <c r="U10" s="126">
        <f t="shared" si="3"/>
        <v>173900</v>
      </c>
      <c r="V10" s="126">
        <f t="shared" si="3"/>
        <v>380400</v>
      </c>
      <c r="W10" s="126">
        <f t="shared" si="3"/>
        <v>19000</v>
      </c>
      <c r="X10" s="126">
        <f t="shared" si="3"/>
        <v>26400</v>
      </c>
      <c r="Y10" s="126">
        <f>SUM(R10:X10)</f>
        <v>986560</v>
      </c>
      <c r="AB10" s="121" t="str">
        <f>$H$33</f>
        <v>🐻고정비</v>
      </c>
      <c r="AC10" s="122">
        <f>$K$39</f>
        <v>533170</v>
      </c>
      <c r="AD10" s="123">
        <f t="shared" si="4"/>
        <v>3.0002</v>
      </c>
      <c r="AE10" s="123">
        <f t="shared" si="5"/>
        <v>2.0007</v>
      </c>
      <c r="AF10" s="123" t="str">
        <f t="shared" si="6"/>
        <v>🍪여가비</v>
      </c>
      <c r="AG10" s="122">
        <f t="shared" si="7"/>
        <v>555100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45907</v>
      </c>
      <c r="S11" s="128">
        <f t="shared" si="8"/>
        <v>45908</v>
      </c>
      <c r="T11" s="117">
        <f t="shared" si="8"/>
        <v>45909</v>
      </c>
      <c r="U11" s="117">
        <f t="shared" si="8"/>
        <v>45910</v>
      </c>
      <c r="V11" s="118">
        <f t="shared" si="8"/>
        <v>45911</v>
      </c>
      <c r="W11" s="129">
        <f t="shared" si="8"/>
        <v>45912</v>
      </c>
      <c r="X11" s="130">
        <f t="shared" si="8"/>
        <v>45913</v>
      </c>
      <c r="Y11" s="131"/>
      <c r="AB11" s="121" t="str">
        <f>$H$41</f>
        <v>🍪생필품</v>
      </c>
      <c r="AC11" s="122">
        <f>$K$47</f>
        <v>71000</v>
      </c>
      <c r="AD11" s="123">
        <f t="shared" si="4"/>
        <v>9.0003</v>
      </c>
      <c r="AE11" s="123">
        <f t="shared" si="5"/>
        <v>3.0002</v>
      </c>
      <c r="AF11" s="123" t="str">
        <f t="shared" si="6"/>
        <v>🐻고정비</v>
      </c>
      <c r="AG11" s="122">
        <f t="shared" si="7"/>
        <v>533170</v>
      </c>
    </row>
    <row r="12">
      <c r="C12" s="132" t="s">
        <v>136</v>
      </c>
      <c r="D12" s="133">
        <f>F33</f>
        <v>5389550</v>
      </c>
      <c r="E12" s="114" t="s">
        <v>57</v>
      </c>
      <c r="F12" s="115">
        <f t="shared" si="2"/>
        <v>0</v>
      </c>
      <c r="R12" s="134">
        <f t="shared" ref="R12:X12" si="9">SUMIFS($K$62:$K$500,$H$62:$H$500,R11,$I$62:$I$500,"&lt;&gt;수입",$I$62:$I$500,"&lt;&gt;저축")</f>
        <v>30800</v>
      </c>
      <c r="S12" s="135">
        <f t="shared" si="9"/>
        <v>278510</v>
      </c>
      <c r="T12" s="136">
        <f t="shared" si="9"/>
        <v>100000</v>
      </c>
      <c r="U12" s="136">
        <f t="shared" si="9"/>
        <v>314500</v>
      </c>
      <c r="V12" s="134">
        <f t="shared" si="9"/>
        <v>151700</v>
      </c>
      <c r="W12" s="137">
        <f t="shared" si="9"/>
        <v>104140</v>
      </c>
      <c r="X12" s="137">
        <f t="shared" si="9"/>
        <v>0</v>
      </c>
      <c r="Y12" s="137">
        <f>SUM(R12:X12)</f>
        <v>979650</v>
      </c>
      <c r="AB12" s="121" t="str">
        <f>$H$49</f>
        <v>🐻생필품</v>
      </c>
      <c r="AC12" s="122">
        <f>$K$55</f>
        <v>86420</v>
      </c>
      <c r="AD12" s="123">
        <f t="shared" si="4"/>
        <v>8.0004</v>
      </c>
      <c r="AE12" s="123">
        <f t="shared" si="5"/>
        <v>4.0012</v>
      </c>
      <c r="AF12" s="123" t="str">
        <f t="shared" si="6"/>
        <v>🐻 이벤트성</v>
      </c>
      <c r="AG12" s="122">
        <f t="shared" si="7"/>
        <v>352920</v>
      </c>
    </row>
    <row r="13">
      <c r="C13" s="46"/>
      <c r="D13" s="138"/>
      <c r="E13" s="114" t="s">
        <v>58</v>
      </c>
      <c r="F13" s="115">
        <f t="shared" si="2"/>
        <v>0</v>
      </c>
      <c r="I13" s="94"/>
      <c r="J13" s="94"/>
      <c r="R13" s="127">
        <f t="shared" ref="R13:X13" si="10">R11+7</f>
        <v>45914</v>
      </c>
      <c r="S13" s="128">
        <f t="shared" si="10"/>
        <v>45915</v>
      </c>
      <c r="T13" s="117">
        <f t="shared" si="10"/>
        <v>45916</v>
      </c>
      <c r="U13" s="117">
        <f t="shared" si="10"/>
        <v>45917</v>
      </c>
      <c r="V13" s="118">
        <f t="shared" si="10"/>
        <v>45918</v>
      </c>
      <c r="W13" s="129">
        <f t="shared" si="10"/>
        <v>45919</v>
      </c>
      <c r="X13" s="130">
        <f t="shared" si="10"/>
        <v>45920</v>
      </c>
      <c r="Y13" s="131"/>
      <c r="AB13" s="121" t="str">
        <f>$M$25</f>
        <v>🍪식비</v>
      </c>
      <c r="AC13" s="122">
        <f>$P$31</f>
        <v>170250</v>
      </c>
      <c r="AD13" s="123">
        <f t="shared" si="4"/>
        <v>6.0005</v>
      </c>
      <c r="AE13" s="123">
        <f t="shared" si="5"/>
        <v>5.0006</v>
      </c>
      <c r="AF13" s="123" t="str">
        <f t="shared" si="6"/>
        <v>🐻식비</v>
      </c>
      <c r="AG13" s="122">
        <f t="shared" si="7"/>
        <v>246490</v>
      </c>
    </row>
    <row r="14">
      <c r="C14" s="132" t="s">
        <v>137</v>
      </c>
      <c r="D14" s="133">
        <f>SUM($K$31+$K$39+$K$47+$K$55+$P$31+$P$39+$P$47+$P$55+X31+X39+X47+X55)</f>
        <v>3014840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0</v>
      </c>
      <c r="S14" s="135">
        <f t="shared" si="11"/>
        <v>1200</v>
      </c>
      <c r="T14" s="136">
        <f t="shared" si="11"/>
        <v>0</v>
      </c>
      <c r="U14" s="136">
        <f t="shared" si="11"/>
        <v>186570</v>
      </c>
      <c r="V14" s="134">
        <f t="shared" si="11"/>
        <v>218400</v>
      </c>
      <c r="W14" s="137">
        <f t="shared" si="11"/>
        <v>2100</v>
      </c>
      <c r="X14" s="137">
        <f t="shared" si="11"/>
        <v>3000</v>
      </c>
      <c r="Y14" s="137">
        <f>SUM(R14:X14)</f>
        <v>411270</v>
      </c>
      <c r="AB14" s="121" t="str">
        <f>$M$33</f>
        <v>🐻식비</v>
      </c>
      <c r="AC14" s="122">
        <f>$P$39</f>
        <v>246490</v>
      </c>
      <c r="AD14" s="123">
        <f t="shared" si="4"/>
        <v>5.0006</v>
      </c>
      <c r="AE14" s="123">
        <f t="shared" si="5"/>
        <v>6.0005</v>
      </c>
      <c r="AF14" s="123" t="str">
        <f t="shared" si="6"/>
        <v>🍪식비</v>
      </c>
      <c r="AG14" s="122">
        <f t="shared" si="7"/>
        <v>170250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45921</v>
      </c>
      <c r="S15" s="128">
        <f t="shared" si="12"/>
        <v>45922</v>
      </c>
      <c r="T15" s="117">
        <f t="shared" si="12"/>
        <v>45923</v>
      </c>
      <c r="U15" s="117">
        <f t="shared" si="12"/>
        <v>45924</v>
      </c>
      <c r="V15" s="118">
        <f t="shared" si="12"/>
        <v>45925</v>
      </c>
      <c r="W15" s="129">
        <f t="shared" si="12"/>
        <v>45926</v>
      </c>
      <c r="X15" s="130">
        <f t="shared" si="12"/>
        <v>45927</v>
      </c>
      <c r="Y15" s="131"/>
      <c r="AB15" s="121" t="str">
        <f>$M$41</f>
        <v>🍪여가비</v>
      </c>
      <c r="AC15" s="122">
        <f>$P$47</f>
        <v>555100</v>
      </c>
      <c r="AD15" s="123">
        <f t="shared" si="4"/>
        <v>2.0007</v>
      </c>
      <c r="AE15" s="123">
        <f t="shared" si="5"/>
        <v>7.0008</v>
      </c>
      <c r="AF15" s="123" t="str">
        <f t="shared" si="6"/>
        <v>🐻여가비</v>
      </c>
      <c r="AG15" s="122">
        <f t="shared" si="7"/>
        <v>122890</v>
      </c>
    </row>
    <row r="16">
      <c r="C16" s="132" t="s">
        <v>138</v>
      </c>
      <c r="D16" s="133">
        <f>F43</f>
        <v>100000</v>
      </c>
      <c r="E16" s="114" t="s">
        <v>61</v>
      </c>
      <c r="F16" s="115">
        <f t="shared" si="2"/>
        <v>123910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0</v>
      </c>
      <c r="S16" s="135">
        <f t="shared" si="13"/>
        <v>19210</v>
      </c>
      <c r="T16" s="136">
        <f t="shared" si="13"/>
        <v>10120</v>
      </c>
      <c r="U16" s="136">
        <f t="shared" si="13"/>
        <v>452060</v>
      </c>
      <c r="V16" s="134">
        <f t="shared" si="13"/>
        <v>109210</v>
      </c>
      <c r="W16" s="137">
        <f t="shared" si="13"/>
        <v>8000</v>
      </c>
      <c r="X16" s="137">
        <f t="shared" si="13"/>
        <v>50000</v>
      </c>
      <c r="Y16" s="137">
        <f>SUM(R16:X16)</f>
        <v>648600</v>
      </c>
      <c r="AB16" s="121" t="str">
        <f>$M$49</f>
        <v>🐻여가비</v>
      </c>
      <c r="AC16" s="122">
        <f>$P$55</f>
        <v>122890</v>
      </c>
      <c r="AD16" s="123">
        <f t="shared" si="4"/>
        <v>7.0008</v>
      </c>
      <c r="AE16" s="123">
        <f t="shared" si="5"/>
        <v>8.0004</v>
      </c>
      <c r="AF16" s="123" t="str">
        <f t="shared" si="6"/>
        <v>🐻생필품</v>
      </c>
      <c r="AG16" s="122">
        <f t="shared" si="7"/>
        <v>86420</v>
      </c>
    </row>
    <row r="17">
      <c r="C17" s="46"/>
      <c r="D17" s="138"/>
      <c r="E17" s="114" t="s">
        <v>62</v>
      </c>
      <c r="F17" s="115">
        <f t="shared" si="2"/>
        <v>246170</v>
      </c>
      <c r="H17" s="142"/>
      <c r="I17" s="143"/>
      <c r="J17" s="144"/>
      <c r="K17" s="145"/>
      <c r="R17" s="127">
        <f t="shared" ref="R17:X17" si="14">R15+7</f>
        <v>45928</v>
      </c>
      <c r="S17" s="128">
        <f t="shared" si="14"/>
        <v>45929</v>
      </c>
      <c r="T17" s="117">
        <f t="shared" si="14"/>
        <v>45930</v>
      </c>
      <c r="U17" s="117">
        <f t="shared" si="14"/>
        <v>45931</v>
      </c>
      <c r="V17" s="118">
        <f t="shared" si="14"/>
        <v>45932</v>
      </c>
      <c r="W17" s="129">
        <f t="shared" si="14"/>
        <v>45933</v>
      </c>
      <c r="X17" s="130">
        <f t="shared" si="14"/>
        <v>45934</v>
      </c>
      <c r="Y17" s="131"/>
      <c r="AB17" s="121" t="str">
        <f>$R$25</f>
        <v>🍪기타</v>
      </c>
      <c r="AC17" s="122">
        <f>$X$31</f>
        <v>0</v>
      </c>
      <c r="AD17" s="123">
        <f t="shared" si="4"/>
        <v>10.0009</v>
      </c>
      <c r="AE17" s="123">
        <f t="shared" si="5"/>
        <v>9.0003</v>
      </c>
      <c r="AF17" s="123" t="str">
        <f t="shared" si="6"/>
        <v>🍪생필품</v>
      </c>
      <c r="AG17" s="122">
        <f t="shared" si="7"/>
        <v>71000</v>
      </c>
    </row>
    <row r="18">
      <c r="C18" s="146" t="s">
        <v>140</v>
      </c>
      <c r="D18" s="147">
        <f>D12-D14-D16</f>
        <v>2274710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0</v>
      </c>
      <c r="S18" s="148">
        <f t="shared" si="15"/>
        <v>29500</v>
      </c>
      <c r="T18" s="149">
        <f t="shared" si="15"/>
        <v>49890</v>
      </c>
      <c r="U18" s="149">
        <f t="shared" si="15"/>
        <v>0</v>
      </c>
      <c r="V18" s="126">
        <f t="shared" si="15"/>
        <v>0</v>
      </c>
      <c r="W18" s="150">
        <f t="shared" si="15"/>
        <v>0</v>
      </c>
      <c r="X18" s="150">
        <f t="shared" si="15"/>
        <v>0</v>
      </c>
      <c r="Y18" s="150">
        <f>SUM(R18:X18)</f>
        <v>79390</v>
      </c>
      <c r="AB18" s="121" t="str">
        <f>$R$33</f>
        <v>🐻기타</v>
      </c>
      <c r="AC18" s="122">
        <f>$X$39</f>
        <v>876600</v>
      </c>
      <c r="AD18" s="123">
        <f t="shared" si="4"/>
        <v>1.001</v>
      </c>
      <c r="AE18" s="123">
        <f t="shared" si="5"/>
        <v>10.0001</v>
      </c>
      <c r="AF18" s="123" t="str">
        <f t="shared" si="6"/>
        <v>🍪고정비</v>
      </c>
      <c r="AG18" s="122">
        <f t="shared" si="7"/>
        <v>0</v>
      </c>
    </row>
    <row r="19">
      <c r="C19" s="151" t="s">
        <v>141</v>
      </c>
      <c r="D19" s="152">
        <f>(D16+D18)/D12</f>
        <v>0.4406137804</v>
      </c>
      <c r="E19" s="114" t="s">
        <v>64</v>
      </c>
      <c r="F19" s="115">
        <f t="shared" si="2"/>
        <v>2735390</v>
      </c>
      <c r="H19" s="142"/>
      <c r="I19" s="143"/>
      <c r="J19" s="144"/>
      <c r="K19" s="145"/>
      <c r="R19" s="153">
        <f t="shared" ref="R19:X19" si="16">R17+7</f>
        <v>45935</v>
      </c>
      <c r="S19" s="154">
        <f t="shared" si="16"/>
        <v>45936</v>
      </c>
      <c r="T19" s="155">
        <f t="shared" si="16"/>
        <v>45937</v>
      </c>
      <c r="U19" s="155">
        <f t="shared" si="16"/>
        <v>45938</v>
      </c>
      <c r="V19" s="156">
        <f t="shared" si="16"/>
        <v>45939</v>
      </c>
      <c r="W19" s="157">
        <f t="shared" si="16"/>
        <v>45940</v>
      </c>
      <c r="X19" s="158">
        <f t="shared" si="16"/>
        <v>45941</v>
      </c>
      <c r="Y19" s="159"/>
      <c r="AB19" s="121" t="str">
        <f>$R$41</f>
        <v>🍪이벤트성</v>
      </c>
      <c r="AC19" s="122">
        <f>$X$47</f>
        <v>0</v>
      </c>
      <c r="AD19" s="123">
        <f t="shared" si="4"/>
        <v>10.0011</v>
      </c>
      <c r="AE19" s="123">
        <f t="shared" si="5"/>
        <v>10.0009</v>
      </c>
      <c r="AF19" s="123" t="str">
        <f t="shared" si="6"/>
        <v>🍪기타</v>
      </c>
      <c r="AG19" s="122">
        <f t="shared" si="7"/>
        <v>0</v>
      </c>
    </row>
    <row r="20">
      <c r="C20" s="160" t="s">
        <v>142</v>
      </c>
      <c r="D20" s="161">
        <f>D18/D12</f>
        <v>0.4220593556</v>
      </c>
      <c r="E20" s="162" t="s">
        <v>65</v>
      </c>
      <c r="F20" s="163">
        <f>SUM($F$9:$F$19)</f>
        <v>3105470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352920</v>
      </c>
      <c r="AD20" s="123">
        <f t="shared" si="4"/>
        <v>4.0012</v>
      </c>
      <c r="AE20" s="123">
        <f t="shared" si="5"/>
        <v>10.0011</v>
      </c>
      <c r="AF20" s="123" t="str">
        <f t="shared" si="6"/>
        <v>🍪이벤트성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50250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0</v>
      </c>
      <c r="M26" s="45"/>
      <c r="N26" s="41" t="s">
        <v>28</v>
      </c>
      <c r="O26" s="179"/>
      <c r="P26" s="115">
        <f t="shared" si="20"/>
        <v>15900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0</v>
      </c>
      <c r="Y26" s="145"/>
    </row>
    <row r="27">
      <c r="C27" s="45"/>
      <c r="D27" s="41" t="s">
        <v>6</v>
      </c>
      <c r="E27" s="179"/>
      <c r="F27" s="115">
        <f t="shared" si="18"/>
        <v>4399920</v>
      </c>
      <c r="H27" s="45"/>
      <c r="I27" s="41" t="s">
        <v>17</v>
      </c>
      <c r="J27" s="179"/>
      <c r="K27" s="115">
        <f t="shared" si="19"/>
        <v>0</v>
      </c>
      <c r="M27" s="45"/>
      <c r="N27" s="41" t="s">
        <v>29</v>
      </c>
      <c r="O27" s="179"/>
      <c r="P27" s="115">
        <f t="shared" si="20"/>
        <v>9300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0</v>
      </c>
      <c r="M28" s="45"/>
      <c r="N28" s="41" t="s">
        <v>30</v>
      </c>
      <c r="O28" s="179"/>
      <c r="P28" s="115">
        <f t="shared" si="20"/>
        <v>94800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0</v>
      </c>
      <c r="Y28" s="145"/>
    </row>
    <row r="29">
      <c r="C29" s="45"/>
      <c r="D29" s="41" t="s">
        <v>8</v>
      </c>
      <c r="E29" s="179"/>
      <c r="F29" s="115">
        <f t="shared" si="18"/>
        <v>989630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0</v>
      </c>
      <c r="M31" s="187" t="str">
        <f>IF(M25=0,"","총"&amp;M25)</f>
        <v>총🍪식비</v>
      </c>
      <c r="N31" s="188"/>
      <c r="O31" s="175"/>
      <c r="P31" s="189">
        <f>SUM(P25:P30)</f>
        <v>170250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0</v>
      </c>
      <c r="M32" s="184"/>
      <c r="N32" s="191"/>
      <c r="O32" s="185"/>
      <c r="P32" s="193">
        <f>P31-O25</f>
        <v>170250</v>
      </c>
      <c r="R32" s="184"/>
      <c r="S32" s="191"/>
      <c r="T32" s="191"/>
      <c r="U32" s="191"/>
      <c r="V32" s="191"/>
      <c r="W32" s="185"/>
      <c r="X32" s="194">
        <f>X31-V25</f>
        <v>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5389550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307270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72090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0</v>
      </c>
      <c r="Y33" s="145"/>
    </row>
    <row r="34">
      <c r="C34" s="184"/>
      <c r="D34" s="191"/>
      <c r="E34" s="185"/>
      <c r="F34" s="195">
        <f>F33-E25</f>
        <v>5389550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695600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7890</v>
      </c>
      <c r="M35" s="45"/>
      <c r="N35" s="41" t="s">
        <v>29</v>
      </c>
      <c r="O35" s="179"/>
      <c r="P35" s="115">
        <f t="shared" si="23"/>
        <v>27800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88010</v>
      </c>
      <c r="M36" s="45"/>
      <c r="N36" s="41" t="s">
        <v>30</v>
      </c>
      <c r="O36" s="179"/>
      <c r="P36" s="115">
        <f t="shared" si="23"/>
        <v>146600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30000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130000</v>
      </c>
      <c r="M37" s="45"/>
      <c r="N37" s="41" t="s">
        <v>8</v>
      </c>
      <c r="O37" s="179"/>
      <c r="P37" s="115">
        <f t="shared" si="23"/>
        <v>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151000</v>
      </c>
      <c r="Y37" s="145"/>
    </row>
    <row r="38">
      <c r="C38" s="45"/>
      <c r="D38" s="41" t="s">
        <v>13</v>
      </c>
      <c r="E38" s="179"/>
      <c r="F38" s="115">
        <f t="shared" si="25"/>
        <v>100000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533170</v>
      </c>
      <c r="M39" s="187" t="str">
        <f>IF(M33=0,"","총"&amp;M33)</f>
        <v>총🐻식비</v>
      </c>
      <c r="N39" s="188"/>
      <c r="O39" s="175"/>
      <c r="P39" s="189">
        <f>SUM(P33:P38)</f>
        <v>246490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876600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533170</v>
      </c>
      <c r="M40" s="184"/>
      <c r="N40" s="191"/>
      <c r="O40" s="185"/>
      <c r="P40" s="193">
        <f>P39-O33</f>
        <v>246490</v>
      </c>
      <c r="R40" s="184"/>
      <c r="S40" s="191"/>
      <c r="T40" s="191"/>
      <c r="U40" s="191"/>
      <c r="V40" s="191"/>
      <c r="W40" s="185"/>
      <c r="X40" s="194">
        <f>X39-V33</f>
        <v>876600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555100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0</v>
      </c>
      <c r="M42" s="45"/>
      <c r="N42" s="41" t="s">
        <v>34</v>
      </c>
      <c r="O42" s="179"/>
      <c r="P42" s="115">
        <f t="shared" si="27"/>
        <v>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100000</v>
      </c>
      <c r="H43" s="45"/>
      <c r="I43" s="41" t="s">
        <v>8</v>
      </c>
      <c r="J43" s="179"/>
      <c r="K43" s="115">
        <f t="shared" si="26"/>
        <v>71000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100000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71000</v>
      </c>
      <c r="M47" s="187" t="str">
        <f>IF(M41=0,"","총"&amp;M41)</f>
        <v>총🍪여가비</v>
      </c>
      <c r="N47" s="188"/>
      <c r="O47" s="175"/>
      <c r="P47" s="189">
        <f>SUM(P41:P46)</f>
        <v>555100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0</v>
      </c>
      <c r="Y47" s="145"/>
    </row>
    <row r="48">
      <c r="H48" s="184"/>
      <c r="I48" s="191"/>
      <c r="J48" s="185"/>
      <c r="K48" s="193">
        <f>K47-J41</f>
        <v>71000</v>
      </c>
      <c r="M48" s="184"/>
      <c r="N48" s="191"/>
      <c r="O48" s="185"/>
      <c r="P48" s="193">
        <f>P47-O41</f>
        <v>555100</v>
      </c>
      <c r="R48" s="184"/>
      <c r="S48" s="191"/>
      <c r="T48" s="191"/>
      <c r="U48" s="191"/>
      <c r="V48" s="191"/>
      <c r="W48" s="185"/>
      <c r="X48" s="194">
        <f>X47-V41</f>
        <v>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73890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100000</v>
      </c>
      <c r="Y49" s="145"/>
    </row>
    <row r="50">
      <c r="H50" s="45"/>
      <c r="I50" s="41" t="s">
        <v>24</v>
      </c>
      <c r="J50" s="179"/>
      <c r="K50" s="115">
        <f t="shared" si="29"/>
        <v>47800</v>
      </c>
      <c r="M50" s="45"/>
      <c r="N50" s="41" t="s">
        <v>34</v>
      </c>
      <c r="O50" s="179"/>
      <c r="P50" s="115">
        <f t="shared" si="30"/>
        <v>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32800</v>
      </c>
      <c r="Y50" s="145"/>
    </row>
    <row r="51">
      <c r="H51" s="45"/>
      <c r="I51" s="41" t="s">
        <v>8</v>
      </c>
      <c r="J51" s="179"/>
      <c r="K51" s="115">
        <f t="shared" si="29"/>
        <v>38620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188000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49000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32120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86420</v>
      </c>
      <c r="M55" s="187" t="str">
        <f>IF(M49=0,"","총"&amp;M49)</f>
        <v>총🐻여가비</v>
      </c>
      <c r="N55" s="188"/>
      <c r="O55" s="175"/>
      <c r="P55" s="189">
        <f>SUM(P49:P54)</f>
        <v>122890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352920</v>
      </c>
      <c r="Y55" s="145"/>
    </row>
    <row r="56">
      <c r="H56" s="196"/>
      <c r="I56" s="197"/>
      <c r="J56" s="198"/>
      <c r="K56" s="200">
        <f>K55-J49</f>
        <v>86420</v>
      </c>
      <c r="M56" s="196"/>
      <c r="N56" s="197"/>
      <c r="O56" s="198"/>
      <c r="P56" s="200">
        <f>P55-O49</f>
        <v>122890</v>
      </c>
      <c r="R56" s="196"/>
      <c r="S56" s="197"/>
      <c r="T56" s="197"/>
      <c r="U56" s="197"/>
      <c r="V56" s="197"/>
      <c r="W56" s="198"/>
      <c r="X56" s="201">
        <f>X55-V49</f>
        <v>352920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-3014840</v>
      </c>
      <c r="Y61" s="8"/>
    </row>
    <row r="62">
      <c r="H62" s="208">
        <v>45901.0</v>
      </c>
      <c r="I62" s="209" t="s">
        <v>21</v>
      </c>
      <c r="J62" s="209" t="s">
        <v>20</v>
      </c>
      <c r="K62" s="210">
        <v>10000.0</v>
      </c>
      <c r="L62" s="211" t="s">
        <v>62</v>
      </c>
      <c r="M62" s="143"/>
      <c r="N62" s="211" t="s">
        <v>419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IFERROR(__xludf.DUMMYFUNCTION("FILTER('설정시트'!$D$7:$L$20,'설정시트'!$C$7:$C$20=I62)"),"관리비")</f>
        <v>관리비</v>
      </c>
      <c r="AC62" s="214" t="str">
        <f>IFERROR(__xludf.DUMMYFUNCTION("""COMPUTED_VALUE"""),"대출이자")</f>
        <v>대출이자</v>
      </c>
      <c r="AD62" s="214" t="str">
        <f>IFERROR(__xludf.DUMMYFUNCTION("""COMPUTED_VALUE"""),"통신비")</f>
        <v>통신비</v>
      </c>
      <c r="AE62" s="214" t="str">
        <f>IFERROR(__xludf.DUMMYFUNCTION("""COMPUTED_VALUE"""),"보험료")</f>
        <v>보험료</v>
      </c>
      <c r="AF62" s="214" t="str">
        <f>IFERROR(__xludf.DUMMYFUNCTION("""COMPUTED_VALUE"""),"곗돈")</f>
        <v>곗돈</v>
      </c>
      <c r="AG62" s="214"/>
      <c r="AH62" s="214"/>
      <c r="AI62" s="214"/>
      <c r="AJ62" s="215"/>
    </row>
    <row r="63">
      <c r="H63" s="208">
        <v>45902.0</v>
      </c>
      <c r="I63" s="209" t="s">
        <v>45</v>
      </c>
      <c r="J63" s="209" t="s">
        <v>8</v>
      </c>
      <c r="K63" s="210">
        <v>1000.0</v>
      </c>
      <c r="L63" s="211" t="s">
        <v>61</v>
      </c>
      <c r="M63" s="143"/>
      <c r="N63" s="211" t="s">
        <v>813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IFERROR(__xludf.DUMMYFUNCTION("FILTER('설정시트'!$D$7:$L$20,'설정시트'!$C$7:$C$20=I63)"),"약국")</f>
        <v>약국</v>
      </c>
      <c r="AC63" s="214" t="str">
        <f>IFERROR(__xludf.DUMMYFUNCTION("""COMPUTED_VALUE"""),"병원비")</f>
        <v>병원비</v>
      </c>
      <c r="AD63" s="214" t="str">
        <f>IFERROR(__xludf.DUMMYFUNCTION("""COMPUTED_VALUE"""),"영양제")</f>
        <v>영양제</v>
      </c>
      <c r="AE63" s="214" t="str">
        <f>IFERROR(__xludf.DUMMYFUNCTION("""COMPUTED_VALUE"""),"교통비")</f>
        <v>교통비</v>
      </c>
      <c r="AF63" s="214" t="str">
        <f>IFERROR(__xludf.DUMMYFUNCTION("""COMPUTED_VALUE"""),"주유비")</f>
        <v>주유비</v>
      </c>
      <c r="AG63" s="214"/>
      <c r="AH63" s="214" t="str">
        <f>IFERROR(__xludf.DUMMYFUNCTION("""COMPUTED_VALUE"""),"기타")</f>
        <v>기타</v>
      </c>
      <c r="AI63" s="214"/>
      <c r="AJ63" s="215"/>
    </row>
    <row r="64">
      <c r="H64" s="208">
        <v>45902.0</v>
      </c>
      <c r="I64" s="209" t="s">
        <v>45</v>
      </c>
      <c r="J64" s="209" t="s">
        <v>8</v>
      </c>
      <c r="K64" s="210">
        <v>600.0</v>
      </c>
      <c r="L64" s="211" t="s">
        <v>62</v>
      </c>
      <c r="M64" s="143"/>
      <c r="N64" s="211" t="s">
        <v>814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IFERROR(__xludf.DUMMYFUNCTION("FILTER('설정시트'!$D$7:$L$20,'설정시트'!$C$7:$C$20=I64)"),"약국")</f>
        <v>약국</v>
      </c>
      <c r="AC64" s="214" t="str">
        <f>IFERROR(__xludf.DUMMYFUNCTION("""COMPUTED_VALUE"""),"병원비")</f>
        <v>병원비</v>
      </c>
      <c r="AD64" s="214" t="str">
        <f>IFERROR(__xludf.DUMMYFUNCTION("""COMPUTED_VALUE"""),"영양제")</f>
        <v>영양제</v>
      </c>
      <c r="AE64" s="214" t="str">
        <f>IFERROR(__xludf.DUMMYFUNCTION("""COMPUTED_VALUE"""),"교통비")</f>
        <v>교통비</v>
      </c>
      <c r="AF64" s="214" t="str">
        <f>IFERROR(__xludf.DUMMYFUNCTION("""COMPUTED_VALUE"""),"주유비")</f>
        <v>주유비</v>
      </c>
      <c r="AG64" s="214"/>
      <c r="AH64" s="214" t="str">
        <f>IFERROR(__xludf.DUMMYFUNCTION("""COMPUTED_VALUE"""),"기타")</f>
        <v>기타</v>
      </c>
      <c r="AI64" s="214"/>
      <c r="AJ64" s="215"/>
    </row>
    <row r="65">
      <c r="H65" s="208">
        <v>45902.0</v>
      </c>
      <c r="I65" s="209" t="s">
        <v>3</v>
      </c>
      <c r="J65" s="209" t="s">
        <v>8</v>
      </c>
      <c r="K65" s="210">
        <f>166400+37000</f>
        <v>203400</v>
      </c>
      <c r="L65" s="211"/>
      <c r="M65" s="143"/>
      <c r="N65" s="211" t="s">
        <v>815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IFERROR(__xludf.DUMMYFUNCTION("FILTER('설정시트'!$D$7:$L$20,'설정시트'!$C$7:$C$20=I65)"),"🍪 월급")</f>
        <v>🍪 월급</v>
      </c>
      <c r="AC65" s="214" t="str">
        <f>IFERROR(__xludf.DUMMYFUNCTION("""COMPUTED_VALUE"""),"🍪 부수입")</f>
        <v>🍪 부수입</v>
      </c>
      <c r="AD65" s="214" t="str">
        <f>IFERROR(__xludf.DUMMYFUNCTION("""COMPUTED_VALUE"""),"🐻 월급")</f>
        <v>🐻 월급</v>
      </c>
      <c r="AE65" s="214" t="str">
        <f>IFERROR(__xludf.DUMMYFUNCTION("""COMPUTED_VALUE"""),"🐻 부수입")</f>
        <v>🐻 부수입</v>
      </c>
      <c r="AF65" s="214" t="str">
        <f>IFERROR(__xludf.DUMMYFUNCTION("""COMPUTED_VALUE"""),"기타")</f>
        <v>기타</v>
      </c>
      <c r="AG65" s="214"/>
      <c r="AH65" s="214"/>
      <c r="AI65" s="214"/>
      <c r="AJ65" s="215"/>
    </row>
    <row r="66">
      <c r="H66" s="208">
        <v>45901.0</v>
      </c>
      <c r="I66" s="209" t="s">
        <v>38</v>
      </c>
      <c r="J66" s="209" t="s">
        <v>33</v>
      </c>
      <c r="K66" s="210">
        <v>41640.0</v>
      </c>
      <c r="L66" s="211" t="s">
        <v>64</v>
      </c>
      <c r="M66" s="143"/>
      <c r="N66" s="211" t="s">
        <v>816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IFERROR(__xludf.DUMMYFUNCTION("FILTER('설정시트'!$D$7:$L$20,'설정시트'!$C$7:$C$20=I66)"),"의류/잡화")</f>
        <v>의류/잡화</v>
      </c>
      <c r="AC66" s="214" t="str">
        <f>IFERROR(__xludf.DUMMYFUNCTION("""COMPUTED_VALUE"""),"OTT")</f>
        <v>OTT</v>
      </c>
      <c r="AD66" s="214" t="str">
        <f>IFERROR(__xludf.DUMMYFUNCTION("""COMPUTED_VALUE"""),"문화생활")</f>
        <v>문화생활</v>
      </c>
      <c r="AE66" s="214" t="str">
        <f>IFERROR(__xludf.DUMMYFUNCTION("""COMPUTED_VALUE"""),"자기계발")</f>
        <v>자기계발</v>
      </c>
      <c r="AF66" s="214" t="str">
        <f>IFERROR(__xludf.DUMMYFUNCTION("""COMPUTED_VALUE"""),"미용")</f>
        <v>미용</v>
      </c>
      <c r="AG66" s="214"/>
      <c r="AH66" s="214" t="str">
        <f>IFERROR(__xludf.DUMMYFUNCTION("""COMPUTED_VALUE"""),"기타")</f>
        <v>기타</v>
      </c>
      <c r="AI66" s="214"/>
      <c r="AJ66" s="215"/>
    </row>
    <row r="67">
      <c r="H67" s="208">
        <v>45901.0</v>
      </c>
      <c r="I67" s="209" t="s">
        <v>52</v>
      </c>
      <c r="J67" s="209" t="s">
        <v>48</v>
      </c>
      <c r="K67" s="210">
        <v>32800.0</v>
      </c>
      <c r="L67" s="211" t="s">
        <v>64</v>
      </c>
      <c r="M67" s="143"/>
      <c r="N67" s="211" t="s">
        <v>817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IFERROR(__xludf.DUMMYFUNCTION("FILTER('설정시트'!$D$7:$L$20,'설정시트'!$C$7:$C$20=I67)"),"축의/부의금")</f>
        <v>축의/부의금</v>
      </c>
      <c r="AC67" s="214" t="str">
        <f>IFERROR(__xludf.DUMMYFUNCTION("""COMPUTED_VALUE"""),"생신/생일선물")</f>
        <v>생신/생일선물</v>
      </c>
      <c r="AD67" s="214" t="str">
        <f>IFERROR(__xludf.DUMMYFUNCTION("""COMPUTED_VALUE"""),"명절/어버이날")</f>
        <v>명절/어버이날</v>
      </c>
      <c r="AE67" s="214" t="str">
        <f>IFERROR(__xludf.DUMMYFUNCTION("""COMPUTED_VALUE"""),"여행")</f>
        <v>여행</v>
      </c>
      <c r="AF67" s="214" t="str">
        <f>IFERROR(__xludf.DUMMYFUNCTION("""COMPUTED_VALUE"""),"기타")</f>
        <v>기타</v>
      </c>
      <c r="AG67" s="214" t="str">
        <f>IFERROR(__xludf.DUMMYFUNCTION("""COMPUTED_VALUE"""),"출산")</f>
        <v>출산</v>
      </c>
      <c r="AH67" s="214"/>
      <c r="AI67" s="214"/>
      <c r="AJ67" s="215"/>
    </row>
    <row r="68">
      <c r="H68" s="208">
        <v>45901.0</v>
      </c>
      <c r="I68" s="209" t="s">
        <v>45</v>
      </c>
      <c r="J68" s="209" t="s">
        <v>44</v>
      </c>
      <c r="K68" s="210">
        <v>101000.0</v>
      </c>
      <c r="L68" s="211" t="s">
        <v>64</v>
      </c>
      <c r="M68" s="143"/>
      <c r="N68" s="213"/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IFERROR(__xludf.DUMMYFUNCTION("FILTER('설정시트'!$D$7:$L$20,'설정시트'!$C$7:$C$20=I68)"),"약국")</f>
        <v>약국</v>
      </c>
      <c r="AC68" s="214" t="str">
        <f>IFERROR(__xludf.DUMMYFUNCTION("""COMPUTED_VALUE"""),"병원비")</f>
        <v>병원비</v>
      </c>
      <c r="AD68" s="214" t="str">
        <f>IFERROR(__xludf.DUMMYFUNCTION("""COMPUTED_VALUE"""),"영양제")</f>
        <v>영양제</v>
      </c>
      <c r="AE68" s="214" t="str">
        <f>IFERROR(__xludf.DUMMYFUNCTION("""COMPUTED_VALUE"""),"교통비")</f>
        <v>교통비</v>
      </c>
      <c r="AF68" s="214" t="str">
        <f>IFERROR(__xludf.DUMMYFUNCTION("""COMPUTED_VALUE"""),"주유비")</f>
        <v>주유비</v>
      </c>
      <c r="AG68" s="214"/>
      <c r="AH68" s="214" t="str">
        <f>IFERROR(__xludf.DUMMYFUNCTION("""COMPUTED_VALUE"""),"기타")</f>
        <v>기타</v>
      </c>
      <c r="AI68" s="214"/>
      <c r="AJ68" s="215"/>
    </row>
    <row r="69">
      <c r="H69" s="208">
        <v>45901.0</v>
      </c>
      <c r="I69" s="209" t="s">
        <v>31</v>
      </c>
      <c r="J69" s="209" t="s">
        <v>30</v>
      </c>
      <c r="K69" s="210">
        <v>63000.0</v>
      </c>
      <c r="L69" s="211" t="s">
        <v>64</v>
      </c>
      <c r="M69" s="143"/>
      <c r="N69" s="211" t="s">
        <v>818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IFERROR(__xludf.DUMMYFUNCTION("FILTER('설정시트'!$D$7:$L$20,'설정시트'!$C$7:$C$20=I69)"),"식재료비")</f>
        <v>식재료비</v>
      </c>
      <c r="AC69" s="214" t="str">
        <f>IFERROR(__xludf.DUMMYFUNCTION("""COMPUTED_VALUE"""),"회사점심")</f>
        <v>회사점심</v>
      </c>
      <c r="AD69" s="214" t="str">
        <f>IFERROR(__xludf.DUMMYFUNCTION("""COMPUTED_VALUE"""),"간식/카페")</f>
        <v>간식/카페</v>
      </c>
      <c r="AE69" s="214" t="str">
        <f>IFERROR(__xludf.DUMMYFUNCTION("""COMPUTED_VALUE"""),"외식/배달")</f>
        <v>외식/배달</v>
      </c>
      <c r="AF69" s="214" t="str">
        <f>IFERROR(__xludf.DUMMYFUNCTION("""COMPUTED_VALUE"""),"기타")</f>
        <v>기타</v>
      </c>
      <c r="AG69" s="214"/>
      <c r="AH69" s="214"/>
      <c r="AI69" s="214"/>
      <c r="AJ69" s="215"/>
    </row>
    <row r="70">
      <c r="H70" s="208">
        <v>45902.0</v>
      </c>
      <c r="I70" s="209" t="s">
        <v>31</v>
      </c>
      <c r="J70" s="209" t="s">
        <v>29</v>
      </c>
      <c r="K70" s="210">
        <v>1200.0</v>
      </c>
      <c r="L70" s="211" t="s">
        <v>64</v>
      </c>
      <c r="M70" s="143"/>
      <c r="N70" s="211" t="s">
        <v>748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IFERROR(__xludf.DUMMYFUNCTION("FILTER('설정시트'!$D$7:$L$20,'설정시트'!$C$7:$C$20=I70)"),"식재료비")</f>
        <v>식재료비</v>
      </c>
      <c r="AC70" s="214" t="str">
        <f>IFERROR(__xludf.DUMMYFUNCTION("""COMPUTED_VALUE"""),"회사점심")</f>
        <v>회사점심</v>
      </c>
      <c r="AD70" s="214" t="str">
        <f>IFERROR(__xludf.DUMMYFUNCTION("""COMPUTED_VALUE"""),"간식/카페")</f>
        <v>간식/카페</v>
      </c>
      <c r="AE70" s="214" t="str">
        <f>IFERROR(__xludf.DUMMYFUNCTION("""COMPUTED_VALUE"""),"외식/배달")</f>
        <v>외식/배달</v>
      </c>
      <c r="AF70" s="214" t="str">
        <f>IFERROR(__xludf.DUMMYFUNCTION("""COMPUTED_VALUE"""),"기타")</f>
        <v>기타</v>
      </c>
      <c r="AG70" s="214"/>
      <c r="AH70" s="214"/>
      <c r="AI70" s="214"/>
      <c r="AJ70" s="215"/>
    </row>
    <row r="71">
      <c r="H71" s="208">
        <v>45902.0</v>
      </c>
      <c r="I71" s="209" t="s">
        <v>31</v>
      </c>
      <c r="J71" s="209" t="s">
        <v>27</v>
      </c>
      <c r="K71" s="210">
        <f>15700+25550</f>
        <v>41250</v>
      </c>
      <c r="L71" s="211" t="s">
        <v>64</v>
      </c>
      <c r="M71" s="143"/>
      <c r="N71" s="211" t="s">
        <v>151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IFERROR(__xludf.DUMMYFUNCTION("FILTER('설정시트'!$D$7:$L$20,'설정시트'!$C$7:$C$20=I71)"),"식재료비")</f>
        <v>식재료비</v>
      </c>
      <c r="AC71" s="214" t="str">
        <f>IFERROR(__xludf.DUMMYFUNCTION("""COMPUTED_VALUE"""),"회사점심")</f>
        <v>회사점심</v>
      </c>
      <c r="AD71" s="214" t="str">
        <f>IFERROR(__xludf.DUMMYFUNCTION("""COMPUTED_VALUE"""),"간식/카페")</f>
        <v>간식/카페</v>
      </c>
      <c r="AE71" s="214" t="str">
        <f>IFERROR(__xludf.DUMMYFUNCTION("""COMPUTED_VALUE"""),"외식/배달")</f>
        <v>외식/배달</v>
      </c>
      <c r="AF71" s="214" t="str">
        <f>IFERROR(__xludf.DUMMYFUNCTION("""COMPUTED_VALUE"""),"기타")</f>
        <v>기타</v>
      </c>
      <c r="AG71" s="214"/>
      <c r="AH71" s="214"/>
      <c r="AI71" s="214"/>
      <c r="AJ71" s="215"/>
    </row>
    <row r="72">
      <c r="H72" s="208">
        <v>45902.0</v>
      </c>
      <c r="I72" s="209" t="s">
        <v>38</v>
      </c>
      <c r="J72" s="209" t="s">
        <v>37</v>
      </c>
      <c r="K72" s="210">
        <v>30000.0</v>
      </c>
      <c r="L72" s="211" t="s">
        <v>64</v>
      </c>
      <c r="M72" s="143"/>
      <c r="N72" s="211" t="s">
        <v>553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IFERROR(__xludf.DUMMYFUNCTION("FILTER('설정시트'!$D$7:$L$20,'설정시트'!$C$7:$C$20=I72)"),"의류/잡화")</f>
        <v>의류/잡화</v>
      </c>
      <c r="AC72" s="214" t="str">
        <f>IFERROR(__xludf.DUMMYFUNCTION("""COMPUTED_VALUE"""),"OTT")</f>
        <v>OTT</v>
      </c>
      <c r="AD72" s="214" t="str">
        <f>IFERROR(__xludf.DUMMYFUNCTION("""COMPUTED_VALUE"""),"문화생활")</f>
        <v>문화생활</v>
      </c>
      <c r="AE72" s="214" t="str">
        <f>IFERROR(__xludf.DUMMYFUNCTION("""COMPUTED_VALUE"""),"자기계발")</f>
        <v>자기계발</v>
      </c>
      <c r="AF72" s="214" t="str">
        <f>IFERROR(__xludf.DUMMYFUNCTION("""COMPUTED_VALUE"""),"미용")</f>
        <v>미용</v>
      </c>
      <c r="AG72" s="214"/>
      <c r="AH72" s="214" t="str">
        <f>IFERROR(__xludf.DUMMYFUNCTION("""COMPUTED_VALUE"""),"기타")</f>
        <v>기타</v>
      </c>
      <c r="AI72" s="214"/>
      <c r="AJ72" s="215"/>
    </row>
    <row r="73">
      <c r="H73" s="208">
        <v>45902.0</v>
      </c>
      <c r="I73" s="209" t="s">
        <v>38</v>
      </c>
      <c r="J73" s="209" t="s">
        <v>33</v>
      </c>
      <c r="K73" s="210">
        <v>32250.0</v>
      </c>
      <c r="L73" s="211" t="s">
        <v>64</v>
      </c>
      <c r="M73" s="143"/>
      <c r="N73" s="211" t="s">
        <v>819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IFERROR(__xludf.DUMMYFUNCTION("FILTER('설정시트'!$D$7:$L$20,'설정시트'!$C$7:$C$20=I73)"),"의류/잡화")</f>
        <v>의류/잡화</v>
      </c>
      <c r="AC73" s="214" t="str">
        <f>IFERROR(__xludf.DUMMYFUNCTION("""COMPUTED_VALUE"""),"OTT")</f>
        <v>OTT</v>
      </c>
      <c r="AD73" s="214" t="str">
        <f>IFERROR(__xludf.DUMMYFUNCTION("""COMPUTED_VALUE"""),"문화생활")</f>
        <v>문화생활</v>
      </c>
      <c r="AE73" s="214" t="str">
        <f>IFERROR(__xludf.DUMMYFUNCTION("""COMPUTED_VALUE"""),"자기계발")</f>
        <v>자기계발</v>
      </c>
      <c r="AF73" s="214" t="str">
        <f>IFERROR(__xludf.DUMMYFUNCTION("""COMPUTED_VALUE"""),"미용")</f>
        <v>미용</v>
      </c>
      <c r="AG73" s="214"/>
      <c r="AH73" s="214" t="str">
        <f>IFERROR(__xludf.DUMMYFUNCTION("""COMPUTED_VALUE"""),"기타")</f>
        <v>기타</v>
      </c>
      <c r="AI73" s="214"/>
      <c r="AJ73" s="215"/>
    </row>
    <row r="74">
      <c r="H74" s="208">
        <v>45902.0</v>
      </c>
      <c r="I74" s="209" t="s">
        <v>52</v>
      </c>
      <c r="J74" s="209" t="s">
        <v>8</v>
      </c>
      <c r="K74" s="210">
        <v>32120.0</v>
      </c>
      <c r="L74" s="211" t="s">
        <v>64</v>
      </c>
      <c r="M74" s="143"/>
      <c r="N74" s="211" t="s">
        <v>820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IFERROR(__xludf.DUMMYFUNCTION("FILTER('설정시트'!$D$7:$L$20,'설정시트'!$C$7:$C$20=I74)"),"축의/부의금")</f>
        <v>축의/부의금</v>
      </c>
      <c r="AC74" s="214" t="str">
        <f>IFERROR(__xludf.DUMMYFUNCTION("""COMPUTED_VALUE"""),"생신/생일선물")</f>
        <v>생신/생일선물</v>
      </c>
      <c r="AD74" s="214" t="str">
        <f>IFERROR(__xludf.DUMMYFUNCTION("""COMPUTED_VALUE"""),"명절/어버이날")</f>
        <v>명절/어버이날</v>
      </c>
      <c r="AE74" s="214" t="str">
        <f>IFERROR(__xludf.DUMMYFUNCTION("""COMPUTED_VALUE"""),"여행")</f>
        <v>여행</v>
      </c>
      <c r="AF74" s="214" t="str">
        <f>IFERROR(__xludf.DUMMYFUNCTION("""COMPUTED_VALUE"""),"기타")</f>
        <v>기타</v>
      </c>
      <c r="AG74" s="214" t="str">
        <f>IFERROR(__xludf.DUMMYFUNCTION("""COMPUTED_VALUE"""),"출산")</f>
        <v>출산</v>
      </c>
      <c r="AH74" s="214"/>
      <c r="AI74" s="214"/>
      <c r="AJ74" s="215"/>
    </row>
    <row r="75">
      <c r="H75" s="208">
        <v>45903.0</v>
      </c>
      <c r="I75" s="209" t="s">
        <v>45</v>
      </c>
      <c r="J75" s="209" t="s">
        <v>41</v>
      </c>
      <c r="K75" s="210">
        <v>173900.0</v>
      </c>
      <c r="L75" s="211" t="s">
        <v>64</v>
      </c>
      <c r="M75" s="143"/>
      <c r="N75" s="211" t="s">
        <v>821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IFERROR(__xludf.DUMMYFUNCTION("FILTER('설정시트'!$D$7:$L$20,'설정시트'!$C$7:$C$20=I75)"),"약국")</f>
        <v>약국</v>
      </c>
      <c r="AC75" s="214" t="str">
        <f>IFERROR(__xludf.DUMMYFUNCTION("""COMPUTED_VALUE"""),"병원비")</f>
        <v>병원비</v>
      </c>
      <c r="AD75" s="214" t="str">
        <f>IFERROR(__xludf.DUMMYFUNCTION("""COMPUTED_VALUE"""),"영양제")</f>
        <v>영양제</v>
      </c>
      <c r="AE75" s="214" t="str">
        <f>IFERROR(__xludf.DUMMYFUNCTION("""COMPUTED_VALUE"""),"교통비")</f>
        <v>교통비</v>
      </c>
      <c r="AF75" s="214" t="str">
        <f>IFERROR(__xludf.DUMMYFUNCTION("""COMPUTED_VALUE"""),"주유비")</f>
        <v>주유비</v>
      </c>
      <c r="AG75" s="214"/>
      <c r="AH75" s="214" t="str">
        <f>IFERROR(__xludf.DUMMYFUNCTION("""COMPUTED_VALUE"""),"기타")</f>
        <v>기타</v>
      </c>
      <c r="AI75" s="214"/>
      <c r="AJ75" s="215"/>
    </row>
    <row r="76">
      <c r="H76" s="208">
        <v>45904.0</v>
      </c>
      <c r="I76" s="209" t="s">
        <v>31</v>
      </c>
      <c r="J76" s="209" t="s">
        <v>29</v>
      </c>
      <c r="K76" s="210">
        <v>1200.0</v>
      </c>
      <c r="L76" s="211" t="s">
        <v>64</v>
      </c>
      <c r="M76" s="143"/>
      <c r="N76" s="211" t="s">
        <v>748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IFERROR(__xludf.DUMMYFUNCTION("FILTER('설정시트'!$D$7:$L$20,'설정시트'!$C$7:$C$20=I76)"),"식재료비")</f>
        <v>식재료비</v>
      </c>
      <c r="AC76" s="214" t="str">
        <f>IFERROR(__xludf.DUMMYFUNCTION("""COMPUTED_VALUE"""),"회사점심")</f>
        <v>회사점심</v>
      </c>
      <c r="AD76" s="214" t="str">
        <f>IFERROR(__xludf.DUMMYFUNCTION("""COMPUTED_VALUE"""),"간식/카페")</f>
        <v>간식/카페</v>
      </c>
      <c r="AE76" s="214" t="str">
        <f>IFERROR(__xludf.DUMMYFUNCTION("""COMPUTED_VALUE"""),"외식/배달")</f>
        <v>외식/배달</v>
      </c>
      <c r="AF76" s="214" t="str">
        <f>IFERROR(__xludf.DUMMYFUNCTION("""COMPUTED_VALUE"""),"기타")</f>
        <v>기타</v>
      </c>
      <c r="AG76" s="214"/>
      <c r="AH76" s="214"/>
      <c r="AI76" s="214"/>
      <c r="AJ76" s="215"/>
    </row>
    <row r="77">
      <c r="H77" s="208">
        <v>45904.0</v>
      </c>
      <c r="I77" s="209" t="s">
        <v>31</v>
      </c>
      <c r="J77" s="209" t="s">
        <v>29</v>
      </c>
      <c r="K77" s="210">
        <v>1100.0</v>
      </c>
      <c r="L77" s="211" t="s">
        <v>64</v>
      </c>
      <c r="M77" s="143"/>
      <c r="N77" s="211" t="s">
        <v>822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IFERROR(__xludf.DUMMYFUNCTION("FILTER('설정시트'!$D$7:$L$20,'설정시트'!$C$7:$C$20=I77)"),"식재료비")</f>
        <v>식재료비</v>
      </c>
      <c r="AC77" s="214" t="str">
        <f>IFERROR(__xludf.DUMMYFUNCTION("""COMPUTED_VALUE"""),"회사점심")</f>
        <v>회사점심</v>
      </c>
      <c r="AD77" s="214" t="str">
        <f>IFERROR(__xludf.DUMMYFUNCTION("""COMPUTED_VALUE"""),"간식/카페")</f>
        <v>간식/카페</v>
      </c>
      <c r="AE77" s="214" t="str">
        <f>IFERROR(__xludf.DUMMYFUNCTION("""COMPUTED_VALUE"""),"외식/배달")</f>
        <v>외식/배달</v>
      </c>
      <c r="AF77" s="214" t="str">
        <f>IFERROR(__xludf.DUMMYFUNCTION("""COMPUTED_VALUE"""),"기타")</f>
        <v>기타</v>
      </c>
      <c r="AG77" s="214"/>
      <c r="AH77" s="214"/>
      <c r="AI77" s="214"/>
      <c r="AJ77" s="215"/>
    </row>
    <row r="78">
      <c r="H78" s="208">
        <v>45904.0</v>
      </c>
      <c r="I78" s="209" t="s">
        <v>26</v>
      </c>
      <c r="J78" s="209" t="s">
        <v>30</v>
      </c>
      <c r="K78" s="210">
        <v>47000.0</v>
      </c>
      <c r="L78" s="211" t="s">
        <v>64</v>
      </c>
      <c r="M78" s="143"/>
      <c r="N78" s="211" t="s">
        <v>804</v>
      </c>
      <c r="O78" s="212"/>
      <c r="P78" s="212"/>
      <c r="Q78" s="143"/>
      <c r="R78" s="211" t="s">
        <v>823</v>
      </c>
      <c r="S78" s="212"/>
      <c r="T78" s="145"/>
      <c r="AB78" s="214" t="str">
        <f>IFERROR(__xludf.DUMMYFUNCTION("FILTER('설정시트'!$D$7:$L$20,'설정시트'!$C$7:$C$20=I78)"),"식재료비")</f>
        <v>식재료비</v>
      </c>
      <c r="AC78" s="214" t="str">
        <f>IFERROR(__xludf.DUMMYFUNCTION("""COMPUTED_VALUE"""),"회사점심")</f>
        <v>회사점심</v>
      </c>
      <c r="AD78" s="214" t="str">
        <f>IFERROR(__xludf.DUMMYFUNCTION("""COMPUTED_VALUE"""),"간식/카페")</f>
        <v>간식/카페</v>
      </c>
      <c r="AE78" s="214" t="str">
        <f>IFERROR(__xludf.DUMMYFUNCTION("""COMPUTED_VALUE"""),"외식/배달")</f>
        <v>외식/배달</v>
      </c>
      <c r="AF78" s="214" t="str">
        <f>IFERROR(__xludf.DUMMYFUNCTION("""COMPUTED_VALUE"""),"기타")</f>
        <v>기타</v>
      </c>
      <c r="AG78" s="214"/>
      <c r="AH78" s="214"/>
      <c r="AI78" s="214"/>
      <c r="AJ78" s="215"/>
    </row>
    <row r="79">
      <c r="H79" s="208">
        <v>45904.0</v>
      </c>
      <c r="I79" s="209" t="s">
        <v>32</v>
      </c>
      <c r="J79" s="209" t="s">
        <v>33</v>
      </c>
      <c r="K79" s="210">
        <f>382100-51000</f>
        <v>331100</v>
      </c>
      <c r="L79" s="211" t="s">
        <v>64</v>
      </c>
      <c r="M79" s="143"/>
      <c r="N79" s="211" t="s">
        <v>824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IFERROR(__xludf.DUMMYFUNCTION("FILTER('설정시트'!$D$7:$L$20,'설정시트'!$C$7:$C$20=I79)"),"의류/잡화")</f>
        <v>의류/잡화</v>
      </c>
      <c r="AC79" s="214" t="str">
        <f>IFERROR(__xludf.DUMMYFUNCTION("""COMPUTED_VALUE"""),"OTT")</f>
        <v>OTT</v>
      </c>
      <c r="AD79" s="214" t="str">
        <f>IFERROR(__xludf.DUMMYFUNCTION("""COMPUTED_VALUE"""),"문화생활")</f>
        <v>문화생활</v>
      </c>
      <c r="AE79" s="214" t="str">
        <f>IFERROR(__xludf.DUMMYFUNCTION("""COMPUTED_VALUE"""),"자기계발")</f>
        <v>자기계발</v>
      </c>
      <c r="AF79" s="214" t="str">
        <f>IFERROR(__xludf.DUMMYFUNCTION("""COMPUTED_VALUE"""),"미용")</f>
        <v>미용</v>
      </c>
      <c r="AG79" s="214"/>
      <c r="AH79" s="214" t="str">
        <f>IFERROR(__xludf.DUMMYFUNCTION("""COMPUTED_VALUE"""),"기타")</f>
        <v>기타</v>
      </c>
      <c r="AI79" s="214"/>
      <c r="AJ79" s="215"/>
    </row>
    <row r="80">
      <c r="H80" s="208">
        <v>45906.0</v>
      </c>
      <c r="I80" s="209" t="s">
        <v>31</v>
      </c>
      <c r="J80" s="209" t="s">
        <v>30</v>
      </c>
      <c r="K80" s="210">
        <v>26400.0</v>
      </c>
      <c r="L80" s="211" t="s">
        <v>64</v>
      </c>
      <c r="M80" s="143"/>
      <c r="N80" s="211" t="s">
        <v>825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IFERROR(__xludf.DUMMYFUNCTION("FILTER('설정시트'!$D$7:$L$20,'설정시트'!$C$7:$C$20=I80)"),"식재료비")</f>
        <v>식재료비</v>
      </c>
      <c r="AC80" s="214" t="str">
        <f>IFERROR(__xludf.DUMMYFUNCTION("""COMPUTED_VALUE"""),"회사점심")</f>
        <v>회사점심</v>
      </c>
      <c r="AD80" s="214" t="str">
        <f>IFERROR(__xludf.DUMMYFUNCTION("""COMPUTED_VALUE"""),"간식/카페")</f>
        <v>간식/카페</v>
      </c>
      <c r="AE80" s="214" t="str">
        <f>IFERROR(__xludf.DUMMYFUNCTION("""COMPUTED_VALUE"""),"외식/배달")</f>
        <v>외식/배달</v>
      </c>
      <c r="AF80" s="214" t="str">
        <f>IFERROR(__xludf.DUMMYFUNCTION("""COMPUTED_VALUE"""),"기타")</f>
        <v>기타</v>
      </c>
      <c r="AG80" s="214"/>
      <c r="AH80" s="214"/>
      <c r="AI80" s="214"/>
      <c r="AJ80" s="215"/>
    </row>
    <row r="81">
      <c r="H81" s="208">
        <v>45907.0</v>
      </c>
      <c r="I81" s="209" t="s">
        <v>31</v>
      </c>
      <c r="J81" s="209" t="s">
        <v>30</v>
      </c>
      <c r="K81" s="210">
        <v>30800.0</v>
      </c>
      <c r="L81" s="211" t="s">
        <v>64</v>
      </c>
      <c r="M81" s="143"/>
      <c r="N81" s="211" t="s">
        <v>826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IFERROR(__xludf.DUMMYFUNCTION("FILTER('설정시트'!$D$7:$L$20,'설정시트'!$C$7:$C$20=I81)"),"식재료비")</f>
        <v>식재료비</v>
      </c>
      <c r="AC81" s="214" t="str">
        <f>IFERROR(__xludf.DUMMYFUNCTION("""COMPUTED_VALUE"""),"회사점심")</f>
        <v>회사점심</v>
      </c>
      <c r="AD81" s="214" t="str">
        <f>IFERROR(__xludf.DUMMYFUNCTION("""COMPUTED_VALUE"""),"간식/카페")</f>
        <v>간식/카페</v>
      </c>
      <c r="AE81" s="214" t="str">
        <f>IFERROR(__xludf.DUMMYFUNCTION("""COMPUTED_VALUE"""),"외식/배달")</f>
        <v>외식/배달</v>
      </c>
      <c r="AF81" s="214" t="str">
        <f>IFERROR(__xludf.DUMMYFUNCTION("""COMPUTED_VALUE"""),"기타")</f>
        <v>기타</v>
      </c>
      <c r="AG81" s="214"/>
      <c r="AH81" s="214"/>
      <c r="AI81" s="214"/>
      <c r="AJ81" s="215"/>
    </row>
    <row r="82">
      <c r="H82" s="208">
        <v>45905.0</v>
      </c>
      <c r="I82" s="209" t="s">
        <v>38</v>
      </c>
      <c r="J82" s="209" t="s">
        <v>37</v>
      </c>
      <c r="K82" s="210">
        <v>19000.0</v>
      </c>
      <c r="L82" s="211" t="s">
        <v>64</v>
      </c>
      <c r="M82" s="143"/>
      <c r="N82" s="211" t="s">
        <v>827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IFERROR(__xludf.DUMMYFUNCTION("FILTER('설정시트'!$D$7:$L$20,'설정시트'!$C$7:$C$20=I82)"),"의류/잡화")</f>
        <v>의류/잡화</v>
      </c>
      <c r="AC82" s="214" t="str">
        <f>IFERROR(__xludf.DUMMYFUNCTION("""COMPUTED_VALUE"""),"OTT")</f>
        <v>OTT</v>
      </c>
      <c r="AD82" s="214" t="str">
        <f>IFERROR(__xludf.DUMMYFUNCTION("""COMPUTED_VALUE"""),"문화생활")</f>
        <v>문화생활</v>
      </c>
      <c r="AE82" s="214" t="str">
        <f>IFERROR(__xludf.DUMMYFUNCTION("""COMPUTED_VALUE"""),"자기계발")</f>
        <v>자기계발</v>
      </c>
      <c r="AF82" s="214" t="str">
        <f>IFERROR(__xludf.DUMMYFUNCTION("""COMPUTED_VALUE"""),"미용")</f>
        <v>미용</v>
      </c>
      <c r="AG82" s="214"/>
      <c r="AH82" s="214" t="str">
        <f>IFERROR(__xludf.DUMMYFUNCTION("""COMPUTED_VALUE"""),"기타")</f>
        <v>기타</v>
      </c>
      <c r="AI82" s="214"/>
      <c r="AJ82" s="215"/>
    </row>
    <row r="83">
      <c r="H83" s="208">
        <v>45908.0</v>
      </c>
      <c r="I83" s="209" t="s">
        <v>26</v>
      </c>
      <c r="J83" s="209" t="s">
        <v>27</v>
      </c>
      <c r="K83" s="210">
        <v>23000.0</v>
      </c>
      <c r="L83" s="211" t="s">
        <v>64</v>
      </c>
      <c r="M83" s="143"/>
      <c r="N83" s="211" t="s">
        <v>828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IFERROR(__xludf.DUMMYFUNCTION("FILTER('설정시트'!$D$7:$L$20,'설정시트'!$C$7:$C$20=I83)"),"식재료비")</f>
        <v>식재료비</v>
      </c>
      <c r="AC83" s="214" t="str">
        <f>IFERROR(__xludf.DUMMYFUNCTION("""COMPUTED_VALUE"""),"회사점심")</f>
        <v>회사점심</v>
      </c>
      <c r="AD83" s="214" t="str">
        <f>IFERROR(__xludf.DUMMYFUNCTION("""COMPUTED_VALUE"""),"간식/카페")</f>
        <v>간식/카페</v>
      </c>
      <c r="AE83" s="214" t="str">
        <f>IFERROR(__xludf.DUMMYFUNCTION("""COMPUTED_VALUE"""),"외식/배달")</f>
        <v>외식/배달</v>
      </c>
      <c r="AF83" s="214" t="str">
        <f>IFERROR(__xludf.DUMMYFUNCTION("""COMPUTED_VALUE"""),"기타")</f>
        <v>기타</v>
      </c>
      <c r="AG83" s="214"/>
      <c r="AH83" s="214"/>
      <c r="AI83" s="214"/>
      <c r="AJ83" s="215"/>
    </row>
    <row r="84">
      <c r="H84" s="208">
        <v>45908.0</v>
      </c>
      <c r="I84" s="209" t="s">
        <v>45</v>
      </c>
      <c r="J84" s="209" t="s">
        <v>8</v>
      </c>
      <c r="K84" s="210">
        <v>4260.0</v>
      </c>
      <c r="L84" s="211" t="s">
        <v>64</v>
      </c>
      <c r="M84" s="143"/>
      <c r="N84" s="211" t="s">
        <v>829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IFERROR(__xludf.DUMMYFUNCTION("FILTER('설정시트'!$D$7:$L$20,'설정시트'!$C$7:$C$20=I84)"),"약국")</f>
        <v>약국</v>
      </c>
      <c r="AC84" s="214" t="str">
        <f>IFERROR(__xludf.DUMMYFUNCTION("""COMPUTED_VALUE"""),"병원비")</f>
        <v>병원비</v>
      </c>
      <c r="AD84" s="214" t="str">
        <f>IFERROR(__xludf.DUMMYFUNCTION("""COMPUTED_VALUE"""),"영양제")</f>
        <v>영양제</v>
      </c>
      <c r="AE84" s="214" t="str">
        <f>IFERROR(__xludf.DUMMYFUNCTION("""COMPUTED_VALUE"""),"교통비")</f>
        <v>교통비</v>
      </c>
      <c r="AF84" s="214" t="str">
        <f>IFERROR(__xludf.DUMMYFUNCTION("""COMPUTED_VALUE"""),"주유비")</f>
        <v>주유비</v>
      </c>
      <c r="AG84" s="214"/>
      <c r="AH84" s="214" t="str">
        <f>IFERROR(__xludf.DUMMYFUNCTION("""COMPUTED_VALUE"""),"기타")</f>
        <v>기타</v>
      </c>
      <c r="AI84" s="214"/>
      <c r="AJ84" s="215"/>
    </row>
    <row r="85">
      <c r="H85" s="208">
        <v>45908.0</v>
      </c>
      <c r="I85" s="209" t="s">
        <v>26</v>
      </c>
      <c r="J85" s="209" t="s">
        <v>27</v>
      </c>
      <c r="K85" s="210">
        <f>6500+3990+16760</f>
        <v>27250</v>
      </c>
      <c r="L85" s="211" t="s">
        <v>64</v>
      </c>
      <c r="M85" s="143"/>
      <c r="N85" s="211" t="s">
        <v>151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  <c r="AJ85" s="215"/>
    </row>
    <row r="86">
      <c r="H86" s="208">
        <v>45908.0</v>
      </c>
      <c r="I86" s="209" t="s">
        <v>32</v>
      </c>
      <c r="J86" s="209" t="s">
        <v>33</v>
      </c>
      <c r="K86" s="210">
        <v>224000.0</v>
      </c>
      <c r="L86" s="211" t="s">
        <v>64</v>
      </c>
      <c r="M86" s="143"/>
      <c r="N86" s="211" t="s">
        <v>830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IFERROR(__xludf.DUMMYFUNCTION("FILTER('설정시트'!$D$7:$L$20,'설정시트'!$C$7:$C$20=I86)"),"의류/잡화")</f>
        <v>의류/잡화</v>
      </c>
      <c r="AC86" s="214" t="str">
        <f>IFERROR(__xludf.DUMMYFUNCTION("""COMPUTED_VALUE"""),"OTT")</f>
        <v>OTT</v>
      </c>
      <c r="AD86" s="214" t="str">
        <f>IFERROR(__xludf.DUMMYFUNCTION("""COMPUTED_VALUE"""),"문화생활")</f>
        <v>문화생활</v>
      </c>
      <c r="AE86" s="214" t="str">
        <f>IFERROR(__xludf.DUMMYFUNCTION("""COMPUTED_VALUE"""),"자기계발")</f>
        <v>자기계발</v>
      </c>
      <c r="AF86" s="214" t="str">
        <f>IFERROR(__xludf.DUMMYFUNCTION("""COMPUTED_VALUE"""),"미용")</f>
        <v>미용</v>
      </c>
      <c r="AG86" s="214"/>
      <c r="AH86" s="214" t="str">
        <f>IFERROR(__xludf.DUMMYFUNCTION("""COMPUTED_VALUE"""),"기타")</f>
        <v>기타</v>
      </c>
      <c r="AI86" s="214"/>
      <c r="AJ86" s="215"/>
    </row>
    <row r="87">
      <c r="H87" s="208">
        <v>45909.0</v>
      </c>
      <c r="I87" s="209" t="s">
        <v>52</v>
      </c>
      <c r="J87" s="209" t="s">
        <v>47</v>
      </c>
      <c r="K87" s="210">
        <v>100000.0</v>
      </c>
      <c r="L87" s="211" t="s">
        <v>62</v>
      </c>
      <c r="M87" s="143"/>
      <c r="N87" s="211" t="s">
        <v>831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IFERROR(__xludf.DUMMYFUNCTION("FILTER('설정시트'!$D$7:$L$20,'설정시트'!$C$7:$C$20=I87)"),"축의/부의금")</f>
        <v>축의/부의금</v>
      </c>
      <c r="AC87" s="214" t="str">
        <f>IFERROR(__xludf.DUMMYFUNCTION("""COMPUTED_VALUE"""),"생신/생일선물")</f>
        <v>생신/생일선물</v>
      </c>
      <c r="AD87" s="214" t="str">
        <f>IFERROR(__xludf.DUMMYFUNCTION("""COMPUTED_VALUE"""),"명절/어버이날")</f>
        <v>명절/어버이날</v>
      </c>
      <c r="AE87" s="214" t="str">
        <f>IFERROR(__xludf.DUMMYFUNCTION("""COMPUTED_VALUE"""),"여행")</f>
        <v>여행</v>
      </c>
      <c r="AF87" s="214" t="str">
        <f>IFERROR(__xludf.DUMMYFUNCTION("""COMPUTED_VALUE"""),"기타")</f>
        <v>기타</v>
      </c>
      <c r="AG87" s="214" t="str">
        <f>IFERROR(__xludf.DUMMYFUNCTION("""COMPUTED_VALUE"""),"출산")</f>
        <v>출산</v>
      </c>
      <c r="AH87" s="214"/>
      <c r="AI87" s="214"/>
      <c r="AJ87" s="215"/>
    </row>
    <row r="88">
      <c r="H88" s="208">
        <v>45910.0</v>
      </c>
      <c r="I88" s="209" t="s">
        <v>26</v>
      </c>
      <c r="J88" s="209" t="s">
        <v>30</v>
      </c>
      <c r="K88" s="210">
        <v>27400.0</v>
      </c>
      <c r="L88" s="211" t="s">
        <v>64</v>
      </c>
      <c r="M88" s="143"/>
      <c r="N88" s="211" t="s">
        <v>832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IFERROR(__xludf.DUMMYFUNCTION("FILTER('설정시트'!$D$7:$L$20,'설정시트'!$C$7:$C$20=I88)"),"식재료비")</f>
        <v>식재료비</v>
      </c>
      <c r="AC88" s="214" t="str">
        <f>IFERROR(__xludf.DUMMYFUNCTION("""COMPUTED_VALUE"""),"회사점심")</f>
        <v>회사점심</v>
      </c>
      <c r="AD88" s="214" t="str">
        <f>IFERROR(__xludf.DUMMYFUNCTION("""COMPUTED_VALUE"""),"간식/카페")</f>
        <v>간식/카페</v>
      </c>
      <c r="AE88" s="214" t="str">
        <f>IFERROR(__xludf.DUMMYFUNCTION("""COMPUTED_VALUE"""),"외식/배달")</f>
        <v>외식/배달</v>
      </c>
      <c r="AF88" s="214" t="str">
        <f>IFERROR(__xludf.DUMMYFUNCTION("""COMPUTED_VALUE"""),"기타")</f>
        <v>기타</v>
      </c>
      <c r="AG88" s="214"/>
      <c r="AH88" s="214"/>
      <c r="AI88" s="214"/>
      <c r="AJ88" s="215"/>
    </row>
    <row r="89">
      <c r="H89" s="208">
        <v>45910.0</v>
      </c>
      <c r="I89" s="209" t="s">
        <v>45</v>
      </c>
      <c r="J89" s="209" t="s">
        <v>41</v>
      </c>
      <c r="K89" s="210">
        <v>173900.0</v>
      </c>
      <c r="L89" s="211" t="s">
        <v>64</v>
      </c>
      <c r="M89" s="143"/>
      <c r="N89" s="211" t="s">
        <v>821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IFERROR(__xludf.DUMMYFUNCTION("FILTER('설정시트'!$D$7:$L$20,'설정시트'!$C$7:$C$20=I89)"),"약국")</f>
        <v>약국</v>
      </c>
      <c r="AC89" s="214" t="str">
        <f>IFERROR(__xludf.DUMMYFUNCTION("""COMPUTED_VALUE"""),"병원비")</f>
        <v>병원비</v>
      </c>
      <c r="AD89" s="214" t="str">
        <f>IFERROR(__xludf.DUMMYFUNCTION("""COMPUTED_VALUE"""),"영양제")</f>
        <v>영양제</v>
      </c>
      <c r="AE89" s="214" t="str">
        <f>IFERROR(__xludf.DUMMYFUNCTION("""COMPUTED_VALUE"""),"교통비")</f>
        <v>교통비</v>
      </c>
      <c r="AF89" s="214" t="str">
        <f>IFERROR(__xludf.DUMMYFUNCTION("""COMPUTED_VALUE"""),"주유비")</f>
        <v>주유비</v>
      </c>
      <c r="AG89" s="214"/>
      <c r="AH89" s="214" t="str">
        <f>IFERROR(__xludf.DUMMYFUNCTION("""COMPUTED_VALUE"""),"기타")</f>
        <v>기타</v>
      </c>
      <c r="AI89" s="214"/>
      <c r="AJ89" s="215"/>
    </row>
    <row r="90">
      <c r="H90" s="208">
        <v>45911.0</v>
      </c>
      <c r="I90" s="209" t="s">
        <v>3</v>
      </c>
      <c r="J90" s="209" t="s">
        <v>8</v>
      </c>
      <c r="K90" s="210">
        <v>163900.0</v>
      </c>
      <c r="L90" s="211"/>
      <c r="M90" s="143"/>
      <c r="N90" s="211" t="s">
        <v>833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IFERROR(__xludf.DUMMYFUNCTION("FILTER('설정시트'!$D$7:$L$20,'설정시트'!$C$7:$C$20=I90)"),"🍪 월급")</f>
        <v>🍪 월급</v>
      </c>
      <c r="AC90" s="214" t="str">
        <f>IFERROR(__xludf.DUMMYFUNCTION("""COMPUTED_VALUE"""),"🍪 부수입")</f>
        <v>🍪 부수입</v>
      </c>
      <c r="AD90" s="214" t="str">
        <f>IFERROR(__xludf.DUMMYFUNCTION("""COMPUTED_VALUE"""),"🐻 월급")</f>
        <v>🐻 월급</v>
      </c>
      <c r="AE90" s="214" t="str">
        <f>IFERROR(__xludf.DUMMYFUNCTION("""COMPUTED_VALUE"""),"🐻 부수입")</f>
        <v>🐻 부수입</v>
      </c>
      <c r="AF90" s="214" t="str">
        <f>IFERROR(__xludf.DUMMYFUNCTION("""COMPUTED_VALUE"""),"기타")</f>
        <v>기타</v>
      </c>
      <c r="AG90" s="214"/>
      <c r="AH90" s="214"/>
      <c r="AI90" s="214"/>
      <c r="AJ90" s="215"/>
    </row>
    <row r="91">
      <c r="H91" s="208">
        <v>45910.0</v>
      </c>
      <c r="I91" s="209" t="s">
        <v>21</v>
      </c>
      <c r="J91" s="209" t="s">
        <v>20</v>
      </c>
      <c r="K91" s="210">
        <v>100000.0</v>
      </c>
      <c r="L91" s="211" t="s">
        <v>62</v>
      </c>
      <c r="M91" s="143"/>
      <c r="N91" s="211" t="s">
        <v>322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IFERROR(__xludf.DUMMYFUNCTION("FILTER('설정시트'!$D$7:$L$20,'설정시트'!$C$7:$C$20=I91)"),"관리비")</f>
        <v>관리비</v>
      </c>
      <c r="AC91" s="214" t="str">
        <f>IFERROR(__xludf.DUMMYFUNCTION("""COMPUTED_VALUE"""),"대출이자")</f>
        <v>대출이자</v>
      </c>
      <c r="AD91" s="214" t="str">
        <f>IFERROR(__xludf.DUMMYFUNCTION("""COMPUTED_VALUE"""),"통신비")</f>
        <v>통신비</v>
      </c>
      <c r="AE91" s="214" t="str">
        <f>IFERROR(__xludf.DUMMYFUNCTION("""COMPUTED_VALUE"""),"보험료")</f>
        <v>보험료</v>
      </c>
      <c r="AF91" s="214" t="str">
        <f>IFERROR(__xludf.DUMMYFUNCTION("""COMPUTED_VALUE"""),"곗돈")</f>
        <v>곗돈</v>
      </c>
      <c r="AG91" s="214"/>
      <c r="AH91" s="214"/>
      <c r="AI91" s="214"/>
      <c r="AJ91" s="215"/>
    </row>
    <row r="92">
      <c r="H92" s="208">
        <v>45910.0</v>
      </c>
      <c r="I92" s="209" t="s">
        <v>21</v>
      </c>
      <c r="J92" s="209" t="s">
        <v>15</v>
      </c>
      <c r="K92" s="210">
        <f>43200-30000</f>
        <v>13200</v>
      </c>
      <c r="L92" s="211" t="s">
        <v>64</v>
      </c>
      <c r="M92" s="143"/>
      <c r="N92" s="211" t="s">
        <v>834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IFERROR(__xludf.DUMMYFUNCTION("FILTER('설정시트'!$D$7:$L$20,'설정시트'!$C$7:$C$20=I92)"),"관리비")</f>
        <v>관리비</v>
      </c>
      <c r="AC92" s="214" t="str">
        <f>IFERROR(__xludf.DUMMYFUNCTION("""COMPUTED_VALUE"""),"대출이자")</f>
        <v>대출이자</v>
      </c>
      <c r="AD92" s="214" t="str">
        <f>IFERROR(__xludf.DUMMYFUNCTION("""COMPUTED_VALUE"""),"통신비")</f>
        <v>통신비</v>
      </c>
      <c r="AE92" s="214" t="str">
        <f>IFERROR(__xludf.DUMMYFUNCTION("""COMPUTED_VALUE"""),"보험료")</f>
        <v>보험료</v>
      </c>
      <c r="AF92" s="214" t="str">
        <f>IFERROR(__xludf.DUMMYFUNCTION("""COMPUTED_VALUE"""),"곗돈")</f>
        <v>곗돈</v>
      </c>
      <c r="AG92" s="214"/>
      <c r="AH92" s="214"/>
      <c r="AI92" s="214"/>
      <c r="AJ92" s="215"/>
    </row>
    <row r="93">
      <c r="H93" s="208">
        <v>45911.0</v>
      </c>
      <c r="I93" s="209" t="s">
        <v>22</v>
      </c>
      <c r="J93" s="209" t="s">
        <v>8</v>
      </c>
      <c r="K93" s="210">
        <v>71000.0</v>
      </c>
      <c r="L93" s="211" t="s">
        <v>64</v>
      </c>
      <c r="M93" s="143"/>
      <c r="N93" s="211" t="s">
        <v>835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IFERROR(__xludf.DUMMYFUNCTION("FILTER('설정시트'!$D$7:$L$20,'설정시트'!$C$7:$C$20=I93)"),"주방/욕실")</f>
        <v>주방/욕실</v>
      </c>
      <c r="AC93" s="214" t="str">
        <f>IFERROR(__xludf.DUMMYFUNCTION("""COMPUTED_VALUE"""),"소모품")</f>
        <v>소모품</v>
      </c>
      <c r="AD93" s="214" t="str">
        <f>IFERROR(__xludf.DUMMYFUNCTION("""COMPUTED_VALUE"""),"기타")</f>
        <v>기타</v>
      </c>
      <c r="AE93" s="214"/>
      <c r="AF93" s="214"/>
      <c r="AG93" s="214"/>
      <c r="AH93" s="214"/>
      <c r="AI93" s="214"/>
      <c r="AJ93" s="215"/>
    </row>
    <row r="94">
      <c r="H94" s="208">
        <v>45905.0</v>
      </c>
      <c r="I94" s="209" t="s">
        <v>3</v>
      </c>
      <c r="J94" s="209" t="s">
        <v>8</v>
      </c>
      <c r="K94" s="210">
        <v>163900.0</v>
      </c>
      <c r="L94" s="211"/>
      <c r="M94" s="143"/>
      <c r="N94" s="211" t="s">
        <v>833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IFERROR(__xludf.DUMMYFUNCTION("FILTER('설정시트'!$D$7:$L$20,'설정시트'!$C$7:$C$20=I94)"),"🍪 월급")</f>
        <v>🍪 월급</v>
      </c>
      <c r="AC94" s="214" t="str">
        <f>IFERROR(__xludf.DUMMYFUNCTION("""COMPUTED_VALUE"""),"🍪 부수입")</f>
        <v>🍪 부수입</v>
      </c>
      <c r="AD94" s="214" t="str">
        <f>IFERROR(__xludf.DUMMYFUNCTION("""COMPUTED_VALUE"""),"🐻 월급")</f>
        <v>🐻 월급</v>
      </c>
      <c r="AE94" s="214" t="str">
        <f>IFERROR(__xludf.DUMMYFUNCTION("""COMPUTED_VALUE"""),"🐻 부수입")</f>
        <v>🐻 부수입</v>
      </c>
      <c r="AF94" s="214" t="str">
        <f>IFERROR(__xludf.DUMMYFUNCTION("""COMPUTED_VALUE"""),"기타")</f>
        <v>기타</v>
      </c>
      <c r="AG94" s="214"/>
      <c r="AH94" s="214"/>
      <c r="AI94" s="214"/>
      <c r="AJ94" s="215"/>
    </row>
    <row r="95">
      <c r="H95" s="208">
        <v>45905.0</v>
      </c>
      <c r="I95" s="209" t="s">
        <v>3</v>
      </c>
      <c r="J95" s="209" t="s">
        <v>6</v>
      </c>
      <c r="K95" s="210">
        <v>4399920.0</v>
      </c>
      <c r="L95" s="211"/>
      <c r="M95" s="143"/>
      <c r="N95" s="211" t="s">
        <v>836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IFERROR(__xludf.DUMMYFUNCTION("FILTER('설정시트'!$D$7:$L$20,'설정시트'!$C$7:$C$20=I95)"),"🍪 월급")</f>
        <v>🍪 월급</v>
      </c>
      <c r="AC95" s="214" t="str">
        <f>IFERROR(__xludf.DUMMYFUNCTION("""COMPUTED_VALUE"""),"🍪 부수입")</f>
        <v>🍪 부수입</v>
      </c>
      <c r="AD95" s="214" t="str">
        <f>IFERROR(__xludf.DUMMYFUNCTION("""COMPUTED_VALUE"""),"🐻 월급")</f>
        <v>🐻 월급</v>
      </c>
      <c r="AE95" s="214" t="str">
        <f>IFERROR(__xludf.DUMMYFUNCTION("""COMPUTED_VALUE"""),"🐻 부수입")</f>
        <v>🐻 부수입</v>
      </c>
      <c r="AF95" s="214" t="str">
        <f>IFERROR(__xludf.DUMMYFUNCTION("""COMPUTED_VALUE"""),"기타")</f>
        <v>기타</v>
      </c>
      <c r="AG95" s="214"/>
      <c r="AH95" s="214"/>
      <c r="AI95" s="214"/>
      <c r="AJ95" s="215"/>
    </row>
    <row r="96">
      <c r="H96" s="208">
        <v>45911.0</v>
      </c>
      <c r="I96" s="209" t="s">
        <v>31</v>
      </c>
      <c r="J96" s="209" t="s">
        <v>29</v>
      </c>
      <c r="K96" s="210">
        <v>2900.0</v>
      </c>
      <c r="L96" s="211" t="s">
        <v>64</v>
      </c>
      <c r="M96" s="143"/>
      <c r="N96" s="211" t="s">
        <v>837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  <c r="AJ96" s="215"/>
    </row>
    <row r="97">
      <c r="H97" s="208">
        <v>45912.0</v>
      </c>
      <c r="I97" s="209" t="s">
        <v>31</v>
      </c>
      <c r="J97" s="209" t="s">
        <v>29</v>
      </c>
      <c r="K97" s="210">
        <v>1200.0</v>
      </c>
      <c r="L97" s="211" t="s">
        <v>64</v>
      </c>
      <c r="M97" s="143"/>
      <c r="N97" s="211" t="s">
        <v>748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IFERROR(__xludf.DUMMYFUNCTION("FILTER('설정시트'!$D$7:$L$20,'설정시트'!$C$7:$C$20=I97)"),"식재료비")</f>
        <v>식재료비</v>
      </c>
      <c r="AC97" s="214" t="str">
        <f>IFERROR(__xludf.DUMMYFUNCTION("""COMPUTED_VALUE"""),"회사점심")</f>
        <v>회사점심</v>
      </c>
      <c r="AD97" s="214" t="str">
        <f>IFERROR(__xludf.DUMMYFUNCTION("""COMPUTED_VALUE"""),"간식/카페")</f>
        <v>간식/카페</v>
      </c>
      <c r="AE97" s="214" t="str">
        <f>IFERROR(__xludf.DUMMYFUNCTION("""COMPUTED_VALUE"""),"외식/배달")</f>
        <v>외식/배달</v>
      </c>
      <c r="AF97" s="214" t="str">
        <f>IFERROR(__xludf.DUMMYFUNCTION("""COMPUTED_VALUE"""),"기타")</f>
        <v>기타</v>
      </c>
      <c r="AG97" s="214"/>
      <c r="AH97" s="214"/>
      <c r="AI97" s="214"/>
      <c r="AJ97" s="215"/>
    </row>
    <row r="98">
      <c r="H98" s="208">
        <v>45912.0</v>
      </c>
      <c r="I98" s="209" t="s">
        <v>31</v>
      </c>
      <c r="J98" s="209" t="s">
        <v>27</v>
      </c>
      <c r="K98" s="210">
        <v>30840.0</v>
      </c>
      <c r="L98" s="211" t="s">
        <v>64</v>
      </c>
      <c r="M98" s="143"/>
      <c r="N98" s="211" t="s">
        <v>838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IFERROR(__xludf.DUMMYFUNCTION("FILTER('설정시트'!$D$7:$L$20,'설정시트'!$C$7:$C$20=I98)"),"식재료비")</f>
        <v>식재료비</v>
      </c>
      <c r="AC98" s="214" t="str">
        <f>IFERROR(__xludf.DUMMYFUNCTION("""COMPUTED_VALUE"""),"회사점심")</f>
        <v>회사점심</v>
      </c>
      <c r="AD98" s="214" t="str">
        <f>IFERROR(__xludf.DUMMYFUNCTION("""COMPUTED_VALUE"""),"간식/카페")</f>
        <v>간식/카페</v>
      </c>
      <c r="AE98" s="214" t="str">
        <f>IFERROR(__xludf.DUMMYFUNCTION("""COMPUTED_VALUE"""),"외식/배달")</f>
        <v>외식/배달</v>
      </c>
      <c r="AF98" s="214" t="str">
        <f>IFERROR(__xludf.DUMMYFUNCTION("""COMPUTED_VALUE"""),"기타")</f>
        <v>기타</v>
      </c>
      <c r="AG98" s="214"/>
      <c r="AH98" s="214"/>
      <c r="AI98" s="214"/>
      <c r="AJ98" s="215"/>
    </row>
    <row r="99">
      <c r="H99" s="208">
        <v>45911.0</v>
      </c>
      <c r="I99" s="209" t="s">
        <v>25</v>
      </c>
      <c r="J99" s="209" t="s">
        <v>24</v>
      </c>
      <c r="K99" s="210">
        <v>47800.0</v>
      </c>
      <c r="L99" s="211" t="s">
        <v>64</v>
      </c>
      <c r="M99" s="143"/>
      <c r="N99" s="211" t="s">
        <v>839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IFERROR(__xludf.DUMMYFUNCTION("FILTER('설정시트'!$D$7:$L$20,'설정시트'!$C$7:$C$20=I99)"),"주방/욕실")</f>
        <v>주방/욕실</v>
      </c>
      <c r="AC99" s="214" t="str">
        <f>IFERROR(__xludf.DUMMYFUNCTION("""COMPUTED_VALUE"""),"소모품")</f>
        <v>소모품</v>
      </c>
      <c r="AD99" s="214" t="str">
        <f>IFERROR(__xludf.DUMMYFUNCTION("""COMPUTED_VALUE"""),"기타")</f>
        <v>기타</v>
      </c>
      <c r="AE99" s="214"/>
      <c r="AF99" s="214"/>
      <c r="AG99" s="214"/>
      <c r="AH99" s="214"/>
      <c r="AI99" s="214"/>
      <c r="AJ99" s="215"/>
    </row>
    <row r="100">
      <c r="H100" s="208">
        <v>45911.0</v>
      </c>
      <c r="I100" s="209" t="s">
        <v>45</v>
      </c>
      <c r="J100" s="209" t="s">
        <v>43</v>
      </c>
      <c r="K100" s="210">
        <v>30000.0</v>
      </c>
      <c r="L100" s="211" t="s">
        <v>61</v>
      </c>
      <c r="M100" s="143"/>
      <c r="N100" s="211" t="s">
        <v>840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IFERROR(__xludf.DUMMYFUNCTION("FILTER('설정시트'!$D$7:$L$20,'설정시트'!$C$7:$C$20=I100)"),"약국")</f>
        <v>약국</v>
      </c>
      <c r="AC100" s="214" t="str">
        <f>IFERROR(__xludf.DUMMYFUNCTION("""COMPUTED_VALUE"""),"병원비")</f>
        <v>병원비</v>
      </c>
      <c r="AD100" s="214" t="str">
        <f>IFERROR(__xludf.DUMMYFUNCTION("""COMPUTED_VALUE"""),"영양제")</f>
        <v>영양제</v>
      </c>
      <c r="AE100" s="214" t="str">
        <f>IFERROR(__xludf.DUMMYFUNCTION("""COMPUTED_VALUE"""),"교통비")</f>
        <v>교통비</v>
      </c>
      <c r="AF100" s="214" t="str">
        <f>IFERROR(__xludf.DUMMYFUNCTION("""COMPUTED_VALUE"""),"주유비")</f>
        <v>주유비</v>
      </c>
      <c r="AG100" s="214"/>
      <c r="AH100" s="214" t="str">
        <f>IFERROR(__xludf.DUMMYFUNCTION("""COMPUTED_VALUE"""),"기타")</f>
        <v>기타</v>
      </c>
      <c r="AI100" s="214"/>
      <c r="AJ100" s="215"/>
    </row>
    <row r="101">
      <c r="H101" s="208">
        <v>45912.0</v>
      </c>
      <c r="I101" s="209" t="s">
        <v>45</v>
      </c>
      <c r="J101" s="209" t="s">
        <v>8</v>
      </c>
      <c r="K101" s="210">
        <v>1100.0</v>
      </c>
      <c r="L101" s="211" t="s">
        <v>64</v>
      </c>
      <c r="M101" s="143"/>
      <c r="N101" s="211" t="s">
        <v>841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IFERROR(__xludf.DUMMYFUNCTION("FILTER('설정시트'!$D$7:$L$20,'설정시트'!$C$7:$C$20=I101)"),"약국")</f>
        <v>약국</v>
      </c>
      <c r="AC101" s="214" t="str">
        <f>IFERROR(__xludf.DUMMYFUNCTION("""COMPUTED_VALUE"""),"병원비")</f>
        <v>병원비</v>
      </c>
      <c r="AD101" s="214" t="str">
        <f>IFERROR(__xludf.DUMMYFUNCTION("""COMPUTED_VALUE"""),"영양제")</f>
        <v>영양제</v>
      </c>
      <c r="AE101" s="214" t="str">
        <f>IFERROR(__xludf.DUMMYFUNCTION("""COMPUTED_VALUE"""),"교통비")</f>
        <v>교통비</v>
      </c>
      <c r="AF101" s="214" t="str">
        <f>IFERROR(__xludf.DUMMYFUNCTION("""COMPUTED_VALUE"""),"주유비")</f>
        <v>주유비</v>
      </c>
      <c r="AG101" s="214"/>
      <c r="AH101" s="214" t="str">
        <f>IFERROR(__xludf.DUMMYFUNCTION("""COMPUTED_VALUE"""),"기타")</f>
        <v>기타</v>
      </c>
      <c r="AI101" s="214"/>
      <c r="AJ101" s="215"/>
    </row>
    <row r="102">
      <c r="H102" s="208">
        <v>45912.0</v>
      </c>
      <c r="I102" s="209"/>
      <c r="J102" s="209"/>
      <c r="K102" s="216">
        <v>71000.0</v>
      </c>
      <c r="L102" s="211" t="s">
        <v>64</v>
      </c>
      <c r="M102" s="143"/>
      <c r="N102" s="211" t="s">
        <v>842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IFERROR(__xludf.DUMMYFUNCTION("FILTER('설정시트'!$D$7:$L$20,'설정시트'!$C$7:$C$20=I102)"),"#N/A")</f>
        <v>#N/A</v>
      </c>
      <c r="AC102" s="214"/>
      <c r="AD102" s="214"/>
      <c r="AE102" s="214"/>
      <c r="AF102" s="214"/>
      <c r="AG102" s="214"/>
      <c r="AH102" s="214"/>
      <c r="AI102" s="214"/>
    </row>
    <row r="103">
      <c r="H103" s="208">
        <v>45915.0</v>
      </c>
      <c r="I103" s="209" t="s">
        <v>31</v>
      </c>
      <c r="J103" s="209" t="s">
        <v>29</v>
      </c>
      <c r="K103" s="210">
        <v>1200.0</v>
      </c>
      <c r="L103" s="211" t="s">
        <v>64</v>
      </c>
      <c r="M103" s="143"/>
      <c r="N103" s="211" t="s">
        <v>770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IFERROR(__xludf.DUMMYFUNCTION("FILTER('설정시트'!$D$7:$L$20,'설정시트'!$C$7:$C$20=I103)"),"식재료비")</f>
        <v>식재료비</v>
      </c>
      <c r="AC103" s="214" t="str">
        <f>IFERROR(__xludf.DUMMYFUNCTION("""COMPUTED_VALUE"""),"회사점심")</f>
        <v>회사점심</v>
      </c>
      <c r="AD103" s="214" t="str">
        <f>IFERROR(__xludf.DUMMYFUNCTION("""COMPUTED_VALUE"""),"간식/카페")</f>
        <v>간식/카페</v>
      </c>
      <c r="AE103" s="214" t="str">
        <f>IFERROR(__xludf.DUMMYFUNCTION("""COMPUTED_VALUE"""),"외식/배달")</f>
        <v>외식/배달</v>
      </c>
      <c r="AF103" s="214" t="str">
        <f>IFERROR(__xludf.DUMMYFUNCTION("""COMPUTED_VALUE"""),"기타")</f>
        <v>기타</v>
      </c>
      <c r="AG103" s="214"/>
      <c r="AH103" s="214"/>
      <c r="AI103" s="214"/>
      <c r="AJ103" s="215"/>
    </row>
    <row r="104">
      <c r="H104" s="208">
        <v>45918.0</v>
      </c>
      <c r="I104" s="209" t="s">
        <v>31</v>
      </c>
      <c r="J104" s="209" t="s">
        <v>29</v>
      </c>
      <c r="K104" s="210">
        <v>1200.0</v>
      </c>
      <c r="L104" s="211" t="s">
        <v>64</v>
      </c>
      <c r="M104" s="143"/>
      <c r="N104" s="211" t="s">
        <v>770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IFERROR(__xludf.DUMMYFUNCTION("FILTER('설정시트'!$D$7:$L$20,'설정시트'!$C$7:$C$20=I104)"),"식재료비")</f>
        <v>식재료비</v>
      </c>
      <c r="AC104" s="214" t="str">
        <f>IFERROR(__xludf.DUMMYFUNCTION("""COMPUTED_VALUE"""),"회사점심")</f>
        <v>회사점심</v>
      </c>
      <c r="AD104" s="214" t="str">
        <f>IFERROR(__xludf.DUMMYFUNCTION("""COMPUTED_VALUE"""),"간식/카페")</f>
        <v>간식/카페</v>
      </c>
      <c r="AE104" s="214" t="str">
        <f>IFERROR(__xludf.DUMMYFUNCTION("""COMPUTED_VALUE"""),"외식/배달")</f>
        <v>외식/배달</v>
      </c>
      <c r="AF104" s="214" t="str">
        <f>IFERROR(__xludf.DUMMYFUNCTION("""COMPUTED_VALUE"""),"기타")</f>
        <v>기타</v>
      </c>
      <c r="AG104" s="214"/>
      <c r="AH104" s="214"/>
      <c r="AI104" s="214"/>
      <c r="AJ104" s="215"/>
    </row>
    <row r="105">
      <c r="H105" s="208">
        <v>45918.0</v>
      </c>
      <c r="I105" s="209" t="s">
        <v>31</v>
      </c>
      <c r="J105" s="209" t="s">
        <v>30</v>
      </c>
      <c r="K105" s="210">
        <v>26400.0</v>
      </c>
      <c r="L105" s="211" t="s">
        <v>64</v>
      </c>
      <c r="M105" s="143"/>
      <c r="N105" s="211" t="s">
        <v>804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IFERROR(__xludf.DUMMYFUNCTION("FILTER('설정시트'!$D$7:$L$20,'설정시트'!$C$7:$C$20=I105)"),"식재료비")</f>
        <v>식재료비</v>
      </c>
      <c r="AC105" s="214" t="str">
        <f>IFERROR(__xludf.DUMMYFUNCTION("""COMPUTED_VALUE"""),"회사점심")</f>
        <v>회사점심</v>
      </c>
      <c r="AD105" s="214" t="str">
        <f>IFERROR(__xludf.DUMMYFUNCTION("""COMPUTED_VALUE"""),"간식/카페")</f>
        <v>간식/카페</v>
      </c>
      <c r="AE105" s="214" t="str">
        <f>IFERROR(__xludf.DUMMYFUNCTION("""COMPUTED_VALUE"""),"외식/배달")</f>
        <v>외식/배달</v>
      </c>
      <c r="AF105" s="214" t="str">
        <f>IFERROR(__xludf.DUMMYFUNCTION("""COMPUTED_VALUE"""),"기타")</f>
        <v>기타</v>
      </c>
      <c r="AG105" s="214"/>
      <c r="AH105" s="214"/>
      <c r="AI105" s="214"/>
      <c r="AJ105" s="215"/>
    </row>
    <row r="106">
      <c r="H106" s="208">
        <v>45918.0</v>
      </c>
      <c r="I106" s="209" t="s">
        <v>52</v>
      </c>
      <c r="J106" s="209" t="s">
        <v>49</v>
      </c>
      <c r="K106" s="216">
        <f>94000*2</f>
        <v>188000</v>
      </c>
      <c r="L106" s="211" t="s">
        <v>64</v>
      </c>
      <c r="M106" s="143"/>
      <c r="N106" s="211" t="s">
        <v>843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IFERROR(__xludf.DUMMYFUNCTION("FILTER('설정시트'!$D$7:$L$20,'설정시트'!$C$7:$C$20=I106)"),"축의/부의금")</f>
        <v>축의/부의금</v>
      </c>
      <c r="AC106" s="214" t="str">
        <f>IFERROR(__xludf.DUMMYFUNCTION("""COMPUTED_VALUE"""),"생신/생일선물")</f>
        <v>생신/생일선물</v>
      </c>
      <c r="AD106" s="214" t="str">
        <f>IFERROR(__xludf.DUMMYFUNCTION("""COMPUTED_VALUE"""),"명절/어버이날")</f>
        <v>명절/어버이날</v>
      </c>
      <c r="AE106" s="214" t="str">
        <f>IFERROR(__xludf.DUMMYFUNCTION("""COMPUTED_VALUE"""),"여행")</f>
        <v>여행</v>
      </c>
      <c r="AF106" s="214" t="str">
        <f>IFERROR(__xludf.DUMMYFUNCTION("""COMPUTED_VALUE"""),"기타")</f>
        <v>기타</v>
      </c>
      <c r="AG106" s="214" t="str">
        <f>IFERROR(__xludf.DUMMYFUNCTION("""COMPUTED_VALUE"""),"출산")</f>
        <v>출산</v>
      </c>
      <c r="AH106" s="214"/>
      <c r="AI106" s="214"/>
      <c r="AJ106" s="215"/>
    </row>
    <row r="107">
      <c r="H107" s="208">
        <v>45920.0</v>
      </c>
      <c r="I107" s="209" t="s">
        <v>26</v>
      </c>
      <c r="J107" s="209" t="s">
        <v>29</v>
      </c>
      <c r="K107" s="216">
        <v>3000.0</v>
      </c>
      <c r="L107" s="211" t="s">
        <v>64</v>
      </c>
      <c r="M107" s="143"/>
      <c r="N107" s="211" t="s">
        <v>844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IFERROR(__xludf.DUMMYFUNCTION("FILTER('설정시트'!$D$7:$L$20,'설정시트'!$C$7:$C$20=I107)"),"식재료비")</f>
        <v>식재료비</v>
      </c>
      <c r="AC107" s="214" t="str">
        <f>IFERROR(__xludf.DUMMYFUNCTION("""COMPUTED_VALUE"""),"회사점심")</f>
        <v>회사점심</v>
      </c>
      <c r="AD107" s="214" t="str">
        <f>IFERROR(__xludf.DUMMYFUNCTION("""COMPUTED_VALUE"""),"간식/카페")</f>
        <v>간식/카페</v>
      </c>
      <c r="AE107" s="214" t="str">
        <f>IFERROR(__xludf.DUMMYFUNCTION("""COMPUTED_VALUE"""),"외식/배달")</f>
        <v>외식/배달</v>
      </c>
      <c r="AF107" s="214" t="str">
        <f>IFERROR(__xludf.DUMMYFUNCTION("""COMPUTED_VALUE"""),"기타")</f>
        <v>기타</v>
      </c>
      <c r="AG107" s="214"/>
      <c r="AH107" s="214"/>
      <c r="AI107" s="214"/>
      <c r="AJ107" s="215"/>
    </row>
    <row r="108">
      <c r="H108" s="208">
        <v>45922.0</v>
      </c>
      <c r="I108" s="209" t="s">
        <v>26</v>
      </c>
      <c r="J108" s="209" t="s">
        <v>29</v>
      </c>
      <c r="K108" s="216">
        <v>3300.0</v>
      </c>
      <c r="L108" s="211" t="s">
        <v>64</v>
      </c>
      <c r="M108" s="143"/>
      <c r="N108" s="211" t="s">
        <v>844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  <c r="AJ108" s="215"/>
    </row>
    <row r="109">
      <c r="H109" s="208">
        <v>45923.0</v>
      </c>
      <c r="I109" s="209" t="s">
        <v>31</v>
      </c>
      <c r="J109" s="209" t="s">
        <v>29</v>
      </c>
      <c r="K109" s="216">
        <v>1200.0</v>
      </c>
      <c r="L109" s="211" t="s">
        <v>64</v>
      </c>
      <c r="M109" s="143"/>
      <c r="N109" s="211" t="s">
        <v>770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IFERROR(__xludf.DUMMYFUNCTION("FILTER('설정시트'!$D$7:$L$20,'설정시트'!$C$7:$C$20=I109)"),"식재료비")</f>
        <v>식재료비</v>
      </c>
      <c r="AC109" s="214" t="str">
        <f>IFERROR(__xludf.DUMMYFUNCTION("""COMPUTED_VALUE"""),"회사점심")</f>
        <v>회사점심</v>
      </c>
      <c r="AD109" s="214" t="str">
        <f>IFERROR(__xludf.DUMMYFUNCTION("""COMPUTED_VALUE"""),"간식/카페")</f>
        <v>간식/카페</v>
      </c>
      <c r="AE109" s="214" t="str">
        <f>IFERROR(__xludf.DUMMYFUNCTION("""COMPUTED_VALUE"""),"외식/배달")</f>
        <v>외식/배달</v>
      </c>
      <c r="AF109" s="214" t="str">
        <f>IFERROR(__xludf.DUMMYFUNCTION("""COMPUTED_VALUE"""),"기타")</f>
        <v>기타</v>
      </c>
      <c r="AG109" s="214"/>
      <c r="AH109" s="214"/>
      <c r="AI109" s="214"/>
      <c r="AJ109" s="215"/>
    </row>
    <row r="110">
      <c r="H110" s="208">
        <v>45924.0</v>
      </c>
      <c r="I110" s="209" t="s">
        <v>45</v>
      </c>
      <c r="J110" s="209" t="s">
        <v>41</v>
      </c>
      <c r="K110" s="216">
        <v>173900.0</v>
      </c>
      <c r="L110" s="211" t="s">
        <v>64</v>
      </c>
      <c r="M110" s="143"/>
      <c r="N110" s="211" t="s">
        <v>845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IFERROR(__xludf.DUMMYFUNCTION("FILTER('설정시트'!$D$7:$L$20,'설정시트'!$C$7:$C$20=I110)"),"약국")</f>
        <v>약국</v>
      </c>
      <c r="AC110" s="214" t="str">
        <f>IFERROR(__xludf.DUMMYFUNCTION("""COMPUTED_VALUE"""),"병원비")</f>
        <v>병원비</v>
      </c>
      <c r="AD110" s="214" t="str">
        <f>IFERROR(__xludf.DUMMYFUNCTION("""COMPUTED_VALUE"""),"영양제")</f>
        <v>영양제</v>
      </c>
      <c r="AE110" s="214" t="str">
        <f>IFERROR(__xludf.DUMMYFUNCTION("""COMPUTED_VALUE"""),"교통비")</f>
        <v>교통비</v>
      </c>
      <c r="AF110" s="214" t="str">
        <f>IFERROR(__xludf.DUMMYFUNCTION("""COMPUTED_VALUE"""),"주유비")</f>
        <v>주유비</v>
      </c>
      <c r="AG110" s="214"/>
      <c r="AH110" s="214" t="str">
        <f>IFERROR(__xludf.DUMMYFUNCTION("""COMPUTED_VALUE"""),"기타")</f>
        <v>기타</v>
      </c>
      <c r="AI110" s="214"/>
      <c r="AJ110" s="215"/>
    </row>
    <row r="111">
      <c r="H111" s="208">
        <v>45925.0</v>
      </c>
      <c r="I111" s="209" t="s">
        <v>31</v>
      </c>
      <c r="J111" s="209" t="s">
        <v>29</v>
      </c>
      <c r="K111" s="216">
        <v>1200.0</v>
      </c>
      <c r="L111" s="211" t="s">
        <v>64</v>
      </c>
      <c r="M111" s="143"/>
      <c r="N111" s="211" t="s">
        <v>770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IFERROR(__xludf.DUMMYFUNCTION("FILTER('설정시트'!$D$7:$L$20,'설정시트'!$C$7:$C$20=I111)"),"식재료비")</f>
        <v>식재료비</v>
      </c>
      <c r="AC111" s="214" t="str">
        <f>IFERROR(__xludf.DUMMYFUNCTION("""COMPUTED_VALUE"""),"회사점심")</f>
        <v>회사점심</v>
      </c>
      <c r="AD111" s="214" t="str">
        <f>IFERROR(__xludf.DUMMYFUNCTION("""COMPUTED_VALUE"""),"간식/카페")</f>
        <v>간식/카페</v>
      </c>
      <c r="AE111" s="214" t="str">
        <f>IFERROR(__xludf.DUMMYFUNCTION("""COMPUTED_VALUE"""),"외식/배달")</f>
        <v>외식/배달</v>
      </c>
      <c r="AF111" s="214" t="str">
        <f>IFERROR(__xludf.DUMMYFUNCTION("""COMPUTED_VALUE"""),"기타")</f>
        <v>기타</v>
      </c>
      <c r="AG111" s="214"/>
      <c r="AH111" s="214"/>
      <c r="AI111" s="214"/>
      <c r="AJ111" s="215"/>
    </row>
    <row r="112">
      <c r="H112" s="208">
        <v>45926.0</v>
      </c>
      <c r="I112" s="209" t="s">
        <v>31</v>
      </c>
      <c r="J112" s="209" t="s">
        <v>29</v>
      </c>
      <c r="K112" s="216">
        <v>5000.0</v>
      </c>
      <c r="L112" s="211" t="s">
        <v>64</v>
      </c>
      <c r="M112" s="143"/>
      <c r="N112" s="211" t="s">
        <v>846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08">
        <v>45929.0</v>
      </c>
      <c r="I113" s="209" t="s">
        <v>31</v>
      </c>
      <c r="J113" s="209" t="s">
        <v>29</v>
      </c>
      <c r="K113" s="216">
        <v>1200.0</v>
      </c>
      <c r="L113" s="211" t="s">
        <v>64</v>
      </c>
      <c r="M113" s="143"/>
      <c r="N113" s="211" t="s">
        <v>770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IFERROR(__xludf.DUMMYFUNCTION("FILTER('설정시트'!$D$7:$L$20,'설정시트'!$C$7:$C$20=I113)"),"식재료비")</f>
        <v>식재료비</v>
      </c>
      <c r="AC113" s="214" t="str">
        <f>IFERROR(__xludf.DUMMYFUNCTION("""COMPUTED_VALUE"""),"회사점심")</f>
        <v>회사점심</v>
      </c>
      <c r="AD113" s="214" t="str">
        <f>IFERROR(__xludf.DUMMYFUNCTION("""COMPUTED_VALUE"""),"간식/카페")</f>
        <v>간식/카페</v>
      </c>
      <c r="AE113" s="214" t="str">
        <f>IFERROR(__xludf.DUMMYFUNCTION("""COMPUTED_VALUE"""),"외식/배달")</f>
        <v>외식/배달</v>
      </c>
      <c r="AF113" s="214" t="str">
        <f>IFERROR(__xludf.DUMMYFUNCTION("""COMPUTED_VALUE"""),"기타")</f>
        <v>기타</v>
      </c>
      <c r="AG113" s="214"/>
      <c r="AH113" s="214"/>
      <c r="AI113" s="214"/>
      <c r="AJ113" s="215"/>
    </row>
    <row r="114">
      <c r="H114" s="208">
        <v>45929.0</v>
      </c>
      <c r="I114" s="209" t="s">
        <v>26</v>
      </c>
      <c r="J114" s="209" t="s">
        <v>28</v>
      </c>
      <c r="K114" s="216">
        <v>15900.0</v>
      </c>
      <c r="L114" s="211" t="s">
        <v>64</v>
      </c>
      <c r="M114" s="143"/>
      <c r="N114" s="211" t="s">
        <v>847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IFERROR(__xludf.DUMMYFUNCTION("FILTER('설정시트'!$D$7:$L$20,'설정시트'!$C$7:$C$20=I114)"),"식재료비")</f>
        <v>식재료비</v>
      </c>
      <c r="AC114" s="214" t="str">
        <f>IFERROR(__xludf.DUMMYFUNCTION("""COMPUTED_VALUE"""),"회사점심")</f>
        <v>회사점심</v>
      </c>
      <c r="AD114" s="214" t="str">
        <f>IFERROR(__xludf.DUMMYFUNCTION("""COMPUTED_VALUE"""),"간식/카페")</f>
        <v>간식/카페</v>
      </c>
      <c r="AE114" s="214" t="str">
        <f>IFERROR(__xludf.DUMMYFUNCTION("""COMPUTED_VALUE"""),"외식/배달")</f>
        <v>외식/배달</v>
      </c>
      <c r="AF114" s="214" t="str">
        <f>IFERROR(__xludf.DUMMYFUNCTION("""COMPUTED_VALUE"""),"기타")</f>
        <v>기타</v>
      </c>
      <c r="AG114" s="214"/>
      <c r="AH114" s="214"/>
      <c r="AI114" s="214"/>
      <c r="AJ114" s="215"/>
    </row>
    <row r="115">
      <c r="H115" s="208">
        <v>45929.0</v>
      </c>
      <c r="I115" s="209" t="s">
        <v>25</v>
      </c>
      <c r="J115" s="209" t="s">
        <v>8</v>
      </c>
      <c r="K115" s="216">
        <v>12400.0</v>
      </c>
      <c r="L115" s="211" t="s">
        <v>64</v>
      </c>
      <c r="M115" s="143"/>
      <c r="N115" s="211" t="s">
        <v>782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IFERROR(__xludf.DUMMYFUNCTION("FILTER('설정시트'!$D$7:$L$20,'설정시트'!$C$7:$C$20=I115)"),"주방/욕실")</f>
        <v>주방/욕실</v>
      </c>
      <c r="AC115" s="214" t="str">
        <f>IFERROR(__xludf.DUMMYFUNCTION("""COMPUTED_VALUE"""),"소모품")</f>
        <v>소모품</v>
      </c>
      <c r="AD115" s="214" t="str">
        <f>IFERROR(__xludf.DUMMYFUNCTION("""COMPUTED_VALUE"""),"기타")</f>
        <v>기타</v>
      </c>
      <c r="AE115" s="214"/>
      <c r="AF115" s="214"/>
      <c r="AG115" s="214"/>
      <c r="AH115" s="214"/>
      <c r="AI115" s="214"/>
      <c r="AJ115" s="215"/>
    </row>
    <row r="116">
      <c r="H116" s="208">
        <v>45930.0</v>
      </c>
      <c r="I116" s="209" t="s">
        <v>21</v>
      </c>
      <c r="J116" s="209" t="s">
        <v>18</v>
      </c>
      <c r="K116" s="216">
        <v>7890.0</v>
      </c>
      <c r="L116" s="211" t="s">
        <v>64</v>
      </c>
      <c r="M116" s="143"/>
      <c r="N116" s="211" t="s">
        <v>848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IFERROR(__xludf.DUMMYFUNCTION("FILTER('설정시트'!$D$7:$L$20,'설정시트'!$C$7:$C$20=I116)"),"관리비")</f>
        <v>관리비</v>
      </c>
      <c r="AC116" s="214" t="str">
        <f>IFERROR(__xludf.DUMMYFUNCTION("""COMPUTED_VALUE"""),"대출이자")</f>
        <v>대출이자</v>
      </c>
      <c r="AD116" s="214" t="str">
        <f>IFERROR(__xludf.DUMMYFUNCTION("""COMPUTED_VALUE"""),"통신비")</f>
        <v>통신비</v>
      </c>
      <c r="AE116" s="214" t="str">
        <f>IFERROR(__xludf.DUMMYFUNCTION("""COMPUTED_VALUE"""),"보험료")</f>
        <v>보험료</v>
      </c>
      <c r="AF116" s="214" t="str">
        <f>IFERROR(__xludf.DUMMYFUNCTION("""COMPUTED_VALUE"""),"곗돈")</f>
        <v>곗돈</v>
      </c>
      <c r="AG116" s="214"/>
      <c r="AH116" s="214"/>
      <c r="AI116" s="214"/>
      <c r="AJ116" s="215"/>
    </row>
    <row r="117">
      <c r="H117" s="208">
        <v>45930.0</v>
      </c>
      <c r="I117" s="217" t="s">
        <v>25</v>
      </c>
      <c r="J117" s="217" t="s">
        <v>8</v>
      </c>
      <c r="K117" s="218">
        <v>18700.0</v>
      </c>
      <c r="L117" s="211" t="s">
        <v>64</v>
      </c>
      <c r="M117" s="143"/>
      <c r="N117" s="211" t="s">
        <v>782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IFERROR(__xludf.DUMMYFUNCTION("FILTER('설정시트'!$D$7:$L$20,'설정시트'!$C$7:$C$20=I117)"),"주방/욕실")</f>
        <v>주방/욕실</v>
      </c>
      <c r="AC117" s="214" t="str">
        <f>IFERROR(__xludf.DUMMYFUNCTION("""COMPUTED_VALUE"""),"소모품")</f>
        <v>소모품</v>
      </c>
      <c r="AD117" s="214" t="str">
        <f>IFERROR(__xludf.DUMMYFUNCTION("""COMPUTED_VALUE"""),"기타")</f>
        <v>기타</v>
      </c>
      <c r="AE117" s="214"/>
      <c r="AF117" s="214"/>
      <c r="AG117" s="214"/>
      <c r="AH117" s="214"/>
      <c r="AI117" s="214"/>
      <c r="AJ117" s="215"/>
    </row>
    <row r="118">
      <c r="H118" s="208">
        <v>45930.0</v>
      </c>
      <c r="I118" s="217" t="s">
        <v>26</v>
      </c>
      <c r="J118" s="217" t="s">
        <v>30</v>
      </c>
      <c r="K118" s="218">
        <v>20400.0</v>
      </c>
      <c r="L118" s="211" t="s">
        <v>64</v>
      </c>
      <c r="M118" s="143"/>
      <c r="N118" s="211" t="s">
        <v>849</v>
      </c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IFERROR(__xludf.DUMMYFUNCTION("FILTER('설정시트'!$D$7:$L$20,'설정시트'!$C$7:$C$20=I118)"),"식재료비")</f>
        <v>식재료비</v>
      </c>
      <c r="AC118" s="214" t="str">
        <f>IFERROR(__xludf.DUMMYFUNCTION("""COMPUTED_VALUE"""),"회사점심")</f>
        <v>회사점심</v>
      </c>
      <c r="AD118" s="214" t="str">
        <f>IFERROR(__xludf.DUMMYFUNCTION("""COMPUTED_VALUE"""),"간식/카페")</f>
        <v>간식/카페</v>
      </c>
      <c r="AE118" s="214" t="str">
        <f>IFERROR(__xludf.DUMMYFUNCTION("""COMPUTED_VALUE"""),"외식/배달")</f>
        <v>외식/배달</v>
      </c>
      <c r="AF118" s="214" t="str">
        <f>IFERROR(__xludf.DUMMYFUNCTION("""COMPUTED_VALUE"""),"기타")</f>
        <v>기타</v>
      </c>
      <c r="AG118" s="214"/>
      <c r="AH118" s="214"/>
      <c r="AI118" s="214"/>
      <c r="AJ118" s="215"/>
    </row>
    <row r="119">
      <c r="H119" s="208">
        <v>45917.0</v>
      </c>
      <c r="I119" s="217" t="s">
        <v>45</v>
      </c>
      <c r="J119" s="217" t="s">
        <v>41</v>
      </c>
      <c r="K119" s="218">
        <v>173900.0</v>
      </c>
      <c r="L119" s="211" t="s">
        <v>64</v>
      </c>
      <c r="M119" s="143"/>
      <c r="N119" s="211" t="s">
        <v>850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IFERROR(__xludf.DUMMYFUNCTION("FILTER('설정시트'!$D$7:$L$20,'설정시트'!$C$7:$C$20=I119)"),"약국")</f>
        <v>약국</v>
      </c>
      <c r="AC119" s="214" t="str">
        <f>IFERROR(__xludf.DUMMYFUNCTION("""COMPUTED_VALUE"""),"병원비")</f>
        <v>병원비</v>
      </c>
      <c r="AD119" s="214" t="str">
        <f>IFERROR(__xludf.DUMMYFUNCTION("""COMPUTED_VALUE"""),"영양제")</f>
        <v>영양제</v>
      </c>
      <c r="AE119" s="214" t="str">
        <f>IFERROR(__xludf.DUMMYFUNCTION("""COMPUTED_VALUE"""),"교통비")</f>
        <v>교통비</v>
      </c>
      <c r="AF119" s="214" t="str">
        <f>IFERROR(__xludf.DUMMYFUNCTION("""COMPUTED_VALUE"""),"주유비")</f>
        <v>주유비</v>
      </c>
      <c r="AG119" s="214"/>
      <c r="AH119" s="214" t="str">
        <f>IFERROR(__xludf.DUMMYFUNCTION("""COMPUTED_VALUE"""),"기타")</f>
        <v>기타</v>
      </c>
      <c r="AI119" s="214"/>
      <c r="AJ119" s="215"/>
    </row>
    <row r="120">
      <c r="H120" s="208">
        <v>45922.0</v>
      </c>
      <c r="I120" s="217" t="s">
        <v>21</v>
      </c>
      <c r="J120" s="217" t="s">
        <v>15</v>
      </c>
      <c r="K120" s="218">
        <v>15910.0</v>
      </c>
      <c r="L120" s="211" t="s">
        <v>64</v>
      </c>
      <c r="M120" s="143"/>
      <c r="N120" s="211" t="s">
        <v>851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IFERROR(__xludf.DUMMYFUNCTION("FILTER('설정시트'!$D$7:$L$20,'설정시트'!$C$7:$C$20=I120)"),"관리비")</f>
        <v>관리비</v>
      </c>
      <c r="AC120" s="214" t="str">
        <f>IFERROR(__xludf.DUMMYFUNCTION("""COMPUTED_VALUE"""),"대출이자")</f>
        <v>대출이자</v>
      </c>
      <c r="AD120" s="214" t="str">
        <f>IFERROR(__xludf.DUMMYFUNCTION("""COMPUTED_VALUE"""),"통신비")</f>
        <v>통신비</v>
      </c>
      <c r="AE120" s="214" t="str">
        <f>IFERROR(__xludf.DUMMYFUNCTION("""COMPUTED_VALUE"""),"보험료")</f>
        <v>보험료</v>
      </c>
      <c r="AF120" s="214" t="str">
        <f>IFERROR(__xludf.DUMMYFUNCTION("""COMPUTED_VALUE"""),"곗돈")</f>
        <v>곗돈</v>
      </c>
      <c r="AG120" s="214"/>
      <c r="AH120" s="214"/>
      <c r="AI120" s="214"/>
      <c r="AJ120" s="215"/>
    </row>
    <row r="121">
      <c r="H121" s="208">
        <v>45923.0</v>
      </c>
      <c r="I121" s="217" t="s">
        <v>31</v>
      </c>
      <c r="J121" s="217" t="s">
        <v>29</v>
      </c>
      <c r="K121" s="218">
        <v>1400.0</v>
      </c>
      <c r="L121" s="211" t="s">
        <v>64</v>
      </c>
      <c r="M121" s="143"/>
      <c r="N121" s="211" t="s">
        <v>852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45923.0</v>
      </c>
      <c r="I122" s="217" t="s">
        <v>25</v>
      </c>
      <c r="J122" s="217" t="s">
        <v>8</v>
      </c>
      <c r="K122" s="218">
        <v>7520.0</v>
      </c>
      <c r="L122" s="211" t="s">
        <v>64</v>
      </c>
      <c r="M122" s="143"/>
      <c r="N122" s="211" t="s">
        <v>151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IFERROR(__xludf.DUMMYFUNCTION("FILTER('설정시트'!$D$7:$L$20,'설정시트'!$C$7:$C$20=I122)"),"주방/욕실")</f>
        <v>주방/욕실</v>
      </c>
      <c r="AC122" s="214" t="str">
        <f>IFERROR(__xludf.DUMMYFUNCTION("""COMPUTED_VALUE"""),"소모품")</f>
        <v>소모품</v>
      </c>
      <c r="AD122" s="214" t="str">
        <f>IFERROR(__xludf.DUMMYFUNCTION("""COMPUTED_VALUE"""),"기타")</f>
        <v>기타</v>
      </c>
      <c r="AE122" s="214"/>
      <c r="AF122" s="214"/>
      <c r="AG122" s="214"/>
      <c r="AH122" s="214"/>
      <c r="AI122" s="214"/>
      <c r="AJ122" s="215"/>
    </row>
    <row r="123">
      <c r="H123" s="208">
        <v>45924.0</v>
      </c>
      <c r="I123" s="217" t="s">
        <v>21</v>
      </c>
      <c r="J123" s="217" t="s">
        <v>15</v>
      </c>
      <c r="K123" s="218">
        <v>278160.0</v>
      </c>
      <c r="L123" s="211" t="s">
        <v>64</v>
      </c>
      <c r="M123" s="143"/>
      <c r="N123" s="211" t="s">
        <v>853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IFERROR(__xludf.DUMMYFUNCTION("FILTER('설정시트'!$D$7:$L$20,'설정시트'!$C$7:$C$20=I123)"),"관리비")</f>
        <v>관리비</v>
      </c>
      <c r="AC123" s="214" t="str">
        <f>IFERROR(__xludf.DUMMYFUNCTION("""COMPUTED_VALUE"""),"대출이자")</f>
        <v>대출이자</v>
      </c>
      <c r="AD123" s="214" t="str">
        <f>IFERROR(__xludf.DUMMYFUNCTION("""COMPUTED_VALUE"""),"통신비")</f>
        <v>통신비</v>
      </c>
      <c r="AE123" s="214" t="str">
        <f>IFERROR(__xludf.DUMMYFUNCTION("""COMPUTED_VALUE"""),"보험료")</f>
        <v>보험료</v>
      </c>
      <c r="AF123" s="214" t="str">
        <f>IFERROR(__xludf.DUMMYFUNCTION("""COMPUTED_VALUE"""),"곗돈")</f>
        <v>곗돈</v>
      </c>
      <c r="AG123" s="214"/>
      <c r="AH123" s="214"/>
      <c r="AI123" s="214"/>
      <c r="AJ123" s="215"/>
    </row>
    <row r="124">
      <c r="H124" s="208">
        <v>45926.0</v>
      </c>
      <c r="I124" s="217" t="s">
        <v>26</v>
      </c>
      <c r="J124" s="217" t="s">
        <v>29</v>
      </c>
      <c r="K124" s="218">
        <v>3000.0</v>
      </c>
      <c r="L124" s="211" t="s">
        <v>64</v>
      </c>
      <c r="M124" s="143"/>
      <c r="N124" s="211" t="s">
        <v>854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45927.0</v>
      </c>
      <c r="I125" s="217" t="s">
        <v>45</v>
      </c>
      <c r="J125" s="217" t="s">
        <v>44</v>
      </c>
      <c r="K125" s="218">
        <v>50000.0</v>
      </c>
      <c r="L125" s="211" t="s">
        <v>64</v>
      </c>
      <c r="M125" s="143"/>
      <c r="N125" s="213"/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IFERROR(__xludf.DUMMYFUNCTION("FILTER('설정시트'!$D$7:$L$20,'설정시트'!$C$7:$C$20=I125)"),"약국")</f>
        <v>약국</v>
      </c>
      <c r="AC125" s="214" t="str">
        <f>IFERROR(__xludf.DUMMYFUNCTION("""COMPUTED_VALUE"""),"병원비")</f>
        <v>병원비</v>
      </c>
      <c r="AD125" s="214" t="str">
        <f>IFERROR(__xludf.DUMMYFUNCTION("""COMPUTED_VALUE"""),"영양제")</f>
        <v>영양제</v>
      </c>
      <c r="AE125" s="214" t="str">
        <f>IFERROR(__xludf.DUMMYFUNCTION("""COMPUTED_VALUE"""),"교통비")</f>
        <v>교통비</v>
      </c>
      <c r="AF125" s="214" t="str">
        <f>IFERROR(__xludf.DUMMYFUNCTION("""COMPUTED_VALUE"""),"주유비")</f>
        <v>주유비</v>
      </c>
      <c r="AG125" s="214"/>
      <c r="AH125" s="214" t="str">
        <f>IFERROR(__xludf.DUMMYFUNCTION("""COMPUTED_VALUE"""),"기타")</f>
        <v>기타</v>
      </c>
      <c r="AI125" s="214"/>
      <c r="AJ125" s="215"/>
    </row>
    <row r="126">
      <c r="H126" s="208">
        <v>45915.0</v>
      </c>
      <c r="I126" s="217" t="s">
        <v>3</v>
      </c>
      <c r="J126" s="217" t="s">
        <v>8</v>
      </c>
      <c r="K126" s="218">
        <v>10630.0</v>
      </c>
      <c r="L126" s="211"/>
      <c r="M126" s="143"/>
      <c r="N126" s="211" t="s">
        <v>855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IFERROR(__xludf.DUMMYFUNCTION("FILTER('설정시트'!$D$7:$L$20,'설정시트'!$C$7:$C$20=I126)"),"🍪 월급")</f>
        <v>🍪 월급</v>
      </c>
      <c r="AC126" s="214" t="str">
        <f>IFERROR(__xludf.DUMMYFUNCTION("""COMPUTED_VALUE"""),"🍪 부수입")</f>
        <v>🍪 부수입</v>
      </c>
      <c r="AD126" s="214" t="str">
        <f>IFERROR(__xludf.DUMMYFUNCTION("""COMPUTED_VALUE"""),"🐻 월급")</f>
        <v>🐻 월급</v>
      </c>
      <c r="AE126" s="214" t="str">
        <f>IFERROR(__xludf.DUMMYFUNCTION("""COMPUTED_VALUE"""),"🐻 부수입")</f>
        <v>🐻 부수입</v>
      </c>
      <c r="AF126" s="214" t="str">
        <f>IFERROR(__xludf.DUMMYFUNCTION("""COMPUTED_VALUE"""),"기타")</f>
        <v>기타</v>
      </c>
      <c r="AG126" s="214"/>
      <c r="AH126" s="214"/>
      <c r="AI126" s="214"/>
      <c r="AJ126" s="215"/>
    </row>
    <row r="127">
      <c r="H127" s="208">
        <v>45917.0</v>
      </c>
      <c r="I127" s="217" t="s">
        <v>45</v>
      </c>
      <c r="J127" s="217" t="s">
        <v>8</v>
      </c>
      <c r="K127" s="218">
        <v>12670.0</v>
      </c>
      <c r="L127" s="211" t="s">
        <v>62</v>
      </c>
      <c r="M127" s="143"/>
      <c r="N127" s="211" t="s">
        <v>856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IFERROR(__xludf.DUMMYFUNCTION("FILTER('설정시트'!$D$7:$L$20,'설정시트'!$C$7:$C$20=I127)"),"약국")</f>
        <v>약국</v>
      </c>
      <c r="AC127" s="214" t="str">
        <f>IFERROR(__xludf.DUMMYFUNCTION("""COMPUTED_VALUE"""),"병원비")</f>
        <v>병원비</v>
      </c>
      <c r="AD127" s="214" t="str">
        <f>IFERROR(__xludf.DUMMYFUNCTION("""COMPUTED_VALUE"""),"영양제")</f>
        <v>영양제</v>
      </c>
      <c r="AE127" s="214" t="str">
        <f>IFERROR(__xludf.DUMMYFUNCTION("""COMPUTED_VALUE"""),"교통비")</f>
        <v>교통비</v>
      </c>
      <c r="AF127" s="214" t="str">
        <f>IFERROR(__xludf.DUMMYFUNCTION("""COMPUTED_VALUE"""),"주유비")</f>
        <v>주유비</v>
      </c>
      <c r="AG127" s="214"/>
      <c r="AH127" s="214" t="str">
        <f>IFERROR(__xludf.DUMMYFUNCTION("""COMPUTED_VALUE"""),"기타")</f>
        <v>기타</v>
      </c>
      <c r="AI127" s="214"/>
      <c r="AJ127" s="215"/>
    </row>
    <row r="128">
      <c r="H128" s="208">
        <v>45918.0</v>
      </c>
      <c r="I128" s="217" t="s">
        <v>31</v>
      </c>
      <c r="J128" s="217" t="s">
        <v>29</v>
      </c>
      <c r="K128" s="218">
        <v>2800.0</v>
      </c>
      <c r="L128" s="211" t="s">
        <v>61</v>
      </c>
      <c r="M128" s="143"/>
      <c r="N128" s="211" t="s">
        <v>857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IFERROR(__xludf.DUMMYFUNCTION("FILTER('설정시트'!$D$7:$L$20,'설정시트'!$C$7:$C$20=I128)"),"식재료비")</f>
        <v>식재료비</v>
      </c>
      <c r="AC128" s="214" t="str">
        <f>IFERROR(__xludf.DUMMYFUNCTION("""COMPUTED_VALUE"""),"회사점심")</f>
        <v>회사점심</v>
      </c>
      <c r="AD128" s="214" t="str">
        <f>IFERROR(__xludf.DUMMYFUNCTION("""COMPUTED_VALUE"""),"간식/카페")</f>
        <v>간식/카페</v>
      </c>
      <c r="AE128" s="214" t="str">
        <f>IFERROR(__xludf.DUMMYFUNCTION("""COMPUTED_VALUE"""),"외식/배달")</f>
        <v>외식/배달</v>
      </c>
      <c r="AF128" s="214" t="str">
        <f>IFERROR(__xludf.DUMMYFUNCTION("""COMPUTED_VALUE"""),"기타")</f>
        <v>기타</v>
      </c>
      <c r="AG128" s="214"/>
      <c r="AH128" s="214"/>
      <c r="AI128" s="214"/>
      <c r="AJ128" s="215"/>
    </row>
    <row r="129">
      <c r="H129" s="208">
        <v>45919.0</v>
      </c>
      <c r="I129" s="217" t="s">
        <v>31</v>
      </c>
      <c r="J129" s="217" t="s">
        <v>29</v>
      </c>
      <c r="K129" s="218">
        <v>2100.0</v>
      </c>
      <c r="L129" s="211" t="s">
        <v>61</v>
      </c>
      <c r="M129" s="143"/>
      <c r="N129" s="211" t="s">
        <v>857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IFERROR(__xludf.DUMMYFUNCTION("FILTER('설정시트'!$D$7:$L$20,'설정시트'!$C$7:$C$20=I129)"),"식재료비")</f>
        <v>식재료비</v>
      </c>
      <c r="AC129" s="214" t="str">
        <f>IFERROR(__xludf.DUMMYFUNCTION("""COMPUTED_VALUE"""),"회사점심")</f>
        <v>회사점심</v>
      </c>
      <c r="AD129" s="214" t="str">
        <f>IFERROR(__xludf.DUMMYFUNCTION("""COMPUTED_VALUE"""),"간식/카페")</f>
        <v>간식/카페</v>
      </c>
      <c r="AE129" s="214" t="str">
        <f>IFERROR(__xludf.DUMMYFUNCTION("""COMPUTED_VALUE"""),"외식/배달")</f>
        <v>외식/배달</v>
      </c>
      <c r="AF129" s="214" t="str">
        <f>IFERROR(__xludf.DUMMYFUNCTION("""COMPUTED_VALUE"""),"기타")</f>
        <v>기타</v>
      </c>
      <c r="AG129" s="214"/>
      <c r="AH129" s="214"/>
      <c r="AI129" s="214"/>
      <c r="AJ129" s="215"/>
    </row>
    <row r="130">
      <c r="H130" s="208">
        <v>45919.0</v>
      </c>
      <c r="I130" s="217" t="s">
        <v>3</v>
      </c>
      <c r="J130" s="217" t="s">
        <v>8</v>
      </c>
      <c r="K130" s="218">
        <v>163900.0</v>
      </c>
      <c r="L130" s="211"/>
      <c r="M130" s="143"/>
      <c r="N130" s="211" t="s">
        <v>858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IFERROR(__xludf.DUMMYFUNCTION("FILTER('설정시트'!$D$7:$L$20,'설정시트'!$C$7:$C$20=I130)"),"🍪 월급")</f>
        <v>🍪 월급</v>
      </c>
      <c r="AC130" s="214" t="str">
        <f>IFERROR(__xludf.DUMMYFUNCTION("""COMPUTED_VALUE"""),"🍪 부수입")</f>
        <v>🍪 부수입</v>
      </c>
      <c r="AD130" s="214" t="str">
        <f>IFERROR(__xludf.DUMMYFUNCTION("""COMPUTED_VALUE"""),"🐻 월급")</f>
        <v>🐻 월급</v>
      </c>
      <c r="AE130" s="214" t="str">
        <f>IFERROR(__xludf.DUMMYFUNCTION("""COMPUTED_VALUE"""),"🐻 부수입")</f>
        <v>🐻 부수입</v>
      </c>
      <c r="AF130" s="214" t="str">
        <f>IFERROR(__xludf.DUMMYFUNCTION("""COMPUTED_VALUE"""),"기타")</f>
        <v>기타</v>
      </c>
      <c r="AG130" s="214"/>
      <c r="AH130" s="214"/>
      <c r="AI130" s="214"/>
      <c r="AJ130" s="215"/>
    </row>
    <row r="131">
      <c r="H131" s="208">
        <v>45925.0</v>
      </c>
      <c r="I131" s="217" t="s">
        <v>9</v>
      </c>
      <c r="J131" s="217" t="s">
        <v>13</v>
      </c>
      <c r="K131" s="218">
        <v>100000.0</v>
      </c>
      <c r="L131" s="211"/>
      <c r="M131" s="143"/>
      <c r="N131" s="213"/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IFERROR(__xludf.DUMMYFUNCTION("FILTER('설정시트'!$D$7:$L$20,'설정시트'!$C$7:$C$20=I131)"),"주택청약")</f>
        <v>주택청약</v>
      </c>
      <c r="AC131" s="214" t="str">
        <f>IFERROR(__xludf.DUMMYFUNCTION("""COMPUTED_VALUE"""),"우리은행")</f>
        <v>우리은행</v>
      </c>
      <c r="AD131" s="214" t="str">
        <f>IFERROR(__xludf.DUMMYFUNCTION("""COMPUTED_VALUE"""),"케이뱅크")</f>
        <v>케이뱅크</v>
      </c>
      <c r="AE131" s="214" t="str">
        <f>IFERROR(__xludf.DUMMYFUNCTION("""COMPUTED_VALUE"""),"연금저축")</f>
        <v>연금저축</v>
      </c>
      <c r="AF131" s="214"/>
      <c r="AG131" s="214"/>
      <c r="AH131" s="214"/>
      <c r="AI131" s="214"/>
      <c r="AJ131" s="215"/>
    </row>
    <row r="132">
      <c r="H132" s="208">
        <v>45925.0</v>
      </c>
      <c r="I132" s="217" t="s">
        <v>21</v>
      </c>
      <c r="J132" s="217" t="s">
        <v>20</v>
      </c>
      <c r="K132" s="218">
        <v>20000.0</v>
      </c>
      <c r="L132" s="211" t="s">
        <v>62</v>
      </c>
      <c r="M132" s="143"/>
      <c r="N132" s="211" t="s">
        <v>276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IFERROR(__xludf.DUMMYFUNCTION("FILTER('설정시트'!$D$7:$L$20,'설정시트'!$C$7:$C$20=I132)"),"관리비")</f>
        <v>관리비</v>
      </c>
      <c r="AC132" s="214" t="str">
        <f>IFERROR(__xludf.DUMMYFUNCTION("""COMPUTED_VALUE"""),"대출이자")</f>
        <v>대출이자</v>
      </c>
      <c r="AD132" s="214" t="str">
        <f>IFERROR(__xludf.DUMMYFUNCTION("""COMPUTED_VALUE"""),"통신비")</f>
        <v>통신비</v>
      </c>
      <c r="AE132" s="214" t="str">
        <f>IFERROR(__xludf.DUMMYFUNCTION("""COMPUTED_VALUE"""),"보험료")</f>
        <v>보험료</v>
      </c>
      <c r="AF132" s="214" t="str">
        <f>IFERROR(__xludf.DUMMYFUNCTION("""COMPUTED_VALUE"""),"곗돈")</f>
        <v>곗돈</v>
      </c>
      <c r="AG132" s="214"/>
      <c r="AH132" s="214"/>
      <c r="AI132" s="214"/>
      <c r="AJ132" s="215"/>
    </row>
    <row r="133">
      <c r="H133" s="208">
        <v>45925.0</v>
      </c>
      <c r="I133" s="217" t="s">
        <v>3</v>
      </c>
      <c r="J133" s="217" t="s">
        <v>8</v>
      </c>
      <c r="K133" s="218">
        <v>120000.0</v>
      </c>
      <c r="L133" s="211"/>
      <c r="M133" s="143"/>
      <c r="N133" s="211" t="s">
        <v>859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IFERROR(__xludf.DUMMYFUNCTION("FILTER('설정시트'!$D$7:$L$20,'설정시트'!$C$7:$C$20=I133)"),"🍪 월급")</f>
        <v>🍪 월급</v>
      </c>
      <c r="AC133" s="214" t="str">
        <f>IFERROR(__xludf.DUMMYFUNCTION("""COMPUTED_VALUE"""),"🍪 부수입")</f>
        <v>🍪 부수입</v>
      </c>
      <c r="AD133" s="214" t="str">
        <f>IFERROR(__xludf.DUMMYFUNCTION("""COMPUTED_VALUE"""),"🐻 월급")</f>
        <v>🐻 월급</v>
      </c>
      <c r="AE133" s="214" t="str">
        <f>IFERROR(__xludf.DUMMYFUNCTION("""COMPUTED_VALUE"""),"🐻 부수입")</f>
        <v>🐻 부수입</v>
      </c>
      <c r="AF133" s="214" t="str">
        <f>IFERROR(__xludf.DUMMYFUNCTION("""COMPUTED_VALUE"""),"기타")</f>
        <v>기타</v>
      </c>
      <c r="AG133" s="214"/>
      <c r="AH133" s="214"/>
      <c r="AI133" s="214"/>
      <c r="AJ133" s="215"/>
    </row>
    <row r="134">
      <c r="H134" s="208">
        <v>45925.0</v>
      </c>
      <c r="I134" s="217" t="s">
        <v>3</v>
      </c>
      <c r="J134" s="217" t="s">
        <v>8</v>
      </c>
      <c r="K134" s="218">
        <v>163900.0</v>
      </c>
      <c r="L134" s="211"/>
      <c r="M134" s="143"/>
      <c r="N134" s="211" t="s">
        <v>860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IFERROR(__xludf.DUMMYFUNCTION("FILTER('설정시트'!$D$7:$L$20,'설정시트'!$C$7:$C$20=I134)"),"🍪 월급")</f>
        <v>🍪 월급</v>
      </c>
      <c r="AC134" s="214" t="str">
        <f>IFERROR(__xludf.DUMMYFUNCTION("""COMPUTED_VALUE"""),"🍪 부수입")</f>
        <v>🍪 부수입</v>
      </c>
      <c r="AD134" s="214" t="str">
        <f>IFERROR(__xludf.DUMMYFUNCTION("""COMPUTED_VALUE"""),"🐻 월급")</f>
        <v>🐻 월급</v>
      </c>
      <c r="AE134" s="214" t="str">
        <f>IFERROR(__xludf.DUMMYFUNCTION("""COMPUTED_VALUE"""),"🐻 부수입")</f>
        <v>🐻 부수입</v>
      </c>
      <c r="AF134" s="214" t="str">
        <f>IFERROR(__xludf.DUMMYFUNCTION("""COMPUTED_VALUE"""),"기타")</f>
        <v>기타</v>
      </c>
      <c r="AG134" s="214"/>
      <c r="AH134" s="214"/>
      <c r="AI134" s="214"/>
      <c r="AJ134" s="215"/>
    </row>
    <row r="135">
      <c r="H135" s="208">
        <v>45925.0</v>
      </c>
      <c r="I135" s="217" t="s">
        <v>21</v>
      </c>
      <c r="J135" s="217" t="s">
        <v>19</v>
      </c>
      <c r="K135" s="218">
        <v>88010.0</v>
      </c>
      <c r="L135" s="211" t="s">
        <v>61</v>
      </c>
      <c r="M135" s="143"/>
      <c r="N135" s="211" t="s">
        <v>282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IFERROR(__xludf.DUMMYFUNCTION("FILTER('설정시트'!$D$7:$L$20,'설정시트'!$C$7:$C$20=I135)"),"관리비")</f>
        <v>관리비</v>
      </c>
      <c r="AC135" s="214" t="str">
        <f>IFERROR(__xludf.DUMMYFUNCTION("""COMPUTED_VALUE"""),"대출이자")</f>
        <v>대출이자</v>
      </c>
      <c r="AD135" s="214" t="str">
        <f>IFERROR(__xludf.DUMMYFUNCTION("""COMPUTED_VALUE"""),"통신비")</f>
        <v>통신비</v>
      </c>
      <c r="AE135" s="214" t="str">
        <f>IFERROR(__xludf.DUMMYFUNCTION("""COMPUTED_VALUE"""),"보험료")</f>
        <v>보험료</v>
      </c>
      <c r="AF135" s="214" t="str">
        <f>IFERROR(__xludf.DUMMYFUNCTION("""COMPUTED_VALUE"""),"곗돈")</f>
        <v>곗돈</v>
      </c>
      <c r="AG135" s="214"/>
      <c r="AH135" s="214"/>
      <c r="AI135" s="214"/>
      <c r="AJ135" s="215"/>
    </row>
    <row r="136">
      <c r="H136" s="208">
        <v>45930.0</v>
      </c>
      <c r="I136" s="217" t="s">
        <v>31</v>
      </c>
      <c r="J136" s="217" t="s">
        <v>29</v>
      </c>
      <c r="K136" s="218">
        <v>2900.0</v>
      </c>
      <c r="L136" s="211" t="s">
        <v>62</v>
      </c>
      <c r="M136" s="143"/>
      <c r="N136" s="211" t="s">
        <v>852</v>
      </c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IFERROR(__xludf.DUMMYFUNCTION("FILTER('설정시트'!$D$7:$L$20,'설정시트'!$C$7:$C$20=I136)"),"식재료비")</f>
        <v>식재료비</v>
      </c>
      <c r="AC136" s="214" t="str">
        <f>IFERROR(__xludf.DUMMYFUNCTION("""COMPUTED_VALUE"""),"회사점심")</f>
        <v>회사점심</v>
      </c>
      <c r="AD136" s="214" t="str">
        <f>IFERROR(__xludf.DUMMYFUNCTION("""COMPUTED_VALUE"""),"간식/카페")</f>
        <v>간식/카페</v>
      </c>
      <c r="AE136" s="214" t="str">
        <f>IFERROR(__xludf.DUMMYFUNCTION("""COMPUTED_VALUE"""),"외식/배달")</f>
        <v>외식/배달</v>
      </c>
      <c r="AF136" s="214" t="str">
        <f>IFERROR(__xludf.DUMMYFUNCTION("""COMPUTED_VALUE"""),"기타")</f>
        <v>기타</v>
      </c>
      <c r="AG136" s="214"/>
      <c r="AH136" s="214"/>
      <c r="AI136" s="214"/>
      <c r="AJ136" s="215"/>
    </row>
    <row r="137">
      <c r="H137" s="208"/>
      <c r="I137" s="217"/>
      <c r="J137" s="217"/>
      <c r="K137" s="218"/>
      <c r="L137" s="211"/>
      <c r="M137" s="143"/>
      <c r="N137" s="213"/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IFERROR(__xludf.DUMMYFUNCTION("FILTER('설정시트'!$D$7:$L$20,'설정시트'!$C$7:$C$20=I137)"),"#N/A")</f>
        <v>#N/A</v>
      </c>
      <c r="AC137" s="214"/>
      <c r="AD137" s="214"/>
      <c r="AE137" s="214"/>
      <c r="AF137" s="214"/>
      <c r="AG137" s="214"/>
      <c r="AH137" s="214"/>
      <c r="AI137" s="214"/>
    </row>
    <row r="138">
      <c r="H138" s="208"/>
      <c r="I138" s="217"/>
      <c r="J138" s="217"/>
      <c r="K138" s="218"/>
      <c r="L138" s="211"/>
      <c r="M138" s="143"/>
      <c r="N138" s="213"/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IFERROR(__xludf.DUMMYFUNCTION("FILTER('설정시트'!$D$7:$L$20,'설정시트'!$C$7:$C$20=I138)"),"#N/A")</f>
        <v>#N/A</v>
      </c>
      <c r="AC138" s="214"/>
      <c r="AD138" s="214"/>
      <c r="AE138" s="214"/>
      <c r="AF138" s="214"/>
      <c r="AG138" s="214"/>
      <c r="AH138" s="214"/>
      <c r="AI138" s="214"/>
    </row>
    <row r="139">
      <c r="H139" s="208"/>
      <c r="I139" s="217"/>
      <c r="J139" s="217"/>
      <c r="K139" s="218"/>
      <c r="L139" s="211"/>
      <c r="M139" s="143"/>
      <c r="N139" s="213"/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IFERROR(__xludf.DUMMYFUNCTION("FILTER('설정시트'!$D$7:$L$20,'설정시트'!$C$7:$C$20=I139)"),"#N/A")</f>
        <v>#N/A</v>
      </c>
      <c r="AC139" s="214"/>
      <c r="AD139" s="214"/>
      <c r="AE139" s="214"/>
      <c r="AF139" s="214"/>
      <c r="AG139" s="214"/>
      <c r="AH139" s="214"/>
      <c r="AI139" s="214"/>
    </row>
    <row r="140">
      <c r="H140" s="208"/>
      <c r="I140" s="217"/>
      <c r="J140" s="217"/>
      <c r="K140" s="218"/>
      <c r="L140" s="211"/>
      <c r="M140" s="143"/>
      <c r="N140" s="213"/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IFERROR(__xludf.DUMMYFUNCTION("FILTER('설정시트'!$D$7:$L$20,'설정시트'!$C$7:$C$20=I140)"),"#N/A")</f>
        <v>#N/A</v>
      </c>
      <c r="AC140" s="214"/>
      <c r="AD140" s="214"/>
      <c r="AE140" s="214"/>
      <c r="AF140" s="214"/>
      <c r="AG140" s="214"/>
      <c r="AH140" s="214"/>
      <c r="AI140" s="214"/>
    </row>
    <row r="141">
      <c r="H141" s="208"/>
      <c r="I141" s="217"/>
      <c r="J141" s="217"/>
      <c r="K141" s="218"/>
      <c r="L141" s="211"/>
      <c r="M141" s="143"/>
      <c r="N141" s="213"/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IFERROR(__xludf.DUMMYFUNCTION("FILTER('설정시트'!$D$7:$L$20,'설정시트'!$C$7:$C$20=I141)"),"#N/A")</f>
        <v>#N/A</v>
      </c>
      <c r="AC141" s="214"/>
      <c r="AD141" s="214"/>
      <c r="AE141" s="214"/>
      <c r="AF141" s="214"/>
      <c r="AG141" s="214"/>
      <c r="AH141" s="214"/>
      <c r="AI141" s="214"/>
    </row>
    <row r="142">
      <c r="H142" s="208"/>
      <c r="I142" s="217"/>
      <c r="J142" s="217"/>
      <c r="K142" s="218"/>
      <c r="L142" s="211"/>
      <c r="M142" s="143"/>
      <c r="N142" s="213"/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IFERROR(__xludf.DUMMYFUNCTION("FILTER('설정시트'!$D$7:$L$20,'설정시트'!$C$7:$C$20=I142)"),"#N/A")</f>
        <v>#N/A</v>
      </c>
      <c r="AC142" s="214"/>
      <c r="AD142" s="214"/>
      <c r="AE142" s="214"/>
      <c r="AF142" s="214"/>
      <c r="AG142" s="214"/>
      <c r="AH142" s="214"/>
      <c r="AI142" s="214"/>
    </row>
    <row r="143">
      <c r="H143" s="208"/>
      <c r="I143" s="217"/>
      <c r="J143" s="217"/>
      <c r="K143" s="218"/>
      <c r="L143" s="211"/>
      <c r="M143" s="143"/>
      <c r="N143" s="213"/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IFERROR(__xludf.DUMMYFUNCTION("FILTER('설정시트'!$D$7:$L$20,'설정시트'!$C$7:$C$20=I143)"),"#N/A")</f>
        <v>#N/A</v>
      </c>
      <c r="AC143" s="214"/>
      <c r="AD143" s="214"/>
      <c r="AE143" s="214"/>
      <c r="AF143" s="214"/>
      <c r="AG143" s="214"/>
      <c r="AH143" s="214"/>
      <c r="AI143" s="214"/>
    </row>
    <row r="144">
      <c r="H144" s="208"/>
      <c r="I144" s="217"/>
      <c r="J144" s="217"/>
      <c r="K144" s="218"/>
      <c r="L144" s="211"/>
      <c r="M144" s="143"/>
      <c r="N144" s="213"/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IFERROR(__xludf.DUMMYFUNCTION("FILTER('설정시트'!$D$7:$L$20,'설정시트'!$C$7:$C$20=I144)"),"#N/A")</f>
        <v>#N/A</v>
      </c>
      <c r="AC144" s="214"/>
      <c r="AD144" s="214"/>
      <c r="AE144" s="214"/>
      <c r="AF144" s="214"/>
      <c r="AG144" s="214"/>
      <c r="AH144" s="214"/>
      <c r="AI144" s="214"/>
    </row>
    <row r="145">
      <c r="H145" s="208"/>
      <c r="I145" s="217"/>
      <c r="J145" s="217"/>
      <c r="K145" s="218"/>
      <c r="L145" s="211"/>
      <c r="M145" s="143"/>
      <c r="N145" s="213"/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IFERROR(__xludf.DUMMYFUNCTION("FILTER('설정시트'!$D$7:$L$20,'설정시트'!$C$7:$C$20=I145)"),"#N/A")</f>
        <v>#N/A</v>
      </c>
      <c r="AC145" s="214"/>
      <c r="AD145" s="214"/>
      <c r="AE145" s="214"/>
      <c r="AF145" s="214"/>
      <c r="AG145" s="214"/>
      <c r="AH145" s="214"/>
      <c r="AI145" s="214"/>
    </row>
    <row r="146">
      <c r="H146" s="208"/>
      <c r="I146" s="217"/>
      <c r="J146" s="217"/>
      <c r="K146" s="218"/>
      <c r="L146" s="211"/>
      <c r="M146" s="143"/>
      <c r="N146" s="213"/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IFERROR(__xludf.DUMMYFUNCTION("FILTER('설정시트'!$D$7:$L$20,'설정시트'!$C$7:$C$20=I146)"),"#N/A")</f>
        <v>#N/A</v>
      </c>
      <c r="AC146" s="214"/>
      <c r="AD146" s="214"/>
      <c r="AE146" s="214"/>
      <c r="AF146" s="214"/>
      <c r="AG146" s="214"/>
      <c r="AH146" s="214"/>
      <c r="AI146" s="214"/>
    </row>
    <row r="147">
      <c r="H147" s="208"/>
      <c r="I147" s="217"/>
      <c r="J147" s="217"/>
      <c r="K147" s="218"/>
      <c r="L147" s="211"/>
      <c r="M147" s="143"/>
      <c r="N147" s="213"/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IFERROR(__xludf.DUMMYFUNCTION("FILTER('설정시트'!$D$7:$L$20,'설정시트'!$C$7:$C$20=I147)"),"#N/A")</f>
        <v>#N/A</v>
      </c>
      <c r="AC147" s="214"/>
      <c r="AD147" s="214"/>
      <c r="AE147" s="214"/>
      <c r="AF147" s="214"/>
      <c r="AG147" s="214"/>
      <c r="AH147" s="214"/>
      <c r="AI147" s="214"/>
    </row>
    <row r="148">
      <c r="H148" s="208"/>
      <c r="I148" s="217"/>
      <c r="J148" s="217"/>
      <c r="K148" s="218"/>
      <c r="L148" s="211"/>
      <c r="M148" s="143"/>
      <c r="N148" s="213"/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IFERROR(__xludf.DUMMYFUNCTION("FILTER('설정시트'!$D$7:$L$20,'설정시트'!$C$7:$C$20=I148)"),"#N/A")</f>
        <v>#N/A</v>
      </c>
      <c r="AC148" s="214"/>
      <c r="AD148" s="214"/>
      <c r="AE148" s="214"/>
      <c r="AF148" s="214"/>
      <c r="AG148" s="214"/>
      <c r="AH148" s="214"/>
      <c r="AI148" s="214"/>
    </row>
    <row r="149">
      <c r="H149" s="208"/>
      <c r="I149" s="217"/>
      <c r="J149" s="217"/>
      <c r="K149" s="218"/>
      <c r="L149" s="211"/>
      <c r="M149" s="143"/>
      <c r="N149" s="213"/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IFERROR(__xludf.DUMMYFUNCTION("FILTER('설정시트'!$D$7:$L$20,'설정시트'!$C$7:$C$20=I149)"),"#N/A")</f>
        <v>#N/A</v>
      </c>
      <c r="AC149" s="214"/>
      <c r="AD149" s="214"/>
      <c r="AE149" s="214"/>
      <c r="AF149" s="214"/>
      <c r="AG149" s="214"/>
      <c r="AH149" s="214"/>
      <c r="AI149" s="214"/>
    </row>
    <row r="150">
      <c r="H150" s="221"/>
      <c r="I150" s="217"/>
      <c r="J150" s="217"/>
      <c r="K150" s="218"/>
      <c r="L150" s="211"/>
      <c r="M150" s="143"/>
      <c r="N150" s="213"/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IFERROR(__xludf.DUMMYFUNCTION("FILTER('설정시트'!$D$7:$L$20,'설정시트'!$C$7:$C$20=I150)"),"#N/A")</f>
        <v>#N/A</v>
      </c>
      <c r="AC150" s="214"/>
      <c r="AD150" s="214"/>
      <c r="AE150" s="214"/>
      <c r="AF150" s="214"/>
      <c r="AG150" s="214"/>
      <c r="AH150" s="214"/>
      <c r="AI150" s="214"/>
    </row>
    <row r="151">
      <c r="H151" s="221"/>
      <c r="I151" s="222"/>
      <c r="J151" s="217"/>
      <c r="K151" s="220"/>
      <c r="L151" s="213"/>
      <c r="M151" s="143"/>
      <c r="N151" s="213"/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IFERROR(__xludf.DUMMYFUNCTION("FILTER('설정시트'!$D$7:$L$20,'설정시트'!$C$7:$C$20=I151)"),"#N/A")</f>
        <v>#N/A</v>
      </c>
      <c r="AC151" s="214"/>
      <c r="AD151" s="214"/>
      <c r="AE151" s="214"/>
      <c r="AF151" s="214"/>
      <c r="AG151" s="214"/>
      <c r="AH151" s="214"/>
      <c r="AI151" s="214"/>
    </row>
    <row r="152">
      <c r="H152" s="221"/>
      <c r="I152" s="222"/>
      <c r="J152" s="217"/>
      <c r="K152" s="220"/>
      <c r="L152" s="213"/>
      <c r="M152" s="143"/>
      <c r="N152" s="213"/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IFERROR(__xludf.DUMMYFUNCTION("FILTER('설정시트'!$D$7:$L$20,'설정시트'!$C$7:$C$20=I152)"),"#N/A")</f>
        <v>#N/A</v>
      </c>
      <c r="AC152" s="214"/>
      <c r="AD152" s="214"/>
      <c r="AE152" s="214"/>
      <c r="AF152" s="214"/>
      <c r="AG152" s="214"/>
      <c r="AH152" s="214"/>
      <c r="AI152" s="214"/>
    </row>
    <row r="153">
      <c r="H153" s="221"/>
      <c r="I153" s="222"/>
      <c r="J153" s="217"/>
      <c r="K153" s="220"/>
      <c r="L153" s="213"/>
      <c r="M153" s="143"/>
      <c r="N153" s="213"/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IFERROR(__xludf.DUMMYFUNCTION("FILTER('설정시트'!$D$7:$L$20,'설정시트'!$C$7:$C$20=I153)"),"#N/A")</f>
        <v>#N/A</v>
      </c>
      <c r="AC153" s="214"/>
      <c r="AD153" s="214"/>
      <c r="AE153" s="214"/>
      <c r="AF153" s="214"/>
      <c r="AG153" s="214"/>
      <c r="AH153" s="214"/>
      <c r="AI153" s="214"/>
    </row>
    <row r="154">
      <c r="H154" s="221"/>
      <c r="I154" s="222"/>
      <c r="J154" s="217"/>
      <c r="K154" s="220"/>
      <c r="L154" s="213"/>
      <c r="M154" s="143"/>
      <c r="N154" s="213"/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IFERROR(__xludf.DUMMYFUNCTION("FILTER('설정시트'!$D$7:$L$20,'설정시트'!$C$7:$C$20=I154)"),"#N/A")</f>
        <v>#N/A</v>
      </c>
      <c r="AC154" s="214"/>
      <c r="AD154" s="214"/>
      <c r="AE154" s="214"/>
      <c r="AF154" s="214"/>
      <c r="AG154" s="214"/>
      <c r="AH154" s="214"/>
      <c r="AI154" s="214"/>
    </row>
    <row r="155">
      <c r="H155" s="221"/>
      <c r="I155" s="222"/>
      <c r="J155" s="217"/>
      <c r="K155" s="220"/>
      <c r="L155" s="213"/>
      <c r="M155" s="143"/>
      <c r="N155" s="213"/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IFERROR(__xludf.DUMMYFUNCTION("FILTER('설정시트'!$D$7:$L$20,'설정시트'!$C$7:$C$20=I155)"),"#N/A")</f>
        <v>#N/A</v>
      </c>
      <c r="AC155" s="214"/>
      <c r="AD155" s="214"/>
      <c r="AE155" s="214"/>
      <c r="AF155" s="214"/>
      <c r="AG155" s="214"/>
      <c r="AH155" s="214"/>
      <c r="AI155" s="214"/>
    </row>
    <row r="156">
      <c r="H156" s="221"/>
      <c r="I156" s="222"/>
      <c r="J156" s="217"/>
      <c r="K156" s="220"/>
      <c r="L156" s="213"/>
      <c r="M156" s="143"/>
      <c r="N156" s="213"/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IFERROR(__xludf.DUMMYFUNCTION("FILTER('설정시트'!$D$7:$L$20,'설정시트'!$C$7:$C$20=I156)"),"#N/A")</f>
        <v>#N/A</v>
      </c>
      <c r="AC156" s="214"/>
      <c r="AD156" s="214"/>
      <c r="AE156" s="214"/>
      <c r="AF156" s="214"/>
      <c r="AG156" s="214"/>
      <c r="AH156" s="214"/>
      <c r="AI156" s="214"/>
    </row>
    <row r="157">
      <c r="H157" s="221"/>
      <c r="I157" s="222"/>
      <c r="J157" s="217"/>
      <c r="K157" s="220"/>
      <c r="L157" s="213"/>
      <c r="M157" s="143"/>
      <c r="N157" s="213"/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IFERROR(__xludf.DUMMYFUNCTION("FILTER('설정시트'!$D$7:$L$20,'설정시트'!$C$7:$C$20=I157)"),"#N/A")</f>
        <v>#N/A</v>
      </c>
      <c r="AC157" s="214"/>
      <c r="AD157" s="214"/>
      <c r="AE157" s="214"/>
      <c r="AF157" s="214"/>
      <c r="AG157" s="214"/>
      <c r="AH157" s="214"/>
      <c r="AI157" s="214"/>
    </row>
    <row r="158">
      <c r="H158" s="221"/>
      <c r="I158" s="222"/>
      <c r="J158" s="217"/>
      <c r="K158" s="220"/>
      <c r="L158" s="213"/>
      <c r="M158" s="143"/>
      <c r="N158" s="213"/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IFERROR(__xludf.DUMMYFUNCTION("FILTER('설정시트'!$D$7:$L$20,'설정시트'!$C$7:$C$20=I158)"),"#N/A")</f>
        <v>#N/A</v>
      </c>
      <c r="AC158" s="214"/>
      <c r="AD158" s="214"/>
      <c r="AE158" s="214"/>
      <c r="AF158" s="214"/>
      <c r="AG158" s="214"/>
      <c r="AH158" s="214"/>
      <c r="AI158" s="214"/>
    </row>
    <row r="159">
      <c r="H159" s="221"/>
      <c r="I159" s="222"/>
      <c r="J159" s="217"/>
      <c r="K159" s="220"/>
      <c r="L159" s="213"/>
      <c r="M159" s="143"/>
      <c r="N159" s="213"/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IFERROR(__xludf.DUMMYFUNCTION("FILTER('설정시트'!$D$7:$L$20,'설정시트'!$C$7:$C$20=I159)"),"#N/A")</f>
        <v>#N/A</v>
      </c>
      <c r="AC159" s="214"/>
      <c r="AD159" s="214"/>
      <c r="AE159" s="214"/>
      <c r="AF159" s="214"/>
      <c r="AG159" s="214"/>
      <c r="AH159" s="214"/>
      <c r="AI159" s="214"/>
    </row>
    <row r="160">
      <c r="H160" s="221"/>
      <c r="I160" s="222"/>
      <c r="J160" s="217"/>
      <c r="K160" s="220"/>
      <c r="L160" s="213"/>
      <c r="M160" s="143"/>
      <c r="N160" s="213"/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IFERROR(__xludf.DUMMYFUNCTION("FILTER('설정시트'!$D$7:$L$20,'설정시트'!$C$7:$C$20=I160)"),"#N/A")</f>
        <v>#N/A</v>
      </c>
      <c r="AC160" s="214"/>
      <c r="AD160" s="214"/>
      <c r="AE160" s="214"/>
      <c r="AF160" s="214"/>
      <c r="AG160" s="214"/>
      <c r="AH160" s="214"/>
      <c r="AI160" s="214"/>
    </row>
    <row r="161">
      <c r="H161" s="221"/>
      <c r="I161" s="222"/>
      <c r="J161" s="217"/>
      <c r="K161" s="220"/>
      <c r="L161" s="213"/>
      <c r="M161" s="143"/>
      <c r="N161" s="213"/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IFERROR(__xludf.DUMMYFUNCTION("FILTER('설정시트'!$D$7:$L$20,'설정시트'!$C$7:$C$20=I161)"),"#N/A")</f>
        <v>#N/A</v>
      </c>
      <c r="AC161" s="214"/>
      <c r="AD161" s="214"/>
      <c r="AE161" s="214"/>
      <c r="AF161" s="214"/>
      <c r="AG161" s="214"/>
      <c r="AH161" s="214"/>
      <c r="AI161" s="214"/>
    </row>
    <row r="162">
      <c r="H162" s="221"/>
      <c r="I162" s="222"/>
      <c r="J162" s="217"/>
      <c r="K162" s="220"/>
      <c r="L162" s="213"/>
      <c r="M162" s="143"/>
      <c r="N162" s="213"/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IFERROR(__xludf.DUMMYFUNCTION("FILTER('설정시트'!$D$7:$L$20,'설정시트'!$C$7:$C$20=I162)"),"#N/A")</f>
        <v>#N/A</v>
      </c>
      <c r="AC162" s="214"/>
      <c r="AD162" s="214"/>
      <c r="AE162" s="214"/>
      <c r="AF162" s="214"/>
      <c r="AG162" s="214"/>
      <c r="AH162" s="214"/>
      <c r="AI162" s="214"/>
    </row>
    <row r="163">
      <c r="H163" s="221"/>
      <c r="I163" s="222"/>
      <c r="J163" s="217"/>
      <c r="K163" s="220"/>
      <c r="L163" s="213"/>
      <c r="M163" s="143"/>
      <c r="N163" s="213"/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IFERROR(__xludf.DUMMYFUNCTION("FILTER('설정시트'!$D$7:$L$20,'설정시트'!$C$7:$C$20=I163)"),"#N/A")</f>
        <v>#N/A</v>
      </c>
      <c r="AC163" s="214"/>
      <c r="AD163" s="214"/>
      <c r="AE163" s="214"/>
      <c r="AF163" s="214"/>
      <c r="AG163" s="214"/>
      <c r="AH163" s="214"/>
      <c r="AI163" s="214"/>
    </row>
    <row r="164">
      <c r="H164" s="221"/>
      <c r="I164" s="222"/>
      <c r="J164" s="217"/>
      <c r="K164" s="220"/>
      <c r="L164" s="213"/>
      <c r="M164" s="143"/>
      <c r="N164" s="213"/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IFERROR(__xludf.DUMMYFUNCTION("FILTER('설정시트'!$D$7:$L$20,'설정시트'!$C$7:$C$20=I164)"),"#N/A")</f>
        <v>#N/A</v>
      </c>
      <c r="AC164" s="214"/>
      <c r="AD164" s="214"/>
      <c r="AE164" s="214"/>
      <c r="AF164" s="214"/>
      <c r="AG164" s="214"/>
      <c r="AH164" s="214"/>
      <c r="AI164" s="214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1306F103-82DB-4721-A081-DFC677B29403}" filter="1" showAutoFilter="1">
      <autoFilter ref="$H$61:$J$150"/>
    </customSheetView>
    <customSheetView guid="{48029EEC-043B-4596-BD82-4885B5601D90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198">
      <formula1>'9월'!$AB$198:$AI$198</formula1>
    </dataValidation>
    <dataValidation type="list" allowBlank="1" showErrorMessage="1" sqref="J97">
      <formula1>'9월'!$AB$97:$AI$97</formula1>
    </dataValidation>
    <dataValidation type="list" allowBlank="1" showErrorMessage="1" sqref="J127">
      <formula1>'9월'!$AB$127:$AI$127</formula1>
    </dataValidation>
    <dataValidation type="list" allowBlank="1" showErrorMessage="1" sqref="J434">
      <formula1>'9월'!$AB$434:$AI$434</formula1>
    </dataValidation>
    <dataValidation type="list" allowBlank="1" showErrorMessage="1" sqref="J68">
      <formula1>'9월'!$AB$68:$AI$68</formula1>
    </dataValidation>
    <dataValidation type="list" allowBlank="1" showErrorMessage="1" sqref="J340">
      <formula1>'9월'!$AB$340:$AI$340</formula1>
    </dataValidation>
    <dataValidation type="list" allowBlank="1" showErrorMessage="1" sqref="J439">
      <formula1>'9월'!$AB$439:$AI$439</formula1>
    </dataValidation>
    <dataValidation type="list" allowBlank="1" showErrorMessage="1" sqref="J419">
      <formula1>'9월'!$AB$419:$AI$419</formula1>
    </dataValidation>
    <dataValidation type="list" allowBlank="1" showErrorMessage="1" sqref="J216">
      <formula1>'9월'!$AB$216:$AI$216</formula1>
    </dataValidation>
    <dataValidation type="list" allowBlank="1" showErrorMessage="1" sqref="J251">
      <formula1>'9월'!$AB$251:$AI$251</formula1>
    </dataValidation>
    <dataValidation type="list" allowBlank="1" showErrorMessage="1" sqref="J454">
      <formula1>'9월'!$AB$454:$AI$454</formula1>
    </dataValidation>
    <dataValidation type="list" allowBlank="1" showErrorMessage="1" sqref="J325">
      <formula1>'9월'!$AB$325:$AI$325</formula1>
    </dataValidation>
    <dataValidation type="list" allowBlank="1" showErrorMessage="1" sqref="J107">
      <formula1>'9월'!$AB$107:$AI$107</formula1>
    </dataValidation>
    <dataValidation type="list" allowBlank="1" showErrorMessage="1" sqref="J83">
      <formula1>'9월'!$AB$83:$AI$83</formula1>
    </dataValidation>
    <dataValidation type="list" allowBlank="1" showErrorMessage="1" sqref="J142">
      <formula1>'9월'!$AB$142:$AI$142</formula1>
    </dataValidation>
    <dataValidation type="list" allowBlank="1" showErrorMessage="1" sqref="J414">
      <formula1>'9월'!$AB$414:$AI$414</formula1>
    </dataValidation>
    <dataValidation type="list" allowBlank="1" showErrorMessage="1" sqref="J256">
      <formula1>'9월'!$AB$256:$AI$256</formula1>
    </dataValidation>
    <dataValidation type="list" allowBlank="1" showErrorMessage="1" sqref="J305">
      <formula1>'9월'!$AB$305:$AI$305</formula1>
    </dataValidation>
    <dataValidation type="list" allowBlank="1" showErrorMessage="1" sqref="J365">
      <formula1>'9월'!$AB$365:$AI$365</formula1>
    </dataValidation>
    <dataValidation type="list" allowBlank="1" showErrorMessage="1" sqref="J360">
      <formula1>'9월'!$AB$360:$AI$360</formula1>
    </dataValidation>
    <dataValidation type="list" allowBlank="1" showErrorMessage="1" sqref="J271">
      <formula1>'9월'!$AB$271:$AI$271</formula1>
    </dataValidation>
    <dataValidation type="list" allowBlank="1" showErrorMessage="1" sqref="J474">
      <formula1>'9월'!$AB$474:$AI$474</formula1>
    </dataValidation>
    <dataValidation type="list" allowBlank="1" showErrorMessage="1" sqref="J200">
      <formula1>'9월'!$AB$200:$AI$200</formula1>
    </dataValidation>
    <dataValidation type="list" allowBlank="1" showErrorMessage="1" sqref="J158">
      <formula1>'9월'!$AB$158:$AI$158</formula1>
    </dataValidation>
    <dataValidation type="list" allowBlank="1" showErrorMessage="1" sqref="J167">
      <formula1>'9월'!$AB$167:$AI$167</formula1>
    </dataValidation>
    <dataValidation type="list" allowBlank="1" showErrorMessage="1" sqref="J162">
      <formula1>'9월'!$AB$162:$AI$162</formula1>
    </dataValidation>
    <dataValidation type="list" allowBlank="1" showErrorMessage="1" sqref="J182">
      <formula1>'9월'!$AB$182:$AI$182</formula1>
    </dataValidation>
    <dataValidation type="list" allowBlank="1" showErrorMessage="1" sqref="J371">
      <formula1>'9월'!$AB$371:$AI$371</formula1>
    </dataValidation>
    <dataValidation type="list" allowBlank="1" showErrorMessage="1" sqref="J356">
      <formula1>'9월'!$AB$356:$AI$356</formula1>
    </dataValidation>
    <dataValidation type="list" allowBlank="1" showErrorMessage="1" sqref="J291">
      <formula1>'9월'!$AB$291:$AI$291</formula1>
    </dataValidation>
    <dataValidation type="list" allowBlank="1" showErrorMessage="1" sqref="J247">
      <formula1>'9월'!$AB$247:$AI$247</formula1>
    </dataValidation>
    <dataValidation type="list" allowBlank="1" showErrorMessage="1" sqref="J262">
      <formula1>'9월'!$AB$262:$AI$262</formula1>
    </dataValidation>
    <dataValidation type="list" allowBlank="1" showErrorMessage="1" sqref="J173">
      <formula1>'9월'!$AB$173:$AI$173</formula1>
    </dataValidation>
    <dataValidation type="list" allowBlank="1" showErrorMessage="1" sqref="J380">
      <formula1>'9월'!$AB$380:$AI$380</formula1>
    </dataValidation>
    <dataValidation type="list" allowBlank="1" showErrorMessage="1" sqref="J138">
      <formula1>'9월'!$AB$138:$AI$138</formula1>
    </dataValidation>
    <dataValidation type="list" allowBlank="1" showErrorMessage="1" sqref="J408">
      <formula1>'9월'!$AB$408:$AI$408</formula1>
    </dataValidation>
    <dataValidation type="list" allowBlank="1" showErrorMessage="1" sqref="J480">
      <formula1>'9월'!$AB$480:$AI$480</formula1>
    </dataValidation>
    <dataValidation type="list" allowBlank="1" showErrorMessage="1" sqref="J71">
      <formula1>'9월'!$AB$71:$AI$71</formula1>
    </dataValidation>
    <dataValidation type="list" allowBlank="1" showErrorMessage="1" sqref="J95">
      <formula1>'9월'!$AB$95:$AI$95</formula1>
    </dataValidation>
    <dataValidation type="list" allowBlank="1" showErrorMessage="1" sqref="J445">
      <formula1>'9월'!$AB$445:$AI$445</formula1>
    </dataValidation>
    <dataValidation type="list" allowBlank="1" showErrorMessage="1" sqref="J147">
      <formula1>'9월'!$AB$147:$AI$147</formula1>
    </dataValidation>
    <dataValidation type="list" allowBlank="1" showErrorMessage="1" sqref="J336">
      <formula1>'9월'!$AB$336:$AI$336</formula1>
    </dataValidation>
    <dataValidation type="list" allowBlank="1" showErrorMessage="1" sqref="J227">
      <formula1>'9월'!$AB$227:$AI$227</formula1>
    </dataValidation>
    <dataValidation type="list" allowBlank="1" showErrorMessage="1" sqref="J282">
      <formula1>'9월'!$AB$282:$AI$282</formula1>
    </dataValidation>
    <dataValidation type="list" allowBlank="1" showErrorMessage="1" sqref="J443">
      <formula1>'9월'!$AB$443:$AI$443</formula1>
    </dataValidation>
    <dataValidation type="list" allowBlank="1" showErrorMessage="1" sqref="J193">
      <formula1>'9월'!$AB$193:$AI$193</formula1>
    </dataValidation>
    <dataValidation type="list" allowBlank="1" showErrorMessage="1" sqref="J66">
      <formula1>'9월'!$AB$66:$AI$66</formula1>
    </dataValidation>
    <dataValidation type="list" allowBlank="1" showErrorMessage="1" sqref="J345">
      <formula1>'9월'!$AB$345:$AI$345</formula1>
    </dataValidation>
    <dataValidation type="list" allowBlank="1" showErrorMessage="1" sqref="J236">
      <formula1>'9월'!$AB$236:$AI$236</formula1>
    </dataValidation>
    <dataValidation type="list" allowBlank="1" showErrorMessage="1" sqref="J245">
      <formula1>'9월'!$AB$245:$AI$245</formula1>
    </dataValidation>
    <dataValidation type="list" allowBlank="1" showErrorMessage="1" sqref="J425">
      <formula1>'9월'!$AB$425:$AI$425</formula1>
    </dataValidation>
    <dataValidation type="list" allowBlank="1" showErrorMessage="1" sqref="J391">
      <formula1>'9월'!$AB$391:$AI$391</formula1>
    </dataValidation>
    <dataValidation type="list" allowBlank="1" showErrorMessage="1" sqref="J118">
      <formula1>'9월'!$AB$118:$AI$118</formula1>
    </dataValidation>
    <dataValidation type="list" allowBlank="1" showErrorMessage="1" sqref="J354">
      <formula1>'9월'!$AB$354:$AI$354</formula1>
    </dataValidation>
    <dataValidation type="list" allowBlank="1" showErrorMessage="1" sqref="J448">
      <formula1>'9월'!$AB$448:$AI$448</formula1>
    </dataValidation>
    <dataValidation type="list" allowBlank="1" showErrorMessage="1" sqref="J463">
      <formula1>'9월'!$AB$463:$AI$463</formula1>
    </dataValidation>
    <dataValidation type="list" allowBlank="1" showErrorMessage="1" sqref="J156">
      <formula1>'9월'!$AB$156:$AI$156</formula1>
    </dataValidation>
    <dataValidation type="list" allowBlank="1" showErrorMessage="1" sqref="J374">
      <formula1>'9월'!$AB$374:$AI$374</formula1>
    </dataValidation>
    <dataValidation type="list" allowBlank="1" showErrorMessage="1" sqref="J265">
      <formula1>'9월'!$AB$265:$AI$265</formula1>
    </dataValidation>
    <dataValidation type="list" allowBlank="1" showErrorMessage="1" sqref="J339">
      <formula1>'9월'!$AB$339:$AI$339</formula1>
    </dataValidation>
    <dataValidation type="list" allowBlank="1" showErrorMessage="1" sqref="J99">
      <formula1>'9월'!$AB$99:$AI$99</formula1>
    </dataValidation>
    <dataValidation type="list" allowBlank="1" showErrorMessage="1" sqref="J100">
      <formula1>'9월'!$AB$100:$AI$100</formula1>
    </dataValidation>
    <dataValidation type="list" allowBlank="1" showErrorMessage="1" sqref="J428">
      <formula1>'9월'!$AB$428:$AI$428</formula1>
    </dataValidation>
    <dataValidation type="list" allowBlank="1" showErrorMessage="1" sqref="J176">
      <formula1>'9월'!$AB$176:$AI$176</formula1>
    </dataValidation>
    <dataValidation type="list" allowBlank="1" showErrorMessage="1" sqref="J483">
      <formula1>'9월'!$AB$483:$AI$483</formula1>
    </dataValidation>
    <dataValidation type="list" allowBlank="1" showErrorMessage="1" sqref="J120">
      <formula1>'9월'!$AB$120:$AI$120</formula1>
    </dataValidation>
    <dataValidation type="list" allowBlank="1" showErrorMessage="1" sqref="J394">
      <formula1>'9월'!$AB$394:$AI$394</formula1>
    </dataValidation>
    <dataValidation type="list" allowBlank="1" showErrorMessage="1" sqref="J319">
      <formula1>'9월'!$AB$319:$AI$319</formula1>
    </dataValidation>
    <dataValidation type="list" allowBlank="1" showErrorMessage="1" sqref="J285">
      <formula1>'9월'!$AB$285:$AI$285</formula1>
    </dataValidation>
    <dataValidation type="list" allowBlank="1" showErrorMessage="1" sqref="J465">
      <formula1>'9월'!$AB$465:$AI$465</formula1>
    </dataValidation>
    <dataValidation type="list" allowBlank="1" showErrorMessage="1" sqref="J323">
      <formula1>'9월'!$AB$323:$AI$323</formula1>
    </dataValidation>
    <dataValidation type="list" allowBlank="1" showErrorMessage="1" sqref="L62:L500">
      <formula1>'설정시트'!$D$23:$O$23</formula1>
    </dataValidation>
    <dataValidation type="list" allowBlank="1" showErrorMessage="1" sqref="J196">
      <formula1>'9월'!$AB$196:$AI$196</formula1>
    </dataValidation>
    <dataValidation type="list" allowBlank="1" showErrorMessage="1" sqref="J300">
      <formula1>'9월'!$AB$300:$AI$300</formula1>
    </dataValidation>
    <dataValidation type="list" allowBlank="1" showErrorMessage="1" sqref="J214">
      <formula1>'9월'!$AB$214:$AI$214</formula1>
    </dataValidation>
    <dataValidation type="list" allowBlank="1" showErrorMessage="1" sqref="J267">
      <formula1>'9월'!$AB$267:$AI$267</formula1>
    </dataValidation>
    <dataValidation type="list" allowBlank="1" showErrorMessage="1" sqref="J105">
      <formula1>'9월'!$AB$105:$AI$105</formula1>
    </dataValidation>
    <dataValidation type="list" allowBlank="1" showErrorMessage="1" sqref="J488">
      <formula1>'9월'!$AB$488:$AI$488</formula1>
    </dataValidation>
    <dataValidation type="list" allowBlank="1" showErrorMessage="1" sqref="J140">
      <formula1>'9월'!$AB$140:$AI$140</formula1>
    </dataValidation>
    <dataValidation type="list" allowBlank="1" showErrorMessage="1" sqref="J376">
      <formula1>'9월'!$AB$376:$AI$376</formula1>
    </dataValidation>
    <dataValidation type="list" allowBlank="1" showErrorMessage="1" sqref="J379">
      <formula1>'9월'!$AB$379:$AI$379</formula1>
    </dataValidation>
    <dataValidation type="list" allowBlank="1" showErrorMessage="1" sqref="J102">
      <formula1>'9월'!$AB$102:$AI$102</formula1>
    </dataValidation>
    <dataValidation type="list" allowBlank="1" showErrorMessage="1" sqref="J485">
      <formula1>'9월'!$AB$485:$AI$485</formula1>
    </dataValidation>
    <dataValidation type="list" allowBlank="1" showErrorMessage="1" sqref="J211">
      <formula1>'9월'!$AB$211:$AI$211</formula1>
    </dataValidation>
    <dataValidation type="list" allowBlank="1" showErrorMessage="1" sqref="J412">
      <formula1>'9월'!$AB$412:$AI$412</formula1>
    </dataValidation>
    <dataValidation type="list" allowBlank="1" showErrorMessage="1" sqref="J303">
      <formula1>'9월'!$AB$303:$AI$303</formula1>
    </dataValidation>
    <dataValidation type="list" allowBlank="1" showErrorMessage="1" sqref="J320">
      <formula1>'9월'!$AB$320:$AI$320</formula1>
    </dataValidation>
    <dataValidation type="list" allowBlank="1" showErrorMessage="1" sqref="J178">
      <formula1>'9월'!$AB$178:$AI$178</formula1>
    </dataValidation>
    <dataValidation type="list" allowBlank="1" showErrorMessage="1" sqref="J213">
      <formula1>'9월'!$AB$213:$AI$213</formula1>
    </dataValidation>
    <dataValidation type="list" allowBlank="1" showErrorMessage="1" sqref="J287">
      <formula1>'9월'!$AB$287:$AI$287</formula1>
    </dataValidation>
    <dataValidation type="list" allowBlank="1" showErrorMessage="1" sqref="J468">
      <formula1>'9월'!$AB$468:$AI$468</formula1>
    </dataValidation>
    <dataValidation type="list" allowBlank="1" showErrorMessage="1" sqref="J160">
      <formula1>'9월'!$AB$160:$AI$160</formula1>
    </dataValidation>
    <dataValidation type="list" allowBlank="1" showErrorMessage="1" sqref="J359">
      <formula1>'9월'!$AB$359:$AI$359</formula1>
    </dataValidation>
    <dataValidation type="list" allowBlank="1" showErrorMessage="1" sqref="J104">
      <formula1>'9월'!$AB$104:$AI$104</formula1>
    </dataValidation>
    <dataValidation type="list" allowBlank="1" showErrorMessage="1" sqref="J122">
      <formula1>'9월'!$AB$122:$AI$122</formula1>
    </dataValidation>
    <dataValidation type="list" allowBlank="1" showErrorMessage="1" sqref="J378">
      <formula1>'9월'!$AB$378:$AI$378</formula1>
    </dataValidation>
    <dataValidation type="list" allowBlank="1" showErrorMessage="1" sqref="J396">
      <formula1>'9월'!$AB$396:$AI$396</formula1>
    </dataValidation>
    <dataValidation type="list" allowBlank="1" showErrorMessage="1" sqref="J411">
      <formula1>'9월'!$AB$411:$AI$411</formula1>
    </dataValidation>
    <dataValidation type="list" allowBlank="1" showErrorMessage="1" sqref="J269">
      <formula1>'9월'!$AB$269:$AI$269</formula1>
    </dataValidation>
    <dataValidation type="list" allowBlank="1" showErrorMessage="1" sqref="J231">
      <formula1>'9월'!$AB$231:$AI$231</formula1>
    </dataValidation>
    <dataValidation type="list" allowBlank="1" showErrorMessage="1" sqref="J368">
      <formula1>'9월'!$AB$368:$AI$368</formula1>
    </dataValidation>
    <dataValidation type="list" allowBlank="1" showErrorMessage="1" sqref="J482">
      <formula1>'9월'!$AB$482:$AI$482</formula1>
    </dataValidation>
    <dataValidation type="list" allowBlank="1" showErrorMessage="1" sqref="J302">
      <formula1>'9월'!$AB$302:$AI$302</formula1>
    </dataValidation>
    <dataValidation type="list" allowBlank="1" showErrorMessage="1" sqref="J274">
      <formula1>'9월'!$AB$274:$AI$274</formula1>
    </dataValidation>
    <dataValidation type="list" allowBlank="1" showErrorMessage="1" sqref="J91">
      <formula1>'9월'!$AB$91:$AI$91</formula1>
    </dataValidation>
    <dataValidation type="list" allowBlank="1" showErrorMessage="1" sqref="J401">
      <formula1>'9월'!$AB$401:$AI$401</formula1>
    </dataValidation>
    <dataValidation type="list" allowBlank="1" showErrorMessage="1" sqref="J180">
      <formula1>'9월'!$AB$180:$AI$180</formula1>
    </dataValidation>
    <dataValidation type="list" allowBlank="1" showErrorMessage="1" sqref="J358">
      <formula1>'9월'!$AB$358:$AI$358</formula1>
    </dataValidation>
    <dataValidation type="list" allowBlank="1" showErrorMessage="1" sqref="J492">
      <formula1>'9월'!$AB$492:$AI$492</formula1>
    </dataValidation>
    <dataValidation type="list" allowBlank="1" showErrorMessage="1" sqref="J170">
      <formula1>'9월'!$AB$170:$AI$170</formula1>
    </dataValidation>
    <dataValidation type="list" allowBlank="1" showErrorMessage="1" sqref="J175">
      <formula1>'9월'!$AB$175:$AI$175</formula1>
    </dataValidation>
    <dataValidation type="list" allowBlank="1" showErrorMessage="1" sqref="J457">
      <formula1>'9월'!$AB$457:$AI$457</formula1>
    </dataValidation>
    <dataValidation type="list" allowBlank="1" showErrorMessage="1" sqref="J322">
      <formula1>'9월'!$AB$322:$AI$322</formula1>
    </dataValidation>
    <dataValidation type="list" allowBlank="1" showErrorMessage="1" sqref="J497">
      <formula1>'9월'!$AB$497:$AI$497</formula1>
    </dataValidation>
    <dataValidation type="list" allowBlank="1" showErrorMessage="1" sqref="J289">
      <formula1>'9월'!$AB$289:$AI$289</formula1>
    </dataValidation>
    <dataValidation type="list" allowBlank="1" showErrorMessage="1" sqref="J223">
      <formula1>'9월'!$AB$223:$AI$223</formula1>
    </dataValidation>
    <dataValidation type="list" allowBlank="1" showErrorMessage="1" sqref="J75">
      <formula1>'9월'!$AB$75:$AI$75</formula1>
    </dataValidation>
    <dataValidation type="list" allowBlank="1" showErrorMessage="1" sqref="J185">
      <formula1>'9월'!$AB$185:$AI$185</formula1>
    </dataValidation>
    <dataValidation type="list" allowBlank="1" showErrorMessage="1" sqref="J239">
      <formula1>'9월'!$AB$239:$AI$239</formula1>
    </dataValidation>
    <dataValidation type="list" allowBlank="1" showErrorMessage="1" sqref="J393">
      <formula1>'9월'!$AB$393:$AI$393</formula1>
    </dataValidation>
    <dataValidation type="list" allowBlank="1" showErrorMessage="1" sqref="J447">
      <formula1>'9월'!$AB$447:$AI$447</formula1>
    </dataValidation>
    <dataValidation type="list" allowBlank="1" showErrorMessage="1" sqref="J328">
      <formula1>'9월'!$AB$328:$AI$328</formula1>
    </dataValidation>
    <dataValidation type="list" allowBlank="1" showErrorMessage="1" sqref="J233">
      <formula1>'9월'!$AB$233:$AI$233</formula1>
    </dataValidation>
    <dataValidation type="list" allowBlank="1" showErrorMessage="1" sqref="J441">
      <formula1>'9월'!$AB$441:$AI$441</formula1>
    </dataValidation>
    <dataValidation type="list" allowBlank="1" showErrorMessage="1" sqref="J76">
      <formula1>'9월'!$AB$76:$AI$76</formula1>
    </dataValidation>
    <dataValidation type="list" allowBlank="1" showErrorMessage="1" sqref="J229">
      <formula1>'9월'!$AB$229:$AI$229</formula1>
    </dataValidation>
    <dataValidation type="list" allowBlank="1" showErrorMessage="1" sqref="J134">
      <formula1>'9월'!$AB$134:$AI$134</formula1>
    </dataValidation>
    <dataValidation type="list" allowBlank="1" showErrorMessage="1" sqref="J224">
      <formula1>'9월'!$AB$224:$AI$224</formula1>
    </dataValidation>
    <dataValidation type="list" allowBlank="1" showErrorMessage="1" sqref="J318">
      <formula1>'9월'!$AB$318:$AI$318</formula1>
    </dataValidation>
    <dataValidation type="list" allowBlank="1" showErrorMessage="1" sqref="J451">
      <formula1>'9월'!$AB$451:$AI$451</formula1>
    </dataValidation>
    <dataValidation type="list" allowBlank="1" showErrorMessage="1" sqref="J238">
      <formula1>'9월'!$AB$238:$AI$238</formula1>
    </dataValidation>
    <dataValidation type="list" allowBlank="1" showErrorMessage="1" sqref="J446">
      <formula1>'9월'!$AB$446:$AI$446</formula1>
    </dataValidation>
    <dataValidation type="list" allowBlank="1" showErrorMessage="1" sqref="J352">
      <formula1>'9월'!$AB$352:$AI$352</formula1>
    </dataValidation>
    <dataValidation type="list" allowBlank="1" showErrorMessage="1" sqref="J442">
      <formula1>'9월'!$AB$442:$AI$442</formula1>
    </dataValidation>
    <dataValidation type="list" allowBlank="1" showErrorMessage="1" sqref="J144">
      <formula1>'9월'!$AB$144:$AI$144</formula1>
    </dataValidation>
    <dataValidation type="list" allowBlank="1" showErrorMessage="1" sqref="J234">
      <formula1>'9월'!$AB$234:$AI$234</formula1>
    </dataValidation>
    <dataValidation type="list" allowBlank="1" showErrorMessage="1" sqref="J327">
      <formula1>'9월'!$AB$327:$AI$327</formula1>
    </dataValidation>
    <dataValidation type="list" allowBlank="1" showErrorMessage="1" sqref="J362">
      <formula1>'9월'!$AB$362:$AI$362</formula1>
    </dataValidation>
    <dataValidation type="list" allowBlank="1" showErrorMessage="1" sqref="J135">
      <formula1>'9월'!$AB$135:$AI$135</formula1>
    </dataValidation>
    <dataValidation type="list" allowBlank="1" showErrorMessage="1" sqref="J417">
      <formula1>'9월'!$AB$417:$AI$417</formula1>
    </dataValidation>
    <dataValidation type="list" allowBlank="1" showErrorMessage="1" sqref="J452">
      <formula1>'9월'!$AB$452:$AI$452</formula1>
    </dataValidation>
    <dataValidation type="list" allowBlank="1" showErrorMessage="1" sqref="J228">
      <formula1>'9월'!$AB$228:$AI$228</formula1>
    </dataValidation>
    <dataValidation type="list" allowBlank="1" showErrorMessage="1" sqref="J74">
      <formula1>'9월'!$AB$74:$AI$74</formula1>
    </dataValidation>
    <dataValidation type="list" allowBlank="1" showErrorMessage="1" sqref="J353">
      <formula1>'9월'!$AB$353:$AI$353</formula1>
    </dataValidation>
    <dataValidation type="list" allowBlank="1" showErrorMessage="1" sqref="J317">
      <formula1>'9월'!$AB$317:$AI$317</formula1>
    </dataValidation>
    <dataValidation type="list" allowBlank="1" showErrorMessage="1" sqref="J145">
      <formula1>'9월'!$AB$145:$AI$145</formula1>
    </dataValidation>
    <dataValidation type="list" allowBlank="1" showErrorMessage="1" sqref="J109">
      <formula1>'9월'!$AB$109:$AI$109</formula1>
    </dataValidation>
    <dataValidation type="list" allowBlank="1" showErrorMessage="1" sqref="J263">
      <formula1>'9월'!$AB$263:$AI$263</formula1>
    </dataValidation>
    <dataValidation type="list" allowBlank="1" showErrorMessage="1" sqref="J407">
      <formula1>'9월'!$AB$407:$AI$407</formula1>
    </dataValidation>
    <dataValidation type="list" allowBlank="1" showErrorMessage="1" sqref="J491">
      <formula1>'9월'!$AB$491:$AI$491</formula1>
    </dataValidation>
    <dataValidation type="list" allowBlank="1" showErrorMessage="1" sqref="J174">
      <formula1>'9월'!$AB$174:$AI$174</formula1>
    </dataValidation>
    <dataValidation type="list" allowBlank="1" showErrorMessage="1" sqref="J406">
      <formula1>'9월'!$AB$406:$AI$406</formula1>
    </dataValidation>
    <dataValidation type="list" allowBlank="1" showErrorMessage="1" sqref="J363">
      <formula1>'9월'!$AB$363:$AI$363</formula1>
    </dataValidation>
    <dataValidation type="list" allowBlank="1" showErrorMessage="1" sqref="J264">
      <formula1>'9월'!$AB$264:$AI$264</formula1>
    </dataValidation>
    <dataValidation type="list" allowBlank="1" showErrorMessage="1" sqref="J273">
      <formula1>'9월'!$AB$273:$AI$273</formula1>
    </dataValidation>
    <dataValidation type="list" allowBlank="1" showErrorMessage="1" sqref="J416">
      <formula1>'9월'!$AB$416:$AI$416</formula1>
    </dataValidation>
    <dataValidation type="list" allowBlank="1" showErrorMessage="1" sqref="J481">
      <formula1>'9월'!$AB$481:$AI$481</formula1>
    </dataValidation>
    <dataValidation type="list" allowBlank="1" showErrorMessage="1" sqref="J73">
      <formula1>'9월'!$AB$73:$AI$73</formula1>
    </dataValidation>
    <dataValidation type="list" allowBlank="1" showErrorMessage="1" sqref="J146">
      <formula1>'9월'!$AB$146:$AI$146</formula1>
    </dataValidation>
    <dataValidation type="list" allowBlank="1" showErrorMessage="1" sqref="J260">
      <formula1>'9월'!$AB$260:$AI$260</formula1>
    </dataValidation>
    <dataValidation type="list" allowBlank="1" showErrorMessage="1" sqref="J94">
      <formula1>'9월'!$AB$94:$AI$94</formula1>
    </dataValidation>
    <dataValidation type="list" allowBlank="1" showErrorMessage="1" sqref="J496">
      <formula1>'9월'!$AB$496:$AI$496</formula1>
    </dataValidation>
    <dataValidation type="list" allowBlank="1" showErrorMessage="1" sqref="J184">
      <formula1>'9월'!$AB$184:$AI$184</formula1>
    </dataValidation>
    <dataValidation type="list" allowBlank="1" showErrorMessage="1" sqref="J222">
      <formula1>'9월'!$AB$222:$AI$222</formula1>
    </dataValidation>
    <dataValidation type="list" allowBlank="1" showErrorMessage="1" sqref="J136">
      <formula1>'9월'!$AB$136:$AI$136</formula1>
    </dataValidation>
    <dataValidation type="list" allowBlank="1" showErrorMessage="1" sqref="J316">
      <formula1>'9월'!$AB$316:$AI$316</formula1>
    </dataValidation>
    <dataValidation type="list" allowBlank="1" showErrorMessage="1" sqref="J405">
      <formula1>'9월'!$AB$405:$AI$405</formula1>
    </dataValidation>
    <dataValidation type="list" allowBlank="1" showErrorMessage="1" sqref="J189">
      <formula1>'9월'!$AB$189:$AI$189</formula1>
    </dataValidation>
    <dataValidation type="list" allowBlank="1" showErrorMessage="1" sqref="J364">
      <formula1>'9월'!$AB$364:$AI$364</formula1>
    </dataValidation>
    <dataValidation type="list" allowBlank="1" showErrorMessage="1" sqref="J367">
      <formula1>'9월'!$AB$367:$AI$367</formula1>
    </dataValidation>
    <dataValidation type="list" allowBlank="1" showErrorMessage="1" sqref="J440">
      <formula1>'9월'!$AB$440:$AI$440</formula1>
    </dataValidation>
    <dataValidation type="list" allowBlank="1" showErrorMessage="1" sqref="J275">
      <formula1>'9월'!$AB$275:$AI$275</formula1>
    </dataValidation>
    <dataValidation type="list" allowBlank="1" showErrorMessage="1" sqref="J400">
      <formula1>'9월'!$AB$400:$AI$400</formula1>
    </dataValidation>
    <dataValidation type="list" allowBlank="1" showErrorMessage="1" sqref="J133">
      <formula1>'9월'!$AB$133:$AI$133</formula1>
    </dataValidation>
    <dataValidation type="list" allowBlank="1" showErrorMessage="1" sqref="J225">
      <formula1>'9월'!$AB$225:$AI$225</formula1>
    </dataValidation>
    <dataValidation type="list" allowBlank="1" showErrorMessage="1" sqref="J351">
      <formula1>'9월'!$AB$351:$AI$351</formula1>
    </dataValidation>
    <dataValidation type="list" allowBlank="1" showErrorMessage="1" sqref="J499">
      <formula1>'9월'!$AB$499:$AI$499</formula1>
    </dataValidation>
    <dataValidation type="list" allowBlank="1" showErrorMessage="1" sqref="J149">
      <formula1>'9월'!$AB$149:$AI$149</formula1>
    </dataValidation>
    <dataValidation type="list" allowBlank="1" showErrorMessage="1" sqref="J329">
      <formula1>'9월'!$AB$329:$AI$329</formula1>
    </dataValidation>
    <dataValidation type="list" allowBlank="1" showErrorMessage="1" sqref="J418">
      <formula1>'9월'!$AB$418:$AI$418</formula1>
    </dataValidation>
    <dataValidation type="list" allowBlank="1" showErrorMessage="1" sqref="J93">
      <formula1>'9월'!$AB$93:$AI$93</formula1>
    </dataValidation>
    <dataValidation type="list" allowBlank="1" showErrorMessage="1" sqref="J171">
      <formula1>'9월'!$AB$171:$AI$171</formula1>
    </dataValidation>
    <dataValidation type="list" allowBlank="1" showErrorMessage="1" sqref="J186">
      <formula1>'9월'!$AB$186:$AI$186</formula1>
    </dataValidation>
    <dataValidation type="list" allowBlank="1" showErrorMessage="1" sqref="J456">
      <formula1>'9월'!$AB$456:$AI$456</formula1>
    </dataValidation>
    <dataValidation type="list" allowBlank="1" showErrorMessage="1" sqref="J498">
      <formula1>'9월'!$AB$498:$AI$498</formula1>
    </dataValidation>
    <dataValidation type="list" allowBlank="1" showErrorMessage="1" sqref="J314">
      <formula1>'9월'!$AB$314:$AI$314</formula1>
    </dataValidation>
    <dataValidation type="list" allowBlank="1" showErrorMessage="1" sqref="J493">
      <formula1>'9월'!$AB$493:$AI$493</formula1>
    </dataValidation>
    <dataValidation type="list" allowBlank="1" showErrorMessage="1" sqref="J130">
      <formula1>'9월'!$AB$130:$AI$130</formula1>
    </dataValidation>
    <dataValidation type="list" allowBlank="1" showErrorMessage="1" sqref="J276">
      <formula1>'9월'!$AB$276:$AI$276</formula1>
    </dataValidation>
    <dataValidation type="list" allowBlank="1" showErrorMessage="1" sqref="J366">
      <formula1>'9월'!$AB$366:$AI$366</formula1>
    </dataValidation>
    <dataValidation type="list" allowBlank="1" showErrorMessage="1" sqref="J220">
      <formula1>'9월'!$AB$220:$AI$220</formula1>
    </dataValidation>
    <dataValidation type="list" allowBlank="1" showErrorMessage="1" sqref="J310">
      <formula1>'9월'!$AB$310:$AI$310</formula1>
    </dataValidation>
    <dataValidation type="list" allowBlank="1" showErrorMessage="1" sqref="J313">
      <formula1>'9월'!$AB$313:$AI$313</formula1>
    </dataValidation>
    <dataValidation type="list" allowBlank="1" showErrorMessage="1" sqref="J77">
      <formula1>'9월'!$AB$77:$AI$77</formula1>
    </dataValidation>
    <dataValidation type="list" allowBlank="1" showErrorMessage="1" sqref="J403">
      <formula1>'9월'!$AB$403:$AI$403</formula1>
    </dataValidation>
    <dataValidation type="list" allowBlank="1" showErrorMessage="1" sqref="J494">
      <formula1>'9월'!$AB$494:$AI$494</formula1>
    </dataValidation>
    <dataValidation type="list" allowBlank="1" showErrorMessage="1" sqref="J92">
      <formula1>'9월'!$AB$92:$AI$92</formula1>
    </dataValidation>
    <dataValidation type="list" allowBlank="1" showErrorMessage="1" sqref="J277">
      <formula1>'9월'!$AB$277:$AI$277</formula1>
    </dataValidation>
    <dataValidation type="list" allowBlank="1" showErrorMessage="1" sqref="J187">
      <formula1>'9월'!$AB$187:$AI$187</formula1>
    </dataValidation>
    <dataValidation type="list" allowBlank="1" showErrorMessage="1" sqref="J78">
      <formula1>'9월'!$AB$78:$AI$78</formula1>
    </dataValidation>
    <dataValidation type="list" allowBlank="1" showErrorMessage="1" sqref="J131">
      <formula1>'9월'!$AB$131:$AI$131</formula1>
    </dataValidation>
    <dataValidation type="list" allowBlank="1" showErrorMessage="1" sqref="J369">
      <formula1>'9월'!$AB$369:$AI$369</formula1>
    </dataValidation>
    <dataValidation type="list" allowBlank="1" showErrorMessage="1" sqref="J402">
      <formula1>'9월'!$AB$402:$AI$402</formula1>
    </dataValidation>
    <dataValidation type="list" allowBlank="1" showErrorMessage="1" sqref="J221">
      <formula1>'9월'!$AB$221:$AI$221</formula1>
    </dataValidation>
    <dataValidation type="list" allowBlank="1" showErrorMessage="1" sqref="J279">
      <formula1>'9월'!$AB$279:$AI$279</formula1>
    </dataValidation>
    <dataValidation type="list" allowBlank="1" showErrorMessage="1" sqref="J495">
      <formula1>'9월'!$AB$495:$AI$495</formula1>
    </dataValidation>
    <dataValidation type="list" allowBlank="1" showErrorMessage="1" sqref="J459">
      <formula1>'9월'!$AB$459:$AI$459</formula1>
    </dataValidation>
    <dataValidation type="list" allowBlank="1" showErrorMessage="1" sqref="J188">
      <formula1>'9월'!$AB$188:$AI$188</formula1>
    </dataValidation>
    <dataValidation type="list" allowBlank="1" showErrorMessage="1" sqref="J312">
      <formula1>'9월'!$AB$312:$AI$312</formula1>
    </dataValidation>
    <dataValidation type="list" allowBlank="1" showErrorMessage="1" sqref="J311">
      <formula1>'9월'!$AB$311:$AI$311</formula1>
    </dataValidation>
    <dataValidation type="list" allowBlank="1" showErrorMessage="1" sqref="J278">
      <formula1>'9월'!$AB$278:$AI$278</formula1>
    </dataValidation>
    <dataValidation type="list" allowBlank="1" showErrorMessage="1" sqref="J458">
      <formula1>'9월'!$AB$458:$AI$458</formula1>
    </dataValidation>
    <dataValidation type="list" allowBlank="1" showErrorMessage="1" sqref="J90">
      <formula1>'9월'!$AB$90:$AI$90</formula1>
    </dataValidation>
    <dataValidation type="list" allowBlank="1" showErrorMessage="1" sqref="J79">
      <formula1>'9월'!$AB$79:$AI$79</formula1>
    </dataValidation>
    <dataValidation type="list" allowBlank="1" showErrorMessage="1" sqref="J429">
      <formula1>'9월'!$AB$429:$AI$429</formula1>
    </dataValidation>
    <dataValidation type="list" allowBlank="1" showErrorMessage="1" sqref="J335">
      <formula1>'9월'!$AB$335:$AI$335</formula1>
    </dataValidation>
    <dataValidation type="list" allowBlank="1" showErrorMessage="1" sqref="J132">
      <formula1>'9월'!$AB$132:$AI$132</formula1>
    </dataValidation>
    <dataValidation type="list" allowBlank="1" showErrorMessage="1" sqref="J241">
      <formula1>'9월'!$AB$241:$AI$241</formula1>
    </dataValidation>
    <dataValidation type="list" allowBlank="1" showErrorMessage="1" sqref="J117">
      <formula1>'9월'!$AB$117:$AI$117</formula1>
    </dataValidation>
    <dataValidation type="list" allowBlank="1" showErrorMessage="1" sqref="J226">
      <formula1>'9월'!$AB$226:$AI$226</formula1>
    </dataValidation>
    <dataValidation type="list" allowBlank="1" showErrorMessage="1" sqref="J70">
      <formula1>'9월'!$AB$70:$AI$70</formula1>
    </dataValidation>
    <dataValidation type="list" allowBlank="1" showErrorMessage="1" sqref="J315">
      <formula1>'9월'!$AB$315:$AI$315</formula1>
    </dataValidation>
    <dataValidation type="list" allowBlank="1" showErrorMessage="1" sqref="J355">
      <formula1>'9월'!$AB$355:$AI$355</formula1>
    </dataValidation>
    <dataValidation type="list" allowBlank="1" showErrorMessage="1" sqref="J424">
      <formula1>'9월'!$AB$424:$AI$424</formula1>
    </dataValidation>
    <dataValidation type="list" allowBlank="1" showErrorMessage="1" sqref="J350">
      <formula1>'9월'!$AB$350:$AI$350</formula1>
    </dataValidation>
    <dataValidation type="list" allowBlank="1" showErrorMessage="1" sqref="J464">
      <formula1>'9월'!$AB$464:$AI$464</formula1>
    </dataValidation>
    <dataValidation type="list" allowBlank="1" showErrorMessage="1" sqref="J69">
      <formula1>'9월'!$AB$69:$AI$69</formula1>
    </dataValidation>
    <dataValidation type="list" allowBlank="1" showErrorMessage="1" sqref="J261">
      <formula1>'9월'!$AB$261:$AI$261</formula1>
    </dataValidation>
    <dataValidation type="list" allowBlank="1" showErrorMessage="1" sqref="J152">
      <formula1>'9월'!$AB$152:$AI$152</formula1>
    </dataValidation>
    <dataValidation type="list" allowBlank="1" showErrorMessage="1" sqref="J157">
      <formula1>'9월'!$AB$157:$AI$157</formula1>
    </dataValidation>
    <dataValidation type="list" allowBlank="1" showErrorMessage="1" sqref="J206">
      <formula1>'9월'!$AB$206:$AI$206</formula1>
    </dataValidation>
    <dataValidation type="list" allowBlank="1" showErrorMessage="1" sqref="J266">
      <formula1>'9월'!$AB$266:$AI$266</formula1>
    </dataValidation>
    <dataValidation type="list" allowBlank="1" showErrorMessage="1" sqref="J370">
      <formula1>'9월'!$AB$370:$AI$370</formula1>
    </dataValidation>
    <dataValidation type="list" allowBlank="1" showErrorMessage="1" sqref="J375">
      <formula1>'9월'!$AB$375:$AI$375</formula1>
    </dataValidation>
    <dataValidation type="list" allowBlank="1" showErrorMessage="1" sqref="J409">
      <formula1>'9월'!$AB$409:$AI$409</formula1>
    </dataValidation>
    <dataValidation type="list" allowBlank="1" showErrorMessage="1" sqref="J101">
      <formula1>'9월'!$AB$101:$AI$101</formula1>
    </dataValidation>
    <dataValidation type="list" allowBlank="1" showErrorMessage="1" sqref="J404">
      <formula1>'9월'!$AB$404:$AI$404</formula1>
    </dataValidation>
    <dataValidation type="list" allowBlank="1" showErrorMessage="1" sqref="J257">
      <formula1>'9월'!$AB$257:$AI$257</formula1>
    </dataValidation>
    <dataValidation type="list" allowBlank="1" showErrorMessage="1" sqref="J390">
      <formula1>'9월'!$AB$390:$AI$390</formula1>
    </dataValidation>
    <dataValidation type="list" allowBlank="1" showErrorMessage="1" sqref="J148">
      <formula1>'9월'!$AB$148:$AI$148</formula1>
    </dataValidation>
    <dataValidation type="list" allowBlank="1" showErrorMessage="1" sqref="J163">
      <formula1>'9월'!$AB$163:$AI$163</formula1>
    </dataValidation>
    <dataValidation type="list" allowBlank="1" showErrorMessage="1" sqref="J470">
      <formula1>'9월'!$AB$470:$AI$470</formula1>
    </dataValidation>
    <dataValidation type="list" allowBlank="1" showErrorMessage="1" sqref="J455">
      <formula1>'9월'!$AB$455:$AI$455</formula1>
    </dataValidation>
    <dataValidation type="list" allowBlank="1" showErrorMessage="1" sqref="J172">
      <formula1>'9월'!$AB$172:$AI$172</formula1>
    </dataValidation>
    <dataValidation type="list" allowBlank="1" showErrorMessage="1" sqref="J309">
      <formula1>'9월'!$AB$309:$AI$309</formula1>
    </dataValidation>
    <dataValidation type="list" allowBlank="1" showErrorMessage="1" sqref="J381">
      <formula1>'9월'!$AB$381:$AI$381</formula1>
    </dataValidation>
    <dataValidation type="list" allowBlank="1" showErrorMessage="1" sqref="J346">
      <formula1>'9월'!$AB$346:$AI$346</formula1>
    </dataValidation>
    <dataValidation type="list" allowBlank="1" showErrorMessage="1" sqref="J98">
      <formula1>'9월'!$AB$98:$AI$98</formula1>
    </dataValidation>
    <dataValidation type="list" allowBlank="1" showErrorMessage="1" sqref="J272">
      <formula1>'9월'!$AB$272:$AI$272</formula1>
    </dataValidation>
    <dataValidation type="list" allowBlank="1" showErrorMessage="1" sqref="J281">
      <formula1>'9월'!$AB$281:$AI$281</formula1>
    </dataValidation>
    <dataValidation type="list" allowBlank="1" showErrorMessage="1" sqref="J237">
      <formula1>'9월'!$AB$237:$AI$237</formula1>
    </dataValidation>
    <dataValidation type="list" allowBlank="1" showErrorMessage="1" sqref="J128">
      <formula1>'9월'!$AB$128:$AI$128</formula1>
    </dataValidation>
    <dataValidation type="list" allowBlank="1" showErrorMessage="1" sqref="J183">
      <formula1>'9월'!$AB$183:$AI$183</formula1>
    </dataValidation>
    <dataValidation type="list" allowBlank="1" showErrorMessage="1" sqref="J292">
      <formula1>'9월'!$AB$292:$AI$292</formula1>
    </dataValidation>
    <dataValidation type="list" allowBlank="1" showErrorMessage="1" sqref="J96">
      <formula1>'9월'!$AB$96:$AI$96</formula1>
    </dataValidation>
    <dataValidation type="list" allowBlank="1" showErrorMessage="1" sqref="J246">
      <formula1>'9월'!$AB$246:$AI$246</formula1>
    </dataValidation>
    <dataValidation type="list" allowBlank="1" showErrorMessage="1" sqref="J435">
      <formula1>'9월'!$AB$435:$AI$435</formula1>
    </dataValidation>
    <dataValidation type="list" allowBlank="1" showErrorMessage="1" sqref="J137">
      <formula1>'9월'!$AB$137:$AI$137</formula1>
    </dataValidation>
    <dataValidation type="list" allowBlank="1" showErrorMessage="1" sqref="J192">
      <formula1>'9월'!$AB$192:$AI$192</formula1>
    </dataValidation>
    <dataValidation type="list" allowBlank="1" showErrorMessage="1" sqref="J326">
      <formula1>'9월'!$AB$326:$AI$326</formula1>
    </dataValidation>
    <dataValidation type="list" allowBlank="1" showErrorMessage="1" sqref="J344">
      <formula1>'9월'!$AB$344:$AI$344</formula1>
    </dataValidation>
    <dataValidation type="list" allowBlank="1" showErrorMessage="1" sqref="J490">
      <formula1>'9월'!$AB$490:$AI$490</formula1>
    </dataValidation>
    <dataValidation type="list" allowBlank="1" showErrorMessage="1" sqref="J217">
      <formula1>'9월'!$AB$217:$AI$217</formula1>
    </dataValidation>
    <dataValidation type="list" allowBlank="1" showErrorMessage="1" sqref="J72">
      <formula1>'9월'!$AB$72:$AI$72</formula1>
    </dataValidation>
    <dataValidation type="list" allowBlank="1" showErrorMessage="1" sqref="J67">
      <formula1>'9월'!$AB$67:$AI$67</formula1>
    </dataValidation>
    <dataValidation type="list" allowBlank="1" showErrorMessage="1" sqref="J444">
      <formula1>'9월'!$AB$444:$AI$444</formula1>
    </dataValidation>
    <dataValidation type="list" allowBlank="1" showErrorMessage="1" sqref="J453">
      <formula1>'9월'!$AB$453:$AI$453</formula1>
    </dataValidation>
    <dataValidation type="list" allowBlank="1" showErrorMessage="1" sqref="J321">
      <formula1>'9월'!$AB$321:$AI$321</formula1>
    </dataValidation>
    <dataValidation type="list" allowBlank="1" showErrorMessage="1" sqref="J179">
      <formula1>'9월'!$AB$179:$AI$179</formula1>
    </dataValidation>
    <dataValidation type="list" allowBlank="1" showErrorMessage="1" sqref="J415">
      <formula1>'9월'!$AB$415:$AI$415</formula1>
    </dataValidation>
    <dataValidation type="list" allowBlank="1" showErrorMessage="1" sqref="J108">
      <formula1>'9월'!$AB$108:$AI$108</formula1>
    </dataValidation>
    <dataValidation type="list" allowBlank="1" showErrorMessage="1" sqref="J392">
      <formula1>'9월'!$AB$392:$AI$392</formula1>
    </dataValidation>
    <dataValidation type="list" allowBlank="1" showErrorMessage="1" sqref="J288">
      <formula1>'9월'!$AB$288:$AI$288</formula1>
    </dataValidation>
    <dataValidation type="list" allowBlank="1" showErrorMessage="1" sqref="J397">
      <formula1>'9월'!$AB$397:$AI$397</formula1>
    </dataValidation>
    <dataValidation type="list" allowBlank="1" showErrorMessage="1" sqref="J250">
      <formula1>'9월'!$AB$250:$AI$250</formula1>
    </dataValidation>
    <dataValidation type="list" allowBlank="1" showErrorMessage="1" sqref="J103">
      <formula1>'9월'!$AB$103:$AI$103</formula1>
    </dataValidation>
    <dataValidation type="list" allowBlank="1" showErrorMessage="1" sqref="J430">
      <formula1>'9월'!$AB$430:$AI$430</formula1>
    </dataValidation>
    <dataValidation type="list" allowBlank="1" showErrorMessage="1" sqref="J270">
      <formula1>'9월'!$AB$270:$AI$270</formula1>
    </dataValidation>
    <dataValidation type="list" allowBlank="1" showErrorMessage="1" sqref="J65">
      <formula1>'9월'!$AB$65:$AI$65</formula1>
    </dataValidation>
    <dataValidation type="list" allowBlank="1" showErrorMessage="1" sqref="J123">
      <formula1>'9월'!$AB$123:$AI$123</formula1>
    </dataValidation>
    <dataValidation type="list" allowBlank="1" showErrorMessage="1" sqref="J268">
      <formula1>'9월'!$AB$268:$AI$268</formula1>
    </dataValidation>
    <dataValidation type="list" allowBlank="1" showErrorMessage="1" sqref="J235">
      <formula1>'9월'!$AB$235:$AI$235</formula1>
    </dataValidation>
    <dataValidation type="list" allowBlank="1" showErrorMessage="1" sqref="J194">
      <formula1>'9월'!$AB$194:$AI$194</formula1>
    </dataValidation>
    <dataValidation type="list" allowBlank="1" showErrorMessage="1" sqref="J306">
      <formula1>'9월'!$AB$306:$AI$306</formula1>
    </dataValidation>
    <dataValidation type="list" allowBlank="1" showErrorMessage="1" sqref="J161">
      <formula1>'9월'!$AB$161:$AI$161</formula1>
    </dataValidation>
    <dataValidation type="list" allowBlank="1" showErrorMessage="1" sqref="J199">
      <formula1>'9월'!$AB$199:$AI$199</formula1>
    </dataValidation>
    <dataValidation type="list" allowBlank="1" showErrorMessage="1" sqref="J232">
      <formula1>'9월'!$AB$232:$AI$232</formula1>
    </dataValidation>
    <dataValidation type="list" allowBlank="1" showErrorMessage="1" sqref="J301">
      <formula1>'9월'!$AB$301:$AI$301</formula1>
    </dataValidation>
    <dataValidation type="list" allowBlank="1" showErrorMessage="1" sqref="J126">
      <formula1>'9월'!$AB$126:$AI$126</formula1>
    </dataValidation>
    <dataValidation type="list" allowBlank="1" showErrorMessage="1" sqref="J159">
      <formula1>'9월'!$AB$159:$AI$159</formula1>
    </dataValidation>
    <dataValidation type="list" allowBlank="1" showErrorMessage="1" sqref="J466">
      <formula1>'9월'!$AB$466:$AI$466</formula1>
    </dataValidation>
    <dataValidation type="list" allowBlank="1" showErrorMessage="1" sqref="J433">
      <formula1>'9월'!$AB$433:$AI$433</formula1>
    </dataValidation>
    <dataValidation type="list" allowBlank="1" showErrorMessage="1" sqref="J341">
      <formula1>'9월'!$AB$341:$AI$341</formula1>
    </dataValidation>
    <dataValidation type="list" allowBlank="1" showErrorMessage="1" sqref="J181">
      <formula1>'9월'!$AB$181:$AI$181</formula1>
    </dataValidation>
    <dataValidation type="list" allowBlank="1" showErrorMessage="1" sqref="J290">
      <formula1>'9월'!$AB$290:$AI$290</formula1>
    </dataValidation>
    <dataValidation type="list" allowBlank="1" showErrorMessage="1" sqref="J324">
      <formula1>'9월'!$AB$324:$AI$324</formula1>
    </dataValidation>
    <dataValidation type="list" allowBlank="1" showErrorMessage="1" sqref="J143">
      <formula1>'9월'!$AB$143:$AI$143</formula1>
    </dataValidation>
    <dataValidation type="list" allowBlank="1" showErrorMessage="1" sqref="J357">
      <formula1>'9월'!$AB$357:$AI$357</formula1>
    </dataValidation>
    <dataValidation type="list" allowBlank="1" showErrorMessage="1" sqref="J450">
      <formula1>'9월'!$AB$450:$AI$450</formula1>
    </dataValidation>
    <dataValidation type="list" allowBlank="1" showErrorMessage="1" sqref="J361">
      <formula1>'9월'!$AB$361:$AI$361</formula1>
    </dataValidation>
    <dataValidation type="list" allowBlank="1" showErrorMessage="1" sqref="J215">
      <formula1>'9월'!$AB$215:$AI$215</formula1>
    </dataValidation>
    <dataValidation type="list" allowBlank="1" showErrorMessage="1" sqref="J248">
      <formula1>'9월'!$AB$248:$AI$248</formula1>
    </dataValidation>
    <dataValidation type="list" allowBlank="1" showErrorMessage="1" sqref="J489">
      <formula1>'9월'!$AB$489:$AI$489</formula1>
    </dataValidation>
    <dataValidation type="list" allowBlank="1" showErrorMessage="1" sqref="J139">
      <formula1>'9월'!$AB$139:$AI$139</formula1>
    </dataValidation>
    <dataValidation type="list" allowBlank="1" showErrorMessage="1" sqref="J106">
      <formula1>'9월'!$AB$106:$AI$106</formula1>
    </dataValidation>
    <dataValidation type="list" allowBlank="1" showErrorMessage="1" sqref="J252">
      <formula1>'9월'!$AB$252:$AI$252</formula1>
    </dataValidation>
    <dataValidation type="list" allowBlank="1" showErrorMessage="1" sqref="J210">
      <formula1>'9월'!$AB$210:$AI$210</formula1>
    </dataValidation>
    <dataValidation type="list" allowBlank="1" showErrorMessage="1" sqref="J484">
      <formula1>'9월'!$AB$484:$AI$484</formula1>
    </dataValidation>
    <dataValidation type="list" allowBlank="1" showErrorMessage="1" sqref="J413">
      <formula1>'9월'!$AB$413:$AI$413</formula1>
    </dataValidation>
    <dataValidation type="list" allowBlank="1" showErrorMessage="1" sqref="J304">
      <formula1>'9월'!$AB$304:$AI$304</formula1>
    </dataValidation>
    <dataValidation type="list" allowBlank="1" showErrorMessage="1" sqref="J177">
      <formula1>'9월'!$AB$177:$AI$177</formula1>
    </dataValidation>
    <dataValidation type="list" allowBlank="1" showErrorMessage="1" sqref="J395">
      <formula1>'9월'!$AB$395:$AI$395</formula1>
    </dataValidation>
    <dataValidation type="list" allowBlank="1" showErrorMessage="1" sqref="J469">
      <formula1>'9월'!$AB$469:$AI$469</formula1>
    </dataValidation>
    <dataValidation type="list" allowBlank="1" showErrorMessage="1" sqref="J286">
      <formula1>'9월'!$AB$286:$AI$286</formula1>
    </dataValidation>
    <dataValidation type="list" allowBlank="1" showErrorMessage="1" sqref="J121">
      <formula1>'9월'!$AB$121:$AI$121</formula1>
    </dataValidation>
    <dataValidation type="list" allowBlank="1" showErrorMessage="1" sqref="J197">
      <formula1>'9월'!$AB$197:$AI$197</formula1>
    </dataValidation>
    <dataValidation type="list" allowBlank="1" showErrorMessage="1" sqref="J230">
      <formula1>'9월'!$AB$230:$AI$230</formula1>
    </dataValidation>
    <dataValidation type="list" allowBlank="1" showErrorMessage="1" sqref="J410">
      <formula1>'9월'!$AB$410:$AI$410</formula1>
    </dataValidation>
    <dataValidation type="list" allowBlank="1" showErrorMessage="1" sqref="J377">
      <formula1>'9월'!$AB$377:$AI$377</formula1>
    </dataValidation>
    <dataValidation type="list" allowBlank="1" showErrorMessage="1" sqref="J141">
      <formula1>'9월'!$AB$141:$AI$141</formula1>
    </dataValidation>
    <dataValidation type="list" allowBlank="1" showErrorMessage="1" sqref="J212">
      <formula1>'9월'!$AB$212:$AI$212</formula1>
    </dataValidation>
    <dataValidation type="list" allowBlank="1" showErrorMessage="1" sqref="J449">
      <formula1>'9월'!$AB$449:$AI$449</formula1>
    </dataValidation>
    <dataValidation type="list" allowBlank="1" showErrorMessage="1" sqref="J486">
      <formula1>'9월'!$AB$486:$AI$486</formula1>
    </dataValidation>
    <dataValidation type="list" allowBlank="1" showErrorMessage="1" sqref="J165">
      <formula1>'9월'!$AB$165:$AI$165</formula1>
    </dataValidation>
    <dataValidation type="list" allowBlank="1" showErrorMessage="1" sqref="J467">
      <formula1>'9월'!$AB$467:$AI$467</formula1>
    </dataValidation>
    <dataValidation type="list" allowBlank="1" showErrorMessage="1" sqref="J259">
      <formula1>'9월'!$AB$259:$AI$259</formula1>
    </dataValidation>
    <dataValidation type="list" allowBlank="1" showErrorMessage="1" sqref="J373">
      <formula1>'9월'!$AB$373:$AI$373</formula1>
    </dataValidation>
    <dataValidation type="list" allowBlank="1" showErrorMessage="1" sqref="J284">
      <formula1>'9월'!$AB$284:$AI$284</formula1>
    </dataValidation>
    <dataValidation type="list" allowBlank="1" showErrorMessage="1" sqref="J500">
      <formula1>'9월'!$AB$500:$AI$500</formula1>
    </dataValidation>
    <dataValidation type="list" allowBlank="1" showErrorMessage="1" sqref="J89">
      <formula1>'9월'!$AB$89:$AI$89</formula1>
    </dataValidation>
    <dataValidation type="list" allowBlank="1" showErrorMessage="1" sqref="J487">
      <formula1>'9월'!$AB$487:$AI$487</formula1>
    </dataValidation>
    <dataValidation type="list" allowBlank="1" showErrorMessage="1" sqref="J421">
      <formula1>'9월'!$AB$421:$AI$421</formula1>
    </dataValidation>
    <dataValidation type="list" allowBlank="1" showErrorMessage="1" sqref="J383">
      <formula1>'9월'!$AB$383:$AI$383</formula1>
    </dataValidation>
    <dataValidation type="list" allowBlank="1" showErrorMessage="1" sqref="J388">
      <formula1>'9월'!$AB$388:$AI$388</formula1>
    </dataValidation>
    <dataValidation type="list" allowBlank="1" showErrorMessage="1" sqref="J62">
      <formula1>'9월'!$AB$62:$AI$62</formula1>
    </dataValidation>
    <dataValidation type="list" allowBlank="1" showErrorMessage="1" sqref="J249">
      <formula1>'9월'!$AB$249:$AI$249</formula1>
    </dataValidation>
    <dataValidation type="list" allowBlank="1" showErrorMessage="1" sqref="J294">
      <formula1>'9월'!$AB$294:$AI$294</formula1>
    </dataValidation>
    <dataValidation type="list" allowBlank="1" showErrorMessage="1" sqref="J338">
      <formula1>'9월'!$AB$338:$AI$338</formula1>
    </dataValidation>
    <dataValidation type="list" allowBlank="1" showErrorMessage="1" sqref="J431">
      <formula1>'9월'!$AB$431:$AI$431</formula1>
    </dataValidation>
    <dataValidation type="list" allowBlank="1" showErrorMessage="1" sqref="J348">
      <formula1>'9월'!$AB$348:$AI$348</formula1>
    </dataValidation>
    <dataValidation type="list" allowBlank="1" showErrorMessage="1" sqref="J398">
      <formula1>'9월'!$AB$398:$AI$398</formula1>
    </dataValidation>
    <dataValidation type="list" allowBlank="1" showErrorMessage="1" sqref="J63">
      <formula1>'9월'!$AB$63:$AI$63</formula1>
    </dataValidation>
    <dataValidation type="list" allowBlank="1" showErrorMessage="1" sqref="J124">
      <formula1>'9월'!$AB$124:$AI$124</formula1>
    </dataValidation>
    <dataValidation type="list" allowBlank="1" showErrorMessage="1" sqref="J332">
      <formula1>'9월'!$AB$332:$AI$332</formula1>
    </dataValidation>
    <dataValidation type="list" allowBlank="1" showErrorMessage="1" sqref="J299">
      <formula1>'9월'!$AB$299:$AI$299</formula1>
    </dataValidation>
    <dataValidation type="list" allowBlank="1" showErrorMessage="1" sqref="J125">
      <formula1>'9월'!$AB$125:$AI$125</formula1>
    </dataValidation>
    <dataValidation type="list" allowBlank="1" showErrorMessage="1" sqref="J88">
      <formula1>'9월'!$AB$88:$AI$88</formula1>
    </dataValidation>
    <dataValidation type="list" allowBlank="1" showErrorMessage="1" sqref="J195">
      <formula1>'9월'!$AB$195:$AI$195</formula1>
    </dataValidation>
    <dataValidation type="list" allowBlank="1" showErrorMessage="1" sqref="J437">
      <formula1>'9월'!$AB$437:$AI$437</formula1>
    </dataValidation>
    <dataValidation type="list" allowBlank="1" showErrorMessage="1" sqref="J190">
      <formula1>'9월'!$AB$190:$AI$190</formula1>
    </dataValidation>
    <dataValidation type="list" allowBlank="1" showErrorMessage="1" sqref="J342">
      <formula1>'9월'!$AB$342:$AI$342</formula1>
    </dataValidation>
    <dataValidation type="list" allowBlank="1" showErrorMessage="1" sqref="J432">
      <formula1>'9월'!$AB$432:$AI$432</formula1>
    </dataValidation>
    <dataValidation type="list" allowBlank="1" showErrorMessage="1" sqref="J129">
      <formula1>'9월'!$AB$129:$AI$129</formula1>
    </dataValidation>
    <dataValidation type="list" allowBlank="1" showErrorMessage="1" sqref="J64">
      <formula1>'9월'!$AB$64:$AI$64</formula1>
    </dataValidation>
    <dataValidation type="list" allowBlank="1" showErrorMessage="1" sqref="J399">
      <formula1>'9월'!$AB$399:$AI$399</formula1>
    </dataValidation>
    <dataValidation type="list" allowBlank="1" showErrorMessage="1" sqref="J243">
      <formula1>'9월'!$AB$243:$AI$243</formula1>
    </dataValidation>
    <dataValidation type="list" allowBlank="1" showErrorMessage="1" sqref="J333">
      <formula1>'9월'!$AB$333:$AI$333</formula1>
    </dataValidation>
    <dataValidation type="list" allowBlank="1" showErrorMessage="1" sqref="J219">
      <formula1>'9월'!$AB$219:$AI$219</formula1>
    </dataValidation>
    <dataValidation type="list" allowBlank="1" showErrorMessage="1" sqref="J337">
      <formula1>'9월'!$AB$337:$AI$337</formula1>
    </dataValidation>
    <dataValidation type="list" allowBlank="1" showErrorMessage="1" sqref="J427">
      <formula1>'9월'!$AB$427:$AI$427</formula1>
    </dataValidation>
    <dataValidation type="list" allowBlank="1" showErrorMessage="1" sqref="J191">
      <formula1>'9월'!$AB$191:$AI$191</formula1>
    </dataValidation>
    <dataValidation type="list" allowBlank="1" showErrorMessage="1" sqref="J119">
      <formula1>'9월'!$AB$119:$AI$119</formula1>
    </dataValidation>
    <dataValidation type="list" allowBlank="1" showErrorMessage="1" sqref="J308">
      <formula1>'9월'!$AB$308:$AI$308</formula1>
    </dataValidation>
    <dataValidation type="list" allowBlank="1" showErrorMessage="1" sqref="J253">
      <formula1>'9월'!$AB$253:$AI$253</formula1>
    </dataValidation>
    <dataValidation type="list" allowBlank="1" showErrorMessage="1" sqref="J343">
      <formula1>'9월'!$AB$343:$AI$343</formula1>
    </dataValidation>
    <dataValidation type="list" allowBlank="1" showErrorMessage="1" sqref="J436">
      <formula1>'9월'!$AB$436:$AI$436</formula1>
    </dataValidation>
    <dataValidation type="list" allowBlank="1" showErrorMessage="1" sqref="J461">
      <formula1>'9월'!$AB$461:$AI$461</formula1>
    </dataValidation>
    <dataValidation type="list" allowBlank="1" showErrorMessage="1" sqref="J209">
      <formula1>'9월'!$AB$209:$AI$209</formula1>
    </dataValidation>
    <dataValidation type="list" allowBlank="1" showErrorMessage="1" sqref="J154">
      <formula1>'9월'!$AB$154:$AI$154</formula1>
    </dataValidation>
    <dataValidation type="list" allowBlank="1" showErrorMessage="1" sqref="J244">
      <formula1>'9월'!$AB$244:$AI$244</formula1>
    </dataValidation>
    <dataValidation type="list" allowBlank="1" showErrorMessage="1" sqref="J164">
      <formula1>'9월'!$AB$164:$AI$164</formula1>
    </dataValidation>
    <dataValidation type="list" allowBlank="1" showErrorMessage="1" sqref="J372">
      <formula1>'9월'!$AB$372:$AI$372</formula1>
    </dataValidation>
    <dataValidation type="list" allowBlank="1" showErrorMessage="1" sqref="J426">
      <formula1>'9월'!$AB$426:$AI$426</formula1>
    </dataValidation>
    <dataValidation type="list" allowBlank="1" showErrorMessage="1" sqref="J254">
      <formula1>'9월'!$AB$254:$AI$254</formula1>
    </dataValidation>
    <dataValidation type="list" allowBlank="1" showErrorMessage="1" sqref="J218">
      <formula1>'9월'!$AB$218:$AI$218</formula1>
    </dataValidation>
    <dataValidation type="list" allowBlank="1" showErrorMessage="1" sqref="J462">
      <formula1>'9월'!$AB$462:$AI$462</formula1>
    </dataValidation>
    <dataValidation type="list" allowBlank="1" showErrorMessage="1" sqref="J471">
      <formula1>'9월'!$AB$471:$AI$471</formula1>
    </dataValidation>
    <dataValidation type="list" allowBlank="1" showErrorMessage="1" sqref="J155">
      <formula1>'9월'!$AB$155:$AI$155</formula1>
    </dataValidation>
    <dataValidation type="list" allowBlank="1" showErrorMessage="1" sqref="J283">
      <formula1>'9월'!$AB$283:$AI$283</formula1>
    </dataValidation>
    <dataValidation type="list" allowBlank="1" showErrorMessage="1" sqref="J472">
      <formula1>'9월'!$AB$472:$AI$472</formula1>
    </dataValidation>
    <dataValidation type="list" allowBlank="1" showErrorMessage="1" sqref="J307">
      <formula1>'9월'!$AB$307:$AI$307</formula1>
    </dataValidation>
    <dataValidation type="list" allowBlank="1" showErrorMessage="1" sqref="J382">
      <formula1>'9월'!$AB$382:$AI$382</formula1>
    </dataValidation>
    <dataValidation type="list" allowBlank="1" showErrorMessage="1" sqref="J208">
      <formula1>'9월'!$AB$208:$AI$208</formula1>
    </dataValidation>
    <dataValidation type="list" allowBlank="1" showErrorMessage="1" sqref="J207">
      <formula1>'9월'!$AB$207:$AI$207</formula1>
    </dataValidation>
    <dataValidation type="list" allowBlank="1" showErrorMessage="1" sqref="J293">
      <formula1>'9월'!$AB$293:$AI$293</formula1>
    </dataValidation>
    <dataValidation type="list" allowBlank="1" showErrorMessage="1" sqref="J113">
      <formula1>'9월'!$AB$113:$AI$113</formula1>
    </dataValidation>
    <dataValidation type="list" allowBlank="1" showErrorMessage="1" sqref="J387">
      <formula1>'9월'!$AB$387:$AI$387</formula1>
    </dataValidation>
    <dataValidation type="list" allowBlank="1" showErrorMessage="1" sqref="J151">
      <formula1>'9월'!$AB$151:$AI$151</formula1>
    </dataValidation>
    <dataValidation type="list" allowBlank="1" showErrorMessage="1" sqref="J255">
      <formula1>'9월'!$AB$255:$AI$255</formula1>
    </dataValidation>
    <dataValidation type="list" allowBlank="1" showErrorMessage="1" sqref="J169">
      <formula1>'9월'!$AB$169:$AI$169</formula1>
    </dataValidation>
    <dataValidation type="list" allowBlank="1" showErrorMessage="1" sqref="J349">
      <formula1>'9월'!$AB$349:$AI$349</formula1>
    </dataValidation>
    <dataValidation type="list" allowBlank="1" showErrorMessage="1" sqref="J473">
      <formula1>'9월'!$AB$473:$AI$473</formula1>
    </dataValidation>
    <dataValidation type="list" allowBlank="1" showErrorMessage="1" sqref="J86">
      <formula1>'9월'!$AB$86:$AI$86</formula1>
    </dataValidation>
    <dataValidation type="list" allowBlank="1" showErrorMessage="1" sqref="J298">
      <formula1>'9월'!$AB$298:$AI$298</formula1>
    </dataValidation>
    <dataValidation type="list" allowBlank="1" showErrorMessage="1" sqref="J202">
      <formula1>'9월'!$AB$202:$AI$202</formula1>
    </dataValidation>
    <dataValidation type="list" allowBlank="1" showErrorMessage="1" sqref="J331">
      <formula1>'9월'!$AB$331:$AI$331</formula1>
    </dataValidation>
    <dataValidation type="list" allowBlank="1" showErrorMessage="1" sqref="J438">
      <formula1>'9월'!$AB$438:$AI$438</formula1>
    </dataValidation>
    <dataValidation type="list" allowBlank="1" showErrorMessage="1" sqref="J334">
      <formula1>'9월'!$AB$334:$AI$334</formula1>
    </dataValidation>
    <dataValidation type="list" allowBlank="1" showErrorMessage="1" sqref="J166">
      <formula1>'9월'!$AB$166:$AI$166</formula1>
    </dataValidation>
    <dataValidation type="list" allowBlank="1" showErrorMessage="1" sqref="J80">
      <formula1>'9월'!$AB$80:$AI$80</formula1>
    </dataValidation>
    <dataValidation type="list" allowBlank="1" showErrorMessage="1" sqref="J384">
      <formula1>'9월'!$AB$384:$AI$384</formula1>
    </dataValidation>
    <dataValidation type="list" allowBlank="1" showErrorMessage="1" sqref="J258">
      <formula1>'9월'!$AB$258:$AI$258</formula1>
    </dataValidation>
    <dataValidation type="list" allowBlank="1" showErrorMessage="1" sqref="J87">
      <formula1>'9월'!$AB$87:$AI$87</formula1>
    </dataValidation>
    <dataValidation type="list" allowBlank="1" showErrorMessage="1" sqref="J116">
      <formula1>'9월'!$AB$116:$AI$116</formula1>
    </dataValidation>
    <dataValidation type="list" allowBlank="1" showErrorMessage="1" sqref="J242">
      <formula1>'9월'!$AB$242:$AI$242</formula1>
    </dataValidation>
    <dataValidation type="list" allowBlank="1" showErrorMessage="1" sqref="J423">
      <formula1>'9월'!$AB$423:$AI$423</formula1>
    </dataValidation>
    <dataValidation type="list" allowBlank="1" showErrorMessage="1" sqref="J81">
      <formula1>'9월'!$AB$81:$AI$81</formula1>
    </dataValidation>
    <dataValidation type="list" allowBlank="1" showErrorMessage="1" sqref="J110">
      <formula1>'9월'!$AB$110:$AI$110</formula1>
    </dataValidation>
    <dataValidation type="list" allowBlank="1" showErrorMessage="1" sqref="J153">
      <formula1>'9월'!$AB$153:$AI$153</formula1>
    </dataValidation>
    <dataValidation type="list" allowBlank="1" showErrorMessage="1" sqref="J460">
      <formula1>'9월'!$AB$460:$AI$460</formula1>
    </dataValidation>
    <dataValidation type="list" allowBlank="1" showErrorMessage="1" sqref="J347">
      <formula1>'9월'!$AB$347:$AI$347</formula1>
    </dataValidation>
    <dataValidation type="list" allowBlank="1" showErrorMessage="1" sqref="J280">
      <formula1>'9월'!$AB$280:$AI$280</formula1>
    </dataValidation>
    <dataValidation type="list" allowBlank="1" showErrorMessage="1" sqref="J479">
      <formula1>'9월'!$AB$479:$AI$479</formula1>
    </dataValidation>
    <dataValidation type="list" allowBlank="1" showErrorMessage="1" sqref="J115">
      <formula1>'9월'!$AB$115:$AI$115</formula1>
    </dataValidation>
    <dataValidation type="list" allowBlank="1" showErrorMessage="1" sqref="J205">
      <formula1>'9월'!$AB$205:$AI$205</formula1>
    </dataValidation>
    <dataValidation type="list" allowBlank="1" showErrorMessage="1" sqref="J85">
      <formula1>'9월'!$AB$85:$AI$85</formula1>
    </dataValidation>
    <dataValidation type="list" allowBlank="1" showErrorMessage="1" sqref="J111">
      <formula1>'9월'!$AB$111:$AI$111</formula1>
    </dataValidation>
    <dataValidation type="list" allowBlank="1" showErrorMessage="1" sqref="J389">
      <formula1>'9월'!$AB$389:$AI$389</formula1>
    </dataValidation>
    <dataValidation type="list" allowBlank="1" showErrorMessage="1" sqref="J82">
      <formula1>'9월'!$AB$82:$AI$82</formula1>
    </dataValidation>
    <dataValidation type="list" allowBlank="1" showErrorMessage="1" sqref="J475">
      <formula1>'9월'!$AB$475:$AI$475</formula1>
    </dataValidation>
    <dataValidation type="list" allowBlank="1" showErrorMessage="1" sqref="J422">
      <formula1>'9월'!$AB$422:$AI$422</formula1>
    </dataValidation>
    <dataValidation type="list" allowBlank="1" showErrorMessage="1" sqref="J295">
      <formula1>'9월'!$AB$295:$AI$295</formula1>
    </dataValidation>
    <dataValidation type="list" allowBlank="1" showErrorMessage="1" sqref="J385">
      <formula1>'9월'!$AB$385:$AI$385</formula1>
    </dataValidation>
    <dataValidation type="list" allowBlank="1" showErrorMessage="1" sqref="J201">
      <formula1>'9월'!$AB$201:$AI$201</formula1>
    </dataValidation>
    <dataValidation type="list" allowBlank="1" showErrorMessage="1" sqref="J168">
      <formula1>'9월'!$AB$168:$AI$168</formula1>
    </dataValidation>
    <dataValidation type="list" allowBlank="1" showErrorMessage="1" sqref="J204">
      <formula1>'9월'!$AB$204:$AI$204</formula1>
    </dataValidation>
    <dataValidation type="list" allowBlank="1" showErrorMessage="1" sqref="J478">
      <formula1>'9월'!$AB$478:$AI$478</formula1>
    </dataValidation>
    <dataValidation type="list" allowBlank="1" showErrorMessage="1" sqref="J114">
      <formula1>'9월'!$AB$114:$AI$114</formula1>
    </dataValidation>
    <dataValidation type="list" allowBlank="1" showErrorMessage="1" sqref="J386">
      <formula1>'9월'!$AB$386:$AI$386</formula1>
    </dataValidation>
    <dataValidation type="list" allowBlank="1" showErrorMessage="1" sqref="J150">
      <formula1>'9월'!$AB$150:$AI$150</formula1>
    </dataValidation>
    <dataValidation type="list" allowBlank="1" showErrorMessage="1" sqref="J112">
      <formula1>'9월'!$AB$112:$AI$112</formula1>
    </dataValidation>
    <dataValidation type="list" allowBlank="1" showErrorMessage="1" sqref="J296">
      <formula1>'9월'!$AB$296:$AI$296</formula1>
    </dataValidation>
    <dataValidation type="list" allowBlank="1" showErrorMessage="1" sqref="J476">
      <formula1>'9월'!$AB$476:$AI$476</formula1>
    </dataValidation>
    <dataValidation type="list" allowBlank="1" showErrorMessage="1" sqref="J84">
      <formula1>'9월'!$AB$84:$AI$84</formula1>
    </dataValidation>
    <dataValidation type="list" allowBlank="1" showErrorMessage="1" sqref="J330">
      <formula1>'9월'!$AB$330:$AI$330</formula1>
    </dataValidation>
    <dataValidation type="list" allowBlank="1" showErrorMessage="1" sqref="J420">
      <formula1>'9월'!$AB$420:$AI$420</formula1>
    </dataValidation>
    <dataValidation type="list" allowBlank="1" showErrorMessage="1" sqref="J297">
      <formula1>'9월'!$AB$297:$AI$297</formula1>
    </dataValidation>
    <dataValidation type="list" allowBlank="1" showErrorMessage="1" sqref="J477">
      <formula1>'9월'!$AB$477:$AI$477</formula1>
    </dataValidation>
    <dataValidation type="list" allowBlank="1" showErrorMessage="1" sqref="J203">
      <formula1>'9월'!$AB$203:$AI$203</formula1>
    </dataValidation>
    <dataValidation type="list" allowBlank="1" showErrorMessage="1" sqref="J240">
      <formula1>'9월'!$AB$240:$AI$240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10.0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45928</v>
      </c>
      <c r="S9" s="117">
        <f t="shared" ref="S9:X9" si="1">R9 + 1</f>
        <v>45929</v>
      </c>
      <c r="T9" s="118">
        <f t="shared" si="1"/>
        <v>45930</v>
      </c>
      <c r="U9" s="118">
        <f t="shared" si="1"/>
        <v>45931</v>
      </c>
      <c r="V9" s="118">
        <f t="shared" si="1"/>
        <v>45932</v>
      </c>
      <c r="W9" s="118">
        <f t="shared" si="1"/>
        <v>45933</v>
      </c>
      <c r="X9" s="119">
        <f t="shared" si="1"/>
        <v>45934</v>
      </c>
      <c r="Y9" s="120"/>
      <c r="AB9" s="121" t="str">
        <f>$H$25</f>
        <v>🍪고정비</v>
      </c>
      <c r="AC9" s="122">
        <f>$K$31</f>
        <v>659378</v>
      </c>
      <c r="AD9" s="123">
        <f t="shared" ref="AD9:AD20" si="4">_xlfn.RANK.EQ(AC9,$AB$9:$AC$20,0) + ROW(AB1)/10000</f>
        <v>3.0001</v>
      </c>
      <c r="AE9" s="123">
        <f t="shared" ref="AE9:AE20" si="5">SMALL($AD$9:$AD$20, ROW(AB1))</f>
        <v>1.0007</v>
      </c>
      <c r="AF9" s="123" t="str">
        <f t="shared" ref="AF9:AF20" si="6">INDEX($AB$9:$AB$20,MATCH(AE9,$AD$9:$AD$20,0))</f>
        <v>🍪여가비</v>
      </c>
      <c r="AG9" s="122">
        <f t="shared" ref="AG9:AG20" si="7">INDEX($AC$9:$AC$20,MATCH(AE9,$AD$9:$AD$20,0))</f>
        <v>965380</v>
      </c>
    </row>
    <row r="10">
      <c r="E10" s="114" t="s">
        <v>55</v>
      </c>
      <c r="F10" s="115">
        <f t="shared" si="2"/>
        <v>765175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479700</v>
      </c>
      <c r="V10" s="126">
        <f t="shared" si="3"/>
        <v>45992</v>
      </c>
      <c r="W10" s="126">
        <f t="shared" si="3"/>
        <v>202200</v>
      </c>
      <c r="X10" s="126">
        <f t="shared" si="3"/>
        <v>25000</v>
      </c>
      <c r="Y10" s="126">
        <f>SUM(R10:X10)</f>
        <v>752892</v>
      </c>
      <c r="AB10" s="121" t="str">
        <f>$H$33</f>
        <v>🐻고정비</v>
      </c>
      <c r="AC10" s="122">
        <f>$K$39</f>
        <v>580695</v>
      </c>
      <c r="AD10" s="123">
        <f t="shared" si="4"/>
        <v>4.0002</v>
      </c>
      <c r="AE10" s="123">
        <f t="shared" si="5"/>
        <v>2.001</v>
      </c>
      <c r="AF10" s="123" t="str">
        <f t="shared" si="6"/>
        <v>🐻기타</v>
      </c>
      <c r="AG10" s="122">
        <f t="shared" si="7"/>
        <v>667100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45935</v>
      </c>
      <c r="S11" s="128">
        <f t="shared" si="8"/>
        <v>45936</v>
      </c>
      <c r="T11" s="117">
        <f t="shared" si="8"/>
        <v>45937</v>
      </c>
      <c r="U11" s="117">
        <f t="shared" si="8"/>
        <v>45938</v>
      </c>
      <c r="V11" s="118">
        <f t="shared" si="8"/>
        <v>45939</v>
      </c>
      <c r="W11" s="129">
        <f t="shared" si="8"/>
        <v>45940</v>
      </c>
      <c r="X11" s="130">
        <f t="shared" si="8"/>
        <v>45941</v>
      </c>
      <c r="Y11" s="131"/>
      <c r="AB11" s="121" t="str">
        <f>$H$41</f>
        <v>🍪생필품</v>
      </c>
      <c r="AC11" s="122">
        <f>$K$47</f>
        <v>0</v>
      </c>
      <c r="AD11" s="123">
        <f t="shared" si="4"/>
        <v>11.0003</v>
      </c>
      <c r="AE11" s="123">
        <f t="shared" si="5"/>
        <v>3.0001</v>
      </c>
      <c r="AF11" s="123" t="str">
        <f t="shared" si="6"/>
        <v>🍪고정비</v>
      </c>
      <c r="AG11" s="122">
        <f t="shared" si="7"/>
        <v>659378</v>
      </c>
    </row>
    <row r="12">
      <c r="C12" s="132" t="s">
        <v>136</v>
      </c>
      <c r="D12" s="133">
        <f>F33</f>
        <v>9914708</v>
      </c>
      <c r="E12" s="114" t="s">
        <v>57</v>
      </c>
      <c r="F12" s="115">
        <f t="shared" si="2"/>
        <v>99500</v>
      </c>
      <c r="R12" s="134">
        <f t="shared" ref="R12:X12" si="9">SUMIFS($K$62:$K$500,$H$62:$H$500,R11,$I$62:$I$500,"&lt;&gt;수입",$I$62:$I$500,"&lt;&gt;저축")</f>
        <v>0</v>
      </c>
      <c r="S12" s="135">
        <f t="shared" si="9"/>
        <v>51100</v>
      </c>
      <c r="T12" s="136">
        <f t="shared" si="9"/>
        <v>14500</v>
      </c>
      <c r="U12" s="136">
        <f t="shared" si="9"/>
        <v>2200</v>
      </c>
      <c r="V12" s="134">
        <f t="shared" si="9"/>
        <v>40500</v>
      </c>
      <c r="W12" s="137">
        <f t="shared" si="9"/>
        <v>178490</v>
      </c>
      <c r="X12" s="137">
        <f t="shared" si="9"/>
        <v>125850</v>
      </c>
      <c r="Y12" s="137">
        <f>SUM(R12:X12)</f>
        <v>412640</v>
      </c>
      <c r="AB12" s="121" t="str">
        <f>$H$49</f>
        <v>🐻생필품</v>
      </c>
      <c r="AC12" s="122">
        <f>$K$55</f>
        <v>33430</v>
      </c>
      <c r="AD12" s="123">
        <f t="shared" si="4"/>
        <v>9.0004</v>
      </c>
      <c r="AE12" s="123">
        <f t="shared" si="5"/>
        <v>4.0002</v>
      </c>
      <c r="AF12" s="123" t="str">
        <f t="shared" si="6"/>
        <v>🐻고정비</v>
      </c>
      <c r="AG12" s="122">
        <f t="shared" si="7"/>
        <v>580695</v>
      </c>
    </row>
    <row r="13">
      <c r="C13" s="46"/>
      <c r="D13" s="138"/>
      <c r="E13" s="114" t="s">
        <v>58</v>
      </c>
      <c r="F13" s="115">
        <f t="shared" si="2"/>
        <v>47390</v>
      </c>
      <c r="I13" s="94"/>
      <c r="J13" s="94"/>
      <c r="R13" s="127">
        <f t="shared" ref="R13:X13" si="10">R11+7</f>
        <v>45942</v>
      </c>
      <c r="S13" s="128">
        <f t="shared" si="10"/>
        <v>45943</v>
      </c>
      <c r="T13" s="117">
        <f t="shared" si="10"/>
        <v>45944</v>
      </c>
      <c r="U13" s="117">
        <f t="shared" si="10"/>
        <v>45945</v>
      </c>
      <c r="V13" s="118">
        <f t="shared" si="10"/>
        <v>45946</v>
      </c>
      <c r="W13" s="129">
        <f t="shared" si="10"/>
        <v>45947</v>
      </c>
      <c r="X13" s="130">
        <f t="shared" si="10"/>
        <v>45948</v>
      </c>
      <c r="Y13" s="131"/>
      <c r="AB13" s="121" t="str">
        <f>$M$25</f>
        <v>🍪식비</v>
      </c>
      <c r="AC13" s="122">
        <f>$P$31</f>
        <v>465765</v>
      </c>
      <c r="AD13" s="123">
        <f t="shared" si="4"/>
        <v>5.0005</v>
      </c>
      <c r="AE13" s="123">
        <f t="shared" si="5"/>
        <v>5.0005</v>
      </c>
      <c r="AF13" s="123" t="str">
        <f t="shared" si="6"/>
        <v>🍪식비</v>
      </c>
      <c r="AG13" s="122">
        <f t="shared" si="7"/>
        <v>465765</v>
      </c>
    </row>
    <row r="14">
      <c r="C14" s="132" t="s">
        <v>137</v>
      </c>
      <c r="D14" s="133">
        <f>SUM($K$31+$K$39+$K$47+$K$55+$P$31+$P$39+$P$47+$P$55+X31+X39+X47+X55)</f>
        <v>4242098</v>
      </c>
      <c r="E14" s="114" t="s">
        <v>59</v>
      </c>
      <c r="F14" s="115">
        <f t="shared" si="2"/>
        <v>102000</v>
      </c>
      <c r="I14" s="139"/>
      <c r="J14" s="94"/>
      <c r="R14" s="134">
        <f t="shared" ref="R14:X14" si="11">SUMIFS($K$62:$K$500,$H$62:$H$500,R13,$I$62:$I$500,"&lt;&gt;수입",$I$62:$I$500,"&lt;&gt;저축")</f>
        <v>3730</v>
      </c>
      <c r="S14" s="135">
        <f t="shared" si="11"/>
        <v>51412</v>
      </c>
      <c r="T14" s="136">
        <f t="shared" si="11"/>
        <v>264600</v>
      </c>
      <c r="U14" s="136">
        <f t="shared" si="11"/>
        <v>530553</v>
      </c>
      <c r="V14" s="134">
        <f t="shared" si="11"/>
        <v>15400</v>
      </c>
      <c r="W14" s="137">
        <f t="shared" si="11"/>
        <v>121500</v>
      </c>
      <c r="X14" s="137">
        <f t="shared" si="11"/>
        <v>95881</v>
      </c>
      <c r="Y14" s="137">
        <f>SUM(R14:X14)</f>
        <v>1083076</v>
      </c>
      <c r="AB14" s="121" t="str">
        <f>$M$33</f>
        <v>🐻식비</v>
      </c>
      <c r="AC14" s="122">
        <f>$P$39</f>
        <v>465150</v>
      </c>
      <c r="AD14" s="123">
        <f t="shared" si="4"/>
        <v>6.0006</v>
      </c>
      <c r="AE14" s="123">
        <f t="shared" si="5"/>
        <v>6.0006</v>
      </c>
      <c r="AF14" s="123" t="str">
        <f t="shared" si="6"/>
        <v>🐻식비</v>
      </c>
      <c r="AG14" s="122">
        <f t="shared" si="7"/>
        <v>465150</v>
      </c>
    </row>
    <row r="15">
      <c r="C15" s="46"/>
      <c r="D15" s="138"/>
      <c r="E15" s="114" t="s">
        <v>60</v>
      </c>
      <c r="F15" s="115">
        <f t="shared" si="2"/>
        <v>962778</v>
      </c>
      <c r="I15" s="139"/>
      <c r="J15" s="94"/>
      <c r="R15" s="127">
        <f t="shared" ref="R15:X15" si="12">R13+7</f>
        <v>45949</v>
      </c>
      <c r="S15" s="128">
        <f t="shared" si="12"/>
        <v>45950</v>
      </c>
      <c r="T15" s="117">
        <f t="shared" si="12"/>
        <v>45951</v>
      </c>
      <c r="U15" s="117">
        <f t="shared" si="12"/>
        <v>45952</v>
      </c>
      <c r="V15" s="118">
        <f t="shared" si="12"/>
        <v>45953</v>
      </c>
      <c r="W15" s="129">
        <f t="shared" si="12"/>
        <v>45954</v>
      </c>
      <c r="X15" s="130">
        <f t="shared" si="12"/>
        <v>45955</v>
      </c>
      <c r="Y15" s="131"/>
      <c r="AB15" s="121" t="str">
        <f>$M$41</f>
        <v>🍪여가비</v>
      </c>
      <c r="AC15" s="122">
        <f>$P$47</f>
        <v>965380</v>
      </c>
      <c r="AD15" s="123">
        <f t="shared" si="4"/>
        <v>1.0007</v>
      </c>
      <c r="AE15" s="123">
        <f t="shared" si="5"/>
        <v>7.0009</v>
      </c>
      <c r="AF15" s="123" t="str">
        <f t="shared" si="6"/>
        <v>🍪기타</v>
      </c>
      <c r="AG15" s="122">
        <f t="shared" si="7"/>
        <v>274100</v>
      </c>
    </row>
    <row r="16">
      <c r="C16" s="132" t="s">
        <v>138</v>
      </c>
      <c r="D16" s="133">
        <f>F43</f>
        <v>100000</v>
      </c>
      <c r="E16" s="114" t="s">
        <v>61</v>
      </c>
      <c r="F16" s="115">
        <f t="shared" si="2"/>
        <v>169375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10500</v>
      </c>
      <c r="S16" s="135">
        <f t="shared" si="13"/>
        <v>41100</v>
      </c>
      <c r="T16" s="136">
        <f t="shared" si="13"/>
        <v>260070</v>
      </c>
      <c r="U16" s="136">
        <f t="shared" si="13"/>
        <v>142700</v>
      </c>
      <c r="V16" s="134">
        <f t="shared" si="13"/>
        <v>39980</v>
      </c>
      <c r="W16" s="137">
        <f t="shared" si="13"/>
        <v>170000</v>
      </c>
      <c r="X16" s="137">
        <f t="shared" si="13"/>
        <v>644980</v>
      </c>
      <c r="Y16" s="137">
        <f>SUM(R16:X16)</f>
        <v>1309330</v>
      </c>
      <c r="AB16" s="121" t="str">
        <f>$M$49</f>
        <v>🐻여가비</v>
      </c>
      <c r="AC16" s="122">
        <f>$P$55</f>
        <v>30000</v>
      </c>
      <c r="AD16" s="123">
        <f t="shared" si="4"/>
        <v>10.0008</v>
      </c>
      <c r="AE16" s="123">
        <f t="shared" si="5"/>
        <v>8.0012</v>
      </c>
      <c r="AF16" s="123" t="str">
        <f t="shared" si="6"/>
        <v>🐻 이벤트성</v>
      </c>
      <c r="AG16" s="122">
        <f t="shared" si="7"/>
        <v>101100</v>
      </c>
    </row>
    <row r="17">
      <c r="C17" s="46"/>
      <c r="D17" s="138"/>
      <c r="E17" s="114" t="s">
        <v>62</v>
      </c>
      <c r="F17" s="115">
        <f t="shared" si="2"/>
        <v>226800</v>
      </c>
      <c r="H17" s="142"/>
      <c r="I17" s="143"/>
      <c r="J17" s="144"/>
      <c r="K17" s="145"/>
      <c r="R17" s="127">
        <f t="shared" ref="R17:X17" si="14">R15+7</f>
        <v>45956</v>
      </c>
      <c r="S17" s="128">
        <f t="shared" si="14"/>
        <v>45957</v>
      </c>
      <c r="T17" s="117">
        <f t="shared" si="14"/>
        <v>45958</v>
      </c>
      <c r="U17" s="117">
        <f t="shared" si="14"/>
        <v>45959</v>
      </c>
      <c r="V17" s="118">
        <f t="shared" si="14"/>
        <v>45960</v>
      </c>
      <c r="W17" s="129">
        <f t="shared" si="14"/>
        <v>45961</v>
      </c>
      <c r="X17" s="130">
        <f t="shared" si="14"/>
        <v>45962</v>
      </c>
      <c r="Y17" s="131"/>
      <c r="AB17" s="121" t="str">
        <f>$R$25</f>
        <v>🍪기타</v>
      </c>
      <c r="AC17" s="122">
        <f>$X$31</f>
        <v>274100</v>
      </c>
      <c r="AD17" s="123">
        <f t="shared" si="4"/>
        <v>7.0009</v>
      </c>
      <c r="AE17" s="123">
        <f t="shared" si="5"/>
        <v>9.0004</v>
      </c>
      <c r="AF17" s="123" t="str">
        <f t="shared" si="6"/>
        <v>🐻생필품</v>
      </c>
      <c r="AG17" s="122">
        <f t="shared" si="7"/>
        <v>33430</v>
      </c>
    </row>
    <row r="18">
      <c r="C18" s="146" t="s">
        <v>140</v>
      </c>
      <c r="D18" s="147">
        <f>D12-D14-D16</f>
        <v>5572610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95000</v>
      </c>
      <c r="S18" s="148">
        <f t="shared" si="15"/>
        <v>696090</v>
      </c>
      <c r="T18" s="149">
        <f t="shared" si="15"/>
        <v>94500</v>
      </c>
      <c r="U18" s="149">
        <f t="shared" si="15"/>
        <v>10800</v>
      </c>
      <c r="V18" s="126">
        <f t="shared" si="15"/>
        <v>25840</v>
      </c>
      <c r="W18" s="150">
        <f t="shared" si="15"/>
        <v>145600</v>
      </c>
      <c r="X18" s="150">
        <f t="shared" si="15"/>
        <v>0</v>
      </c>
      <c r="Y18" s="150">
        <f>SUM(R18:X18)</f>
        <v>1067830</v>
      </c>
      <c r="AB18" s="121" t="str">
        <f>$R$33</f>
        <v>🐻기타</v>
      </c>
      <c r="AC18" s="122">
        <f>$X$39</f>
        <v>667100</v>
      </c>
      <c r="AD18" s="123">
        <f t="shared" si="4"/>
        <v>2.001</v>
      </c>
      <c r="AE18" s="123">
        <f t="shared" si="5"/>
        <v>10.0008</v>
      </c>
      <c r="AF18" s="123" t="str">
        <f t="shared" si="6"/>
        <v>🐻여가비</v>
      </c>
      <c r="AG18" s="122">
        <f t="shared" si="7"/>
        <v>30000</v>
      </c>
    </row>
    <row r="19">
      <c r="C19" s="151" t="s">
        <v>141</v>
      </c>
      <c r="D19" s="152">
        <f>(D16+D18)/D12</f>
        <v>0.5721409042</v>
      </c>
      <c r="E19" s="114" t="s">
        <v>64</v>
      </c>
      <c r="F19" s="115">
        <f t="shared" si="2"/>
        <v>2252750</v>
      </c>
      <c r="H19" s="142"/>
      <c r="I19" s="143"/>
      <c r="J19" s="144"/>
      <c r="K19" s="145"/>
      <c r="R19" s="153">
        <f t="shared" ref="R19:X19" si="16">R17+7</f>
        <v>45963</v>
      </c>
      <c r="S19" s="154">
        <f t="shared" si="16"/>
        <v>45964</v>
      </c>
      <c r="T19" s="155">
        <f t="shared" si="16"/>
        <v>45965</v>
      </c>
      <c r="U19" s="155">
        <f t="shared" si="16"/>
        <v>45966</v>
      </c>
      <c r="V19" s="156">
        <f t="shared" si="16"/>
        <v>45967</v>
      </c>
      <c r="W19" s="157">
        <f t="shared" si="16"/>
        <v>45968</v>
      </c>
      <c r="X19" s="158">
        <f t="shared" si="16"/>
        <v>45969</v>
      </c>
      <c r="Y19" s="159"/>
      <c r="AB19" s="121" t="str">
        <f>$R$41</f>
        <v>🍪이벤트성</v>
      </c>
      <c r="AC19" s="122">
        <f>$X$47</f>
        <v>0</v>
      </c>
      <c r="AD19" s="123">
        <f t="shared" si="4"/>
        <v>11.0011</v>
      </c>
      <c r="AE19" s="123">
        <f t="shared" si="5"/>
        <v>11.0003</v>
      </c>
      <c r="AF19" s="123" t="str">
        <f t="shared" si="6"/>
        <v>🍪생필품</v>
      </c>
      <c r="AG19" s="122">
        <f t="shared" si="7"/>
        <v>0</v>
      </c>
    </row>
    <row r="20">
      <c r="C20" s="160" t="s">
        <v>142</v>
      </c>
      <c r="D20" s="161">
        <f>D18/D12</f>
        <v>0.5620548785</v>
      </c>
      <c r="E20" s="162" t="s">
        <v>65</v>
      </c>
      <c r="F20" s="163">
        <f>SUM($F$9:$F$19)</f>
        <v>4625768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101100</v>
      </c>
      <c r="AD20" s="123">
        <f t="shared" si="4"/>
        <v>8.0012</v>
      </c>
      <c r="AE20" s="123">
        <f t="shared" si="5"/>
        <v>11.0011</v>
      </c>
      <c r="AF20" s="123" t="str">
        <f t="shared" si="6"/>
        <v>🍪이벤트성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3312520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177253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8400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400000</v>
      </c>
      <c r="M26" s="45"/>
      <c r="N26" s="41" t="s">
        <v>28</v>
      </c>
      <c r="O26" s="179"/>
      <c r="P26" s="115">
        <f t="shared" si="20"/>
        <v>103812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163700</v>
      </c>
      <c r="Y26" s="145"/>
    </row>
    <row r="27">
      <c r="C27" s="45"/>
      <c r="D27" s="41" t="s">
        <v>6</v>
      </c>
      <c r="E27" s="179"/>
      <c r="F27" s="115">
        <f t="shared" si="18"/>
        <v>4399920</v>
      </c>
      <c r="H27" s="45"/>
      <c r="I27" s="41" t="s">
        <v>17</v>
      </c>
      <c r="J27" s="179"/>
      <c r="K27" s="115">
        <f t="shared" si="19"/>
        <v>0</v>
      </c>
      <c r="M27" s="45"/>
      <c r="N27" s="41" t="s">
        <v>29</v>
      </c>
      <c r="O27" s="179"/>
      <c r="P27" s="115">
        <f t="shared" si="20"/>
        <v>44900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1305450</v>
      </c>
      <c r="H28" s="45"/>
      <c r="I28" s="41" t="s">
        <v>18</v>
      </c>
      <c r="J28" s="179"/>
      <c r="K28" s="115">
        <f t="shared" si="19"/>
        <v>69003</v>
      </c>
      <c r="M28" s="45"/>
      <c r="N28" s="41" t="s">
        <v>30</v>
      </c>
      <c r="O28" s="179"/>
      <c r="P28" s="115">
        <f t="shared" si="20"/>
        <v>139800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0</v>
      </c>
      <c r="Y28" s="145"/>
    </row>
    <row r="29">
      <c r="C29" s="45"/>
      <c r="D29" s="41" t="s">
        <v>8</v>
      </c>
      <c r="E29" s="179"/>
      <c r="F29" s="115">
        <f t="shared" si="18"/>
        <v>896818</v>
      </c>
      <c r="H29" s="45"/>
      <c r="I29" s="41" t="s">
        <v>19</v>
      </c>
      <c r="J29" s="179"/>
      <c r="K29" s="115">
        <f t="shared" si="19"/>
        <v>190375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102000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659378</v>
      </c>
      <c r="M31" s="187" t="str">
        <f>IF(M25=0,"","총"&amp;M25)</f>
        <v>총🍪식비</v>
      </c>
      <c r="N31" s="188"/>
      <c r="O31" s="175"/>
      <c r="P31" s="189">
        <f>SUM(P25:P30)</f>
        <v>465765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274100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659378</v>
      </c>
      <c r="M32" s="184"/>
      <c r="N32" s="191"/>
      <c r="O32" s="185"/>
      <c r="P32" s="193">
        <f>P31-O25</f>
        <v>465765</v>
      </c>
      <c r="R32" s="184"/>
      <c r="S32" s="191"/>
      <c r="T32" s="191"/>
      <c r="U32" s="191"/>
      <c r="V32" s="191"/>
      <c r="W32" s="185"/>
      <c r="X32" s="194">
        <f>X31-V25</f>
        <v>274100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9914708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272180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267100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9200</v>
      </c>
      <c r="Y33" s="145"/>
    </row>
    <row r="34">
      <c r="C34" s="184"/>
      <c r="D34" s="191"/>
      <c r="E34" s="185"/>
      <c r="F34" s="195">
        <f>F33-E25</f>
        <v>9914708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602100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78040</v>
      </c>
      <c r="M35" s="45"/>
      <c r="N35" s="41" t="s">
        <v>29</v>
      </c>
      <c r="O35" s="179"/>
      <c r="P35" s="115">
        <f t="shared" si="23"/>
        <v>23500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100475</v>
      </c>
      <c r="M36" s="45"/>
      <c r="N36" s="41" t="s">
        <v>30</v>
      </c>
      <c r="O36" s="179"/>
      <c r="P36" s="115">
        <f t="shared" si="23"/>
        <v>172050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5800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130000</v>
      </c>
      <c r="M37" s="45"/>
      <c r="N37" s="41" t="s">
        <v>8</v>
      </c>
      <c r="O37" s="179"/>
      <c r="P37" s="115">
        <f t="shared" si="23"/>
        <v>2500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50000</v>
      </c>
      <c r="Y37" s="145"/>
    </row>
    <row r="38">
      <c r="C38" s="45"/>
      <c r="D38" s="41" t="s">
        <v>13</v>
      </c>
      <c r="E38" s="179"/>
      <c r="F38" s="115">
        <f t="shared" si="25"/>
        <v>100000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580695</v>
      </c>
      <c r="M39" s="187" t="str">
        <f>IF(M33=0,"","총"&amp;M33)</f>
        <v>총🐻식비</v>
      </c>
      <c r="N39" s="188"/>
      <c r="O39" s="175"/>
      <c r="P39" s="189">
        <f>SUM(P33:P38)</f>
        <v>465150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667100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580695</v>
      </c>
      <c r="M40" s="184"/>
      <c r="N40" s="191"/>
      <c r="O40" s="185"/>
      <c r="P40" s="193">
        <f>P39-O33</f>
        <v>465150</v>
      </c>
      <c r="R40" s="184"/>
      <c r="S40" s="191"/>
      <c r="T40" s="191"/>
      <c r="U40" s="191"/>
      <c r="V40" s="191"/>
      <c r="W40" s="185"/>
      <c r="X40" s="194">
        <f>X39-V33</f>
        <v>667100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765380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0</v>
      </c>
      <c r="M42" s="45"/>
      <c r="N42" s="41" t="s">
        <v>34</v>
      </c>
      <c r="O42" s="179"/>
      <c r="P42" s="115">
        <f t="shared" si="27"/>
        <v>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100000</v>
      </c>
      <c r="H43" s="45"/>
      <c r="I43" s="41" t="s">
        <v>8</v>
      </c>
      <c r="J43" s="179"/>
      <c r="K43" s="115">
        <f t="shared" si="26"/>
        <v>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100000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200000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0</v>
      </c>
      <c r="M47" s="187" t="str">
        <f>IF(M41=0,"","총"&amp;M41)</f>
        <v>총🍪여가비</v>
      </c>
      <c r="N47" s="188"/>
      <c r="O47" s="175"/>
      <c r="P47" s="189">
        <f>SUM(P41:P46)</f>
        <v>965380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0</v>
      </c>
      <c r="Y47" s="145"/>
    </row>
    <row r="48">
      <c r="H48" s="184"/>
      <c r="I48" s="191"/>
      <c r="J48" s="185"/>
      <c r="K48" s="193">
        <f>K47-J41</f>
        <v>0</v>
      </c>
      <c r="M48" s="184"/>
      <c r="N48" s="191"/>
      <c r="O48" s="185"/>
      <c r="P48" s="193">
        <f>P47-O41</f>
        <v>965380</v>
      </c>
      <c r="R48" s="184"/>
      <c r="S48" s="191"/>
      <c r="T48" s="191"/>
      <c r="U48" s="191"/>
      <c r="V48" s="191"/>
      <c r="W48" s="185"/>
      <c r="X48" s="194">
        <f>X47-V41</f>
        <v>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50000</v>
      </c>
      <c r="Y49" s="145"/>
    </row>
    <row r="50">
      <c r="H50" s="45"/>
      <c r="I50" s="41" t="s">
        <v>24</v>
      </c>
      <c r="J50" s="179"/>
      <c r="K50" s="115">
        <f t="shared" si="29"/>
        <v>22930</v>
      </c>
      <c r="M50" s="45"/>
      <c r="N50" s="41" t="s">
        <v>34</v>
      </c>
      <c r="O50" s="179"/>
      <c r="P50" s="115">
        <f t="shared" si="30"/>
        <v>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0</v>
      </c>
      <c r="Y50" s="145"/>
    </row>
    <row r="51">
      <c r="H51" s="45"/>
      <c r="I51" s="41" t="s">
        <v>8</v>
      </c>
      <c r="J51" s="179"/>
      <c r="K51" s="115">
        <f t="shared" si="29"/>
        <v>10500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51100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30000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33430</v>
      </c>
      <c r="M55" s="187" t="str">
        <f>IF(M49=0,"","총"&amp;M49)</f>
        <v>총🐻여가비</v>
      </c>
      <c r="N55" s="188"/>
      <c r="O55" s="175"/>
      <c r="P55" s="189">
        <f>SUM(P49:P54)</f>
        <v>30000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101100</v>
      </c>
      <c r="Y55" s="145"/>
    </row>
    <row r="56">
      <c r="H56" s="196"/>
      <c r="I56" s="197"/>
      <c r="J56" s="198"/>
      <c r="K56" s="200">
        <f>K55-J49</f>
        <v>33430</v>
      </c>
      <c r="M56" s="196"/>
      <c r="N56" s="197"/>
      <c r="O56" s="198"/>
      <c r="P56" s="200">
        <f>P55-O49</f>
        <v>30000</v>
      </c>
      <c r="R56" s="196"/>
      <c r="S56" s="197"/>
      <c r="T56" s="197"/>
      <c r="U56" s="197"/>
      <c r="V56" s="197"/>
      <c r="W56" s="198"/>
      <c r="X56" s="201">
        <f>X55-V49</f>
        <v>101100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-4242098</v>
      </c>
      <c r="Y61" s="8"/>
    </row>
    <row r="62">
      <c r="H62" s="208">
        <v>45931.0</v>
      </c>
      <c r="I62" s="209" t="s">
        <v>31</v>
      </c>
      <c r="J62" s="209" t="s">
        <v>29</v>
      </c>
      <c r="K62" s="210">
        <v>1200.0</v>
      </c>
      <c r="L62" s="211" t="s">
        <v>64</v>
      </c>
      <c r="M62" s="143"/>
      <c r="N62" s="211" t="s">
        <v>861</v>
      </c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IFERROR(__xludf.DUMMYFUNCTION("FILTER('설정시트'!$D$7:$L$20,'설정시트'!$C$7:$C$20=I62)"),"식재료비")</f>
        <v>식재료비</v>
      </c>
      <c r="AC62" s="214" t="str">
        <f>IFERROR(__xludf.DUMMYFUNCTION("""COMPUTED_VALUE"""),"회사점심")</f>
        <v>회사점심</v>
      </c>
      <c r="AD62" s="214" t="str">
        <f>IFERROR(__xludf.DUMMYFUNCTION("""COMPUTED_VALUE"""),"간식/카페")</f>
        <v>간식/카페</v>
      </c>
      <c r="AE62" s="214" t="str">
        <f>IFERROR(__xludf.DUMMYFUNCTION("""COMPUTED_VALUE"""),"외식/배달")</f>
        <v>외식/배달</v>
      </c>
      <c r="AF62" s="214" t="str">
        <f>IFERROR(__xludf.DUMMYFUNCTION("""COMPUTED_VALUE"""),"기타")</f>
        <v>기타</v>
      </c>
      <c r="AG62" s="214"/>
      <c r="AH62" s="214"/>
      <c r="AI62" s="214"/>
      <c r="AJ62" s="215"/>
    </row>
    <row r="63">
      <c r="H63" s="208">
        <v>45931.0</v>
      </c>
      <c r="I63" s="209" t="s">
        <v>45</v>
      </c>
      <c r="J63" s="209" t="s">
        <v>41</v>
      </c>
      <c r="K63" s="210">
        <v>173900.0</v>
      </c>
      <c r="L63" s="211" t="s">
        <v>64</v>
      </c>
      <c r="M63" s="143"/>
      <c r="N63" s="211" t="s">
        <v>862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IFERROR(__xludf.DUMMYFUNCTION("FILTER('설정시트'!$D$7:$L$20,'설정시트'!$C$7:$C$20=I63)"),"약국")</f>
        <v>약국</v>
      </c>
      <c r="AC63" s="214" t="str">
        <f>IFERROR(__xludf.DUMMYFUNCTION("""COMPUTED_VALUE"""),"병원비")</f>
        <v>병원비</v>
      </c>
      <c r="AD63" s="214" t="str">
        <f>IFERROR(__xludf.DUMMYFUNCTION("""COMPUTED_VALUE"""),"영양제")</f>
        <v>영양제</v>
      </c>
      <c r="AE63" s="214" t="str">
        <f>IFERROR(__xludf.DUMMYFUNCTION("""COMPUTED_VALUE"""),"교통비")</f>
        <v>교통비</v>
      </c>
      <c r="AF63" s="214" t="str">
        <f>IFERROR(__xludf.DUMMYFUNCTION("""COMPUTED_VALUE"""),"주유비")</f>
        <v>주유비</v>
      </c>
      <c r="AG63" s="214"/>
      <c r="AH63" s="214" t="str">
        <f>IFERROR(__xludf.DUMMYFUNCTION("""COMPUTED_VALUE"""),"기타")</f>
        <v>기타</v>
      </c>
      <c r="AI63" s="214"/>
      <c r="AJ63" s="215"/>
    </row>
    <row r="64">
      <c r="H64" s="208">
        <v>45931.0</v>
      </c>
      <c r="I64" s="209" t="s">
        <v>31</v>
      </c>
      <c r="J64" s="209" t="s">
        <v>29</v>
      </c>
      <c r="K64" s="210">
        <v>2000.0</v>
      </c>
      <c r="L64" s="211" t="s">
        <v>64</v>
      </c>
      <c r="M64" s="143"/>
      <c r="N64" s="211" t="s">
        <v>863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IFERROR(__xludf.DUMMYFUNCTION("FILTER('설정시트'!$D$7:$L$20,'설정시트'!$C$7:$C$20=I64)"),"식재료비")</f>
        <v>식재료비</v>
      </c>
      <c r="AC64" s="214" t="str">
        <f>IFERROR(__xludf.DUMMYFUNCTION("""COMPUTED_VALUE"""),"회사점심")</f>
        <v>회사점심</v>
      </c>
      <c r="AD64" s="214" t="str">
        <f>IFERROR(__xludf.DUMMYFUNCTION("""COMPUTED_VALUE"""),"간식/카페")</f>
        <v>간식/카페</v>
      </c>
      <c r="AE64" s="214" t="str">
        <f>IFERROR(__xludf.DUMMYFUNCTION("""COMPUTED_VALUE"""),"외식/배달")</f>
        <v>외식/배달</v>
      </c>
      <c r="AF64" s="214" t="str">
        <f>IFERROR(__xludf.DUMMYFUNCTION("""COMPUTED_VALUE"""),"기타")</f>
        <v>기타</v>
      </c>
      <c r="AG64" s="214"/>
      <c r="AH64" s="214"/>
      <c r="AI64" s="214"/>
      <c r="AJ64" s="215"/>
    </row>
    <row r="65">
      <c r="H65" s="208">
        <v>45931.0</v>
      </c>
      <c r="I65" s="209" t="s">
        <v>31</v>
      </c>
      <c r="J65" s="209" t="s">
        <v>27</v>
      </c>
      <c r="K65" s="210">
        <v>253900.0</v>
      </c>
      <c r="L65" s="211" t="s">
        <v>64</v>
      </c>
      <c r="M65" s="143"/>
      <c r="N65" s="211" t="s">
        <v>864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IFERROR(__xludf.DUMMYFUNCTION("FILTER('설정시트'!$D$7:$L$20,'설정시트'!$C$7:$C$20=I65)"),"식재료비")</f>
        <v>식재료비</v>
      </c>
      <c r="AC65" s="214" t="str">
        <f>IFERROR(__xludf.DUMMYFUNCTION("""COMPUTED_VALUE"""),"회사점심")</f>
        <v>회사점심</v>
      </c>
      <c r="AD65" s="214" t="str">
        <f>IFERROR(__xludf.DUMMYFUNCTION("""COMPUTED_VALUE"""),"간식/카페")</f>
        <v>간식/카페</v>
      </c>
      <c r="AE65" s="214" t="str">
        <f>IFERROR(__xludf.DUMMYFUNCTION("""COMPUTED_VALUE"""),"외식/배달")</f>
        <v>외식/배달</v>
      </c>
      <c r="AF65" s="214" t="str">
        <f>IFERROR(__xludf.DUMMYFUNCTION("""COMPUTED_VALUE"""),"기타")</f>
        <v>기타</v>
      </c>
      <c r="AG65" s="214"/>
      <c r="AH65" s="214"/>
      <c r="AI65" s="214"/>
      <c r="AJ65" s="215"/>
    </row>
    <row r="66">
      <c r="H66" s="208">
        <v>45931.0</v>
      </c>
      <c r="I66" s="209" t="s">
        <v>31</v>
      </c>
      <c r="J66" s="209" t="s">
        <v>27</v>
      </c>
      <c r="K66" s="210">
        <v>2200.0</v>
      </c>
      <c r="L66" s="211" t="s">
        <v>64</v>
      </c>
      <c r="M66" s="143"/>
      <c r="N66" s="211" t="s">
        <v>865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IFERROR(__xludf.DUMMYFUNCTION("FILTER('설정시트'!$D$7:$L$20,'설정시트'!$C$7:$C$20=I66)"),"식재료비")</f>
        <v>식재료비</v>
      </c>
      <c r="AC66" s="214" t="str">
        <f>IFERROR(__xludf.DUMMYFUNCTION("""COMPUTED_VALUE"""),"회사점심")</f>
        <v>회사점심</v>
      </c>
      <c r="AD66" s="214" t="str">
        <f>IFERROR(__xludf.DUMMYFUNCTION("""COMPUTED_VALUE"""),"간식/카페")</f>
        <v>간식/카페</v>
      </c>
      <c r="AE66" s="214" t="str">
        <f>IFERROR(__xludf.DUMMYFUNCTION("""COMPUTED_VALUE"""),"외식/배달")</f>
        <v>외식/배달</v>
      </c>
      <c r="AF66" s="214" t="str">
        <f>IFERROR(__xludf.DUMMYFUNCTION("""COMPUTED_VALUE"""),"기타")</f>
        <v>기타</v>
      </c>
      <c r="AG66" s="214"/>
      <c r="AH66" s="214"/>
      <c r="AI66" s="214"/>
      <c r="AJ66" s="215"/>
    </row>
    <row r="67">
      <c r="H67" s="208">
        <v>45931.0</v>
      </c>
      <c r="I67" s="209" t="s">
        <v>25</v>
      </c>
      <c r="J67" s="209" t="s">
        <v>8</v>
      </c>
      <c r="K67" s="210">
        <v>10500.0</v>
      </c>
      <c r="L67" s="211" t="s">
        <v>64</v>
      </c>
      <c r="M67" s="143"/>
      <c r="N67" s="211" t="s">
        <v>866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IFERROR(__xludf.DUMMYFUNCTION("FILTER('설정시트'!$D$7:$L$20,'설정시트'!$C$7:$C$20=I67)"),"주방/욕실")</f>
        <v>주방/욕실</v>
      </c>
      <c r="AC67" s="214" t="str">
        <f>IFERROR(__xludf.DUMMYFUNCTION("""COMPUTED_VALUE"""),"소모품")</f>
        <v>소모품</v>
      </c>
      <c r="AD67" s="214" t="str">
        <f>IFERROR(__xludf.DUMMYFUNCTION("""COMPUTED_VALUE"""),"기타")</f>
        <v>기타</v>
      </c>
      <c r="AE67" s="214"/>
      <c r="AF67" s="214"/>
      <c r="AG67" s="214"/>
      <c r="AH67" s="214"/>
      <c r="AI67" s="214"/>
      <c r="AJ67" s="215"/>
    </row>
    <row r="68">
      <c r="H68" s="208">
        <v>45931.0</v>
      </c>
      <c r="I68" s="209" t="s">
        <v>25</v>
      </c>
      <c r="J68" s="209" t="s">
        <v>24</v>
      </c>
      <c r="K68" s="210">
        <v>12500.0</v>
      </c>
      <c r="L68" s="211" t="s">
        <v>64</v>
      </c>
      <c r="M68" s="143"/>
      <c r="N68" s="211" t="s">
        <v>867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IFERROR(__xludf.DUMMYFUNCTION("FILTER('설정시트'!$D$7:$L$20,'설정시트'!$C$7:$C$20=I68)"),"주방/욕실")</f>
        <v>주방/욕실</v>
      </c>
      <c r="AC68" s="214" t="str">
        <f>IFERROR(__xludf.DUMMYFUNCTION("""COMPUTED_VALUE"""),"소모품")</f>
        <v>소모품</v>
      </c>
      <c r="AD68" s="214" t="str">
        <f>IFERROR(__xludf.DUMMYFUNCTION("""COMPUTED_VALUE"""),"기타")</f>
        <v>기타</v>
      </c>
      <c r="AE68" s="214"/>
      <c r="AF68" s="214"/>
      <c r="AG68" s="214"/>
      <c r="AH68" s="214"/>
      <c r="AI68" s="214"/>
      <c r="AJ68" s="215"/>
    </row>
    <row r="69">
      <c r="H69" s="208">
        <v>45931.0</v>
      </c>
      <c r="I69" s="209" t="s">
        <v>26</v>
      </c>
      <c r="J69" s="209" t="s">
        <v>27</v>
      </c>
      <c r="K69" s="210">
        <v>13500.0</v>
      </c>
      <c r="L69" s="211" t="s">
        <v>64</v>
      </c>
      <c r="M69" s="143"/>
      <c r="N69" s="211" t="s">
        <v>868</v>
      </c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IFERROR(__xludf.DUMMYFUNCTION("FILTER('설정시트'!$D$7:$L$20,'설정시트'!$C$7:$C$20=I69)"),"식재료비")</f>
        <v>식재료비</v>
      </c>
      <c r="AC69" s="214" t="str">
        <f>IFERROR(__xludf.DUMMYFUNCTION("""COMPUTED_VALUE"""),"회사점심")</f>
        <v>회사점심</v>
      </c>
      <c r="AD69" s="214" t="str">
        <f>IFERROR(__xludf.DUMMYFUNCTION("""COMPUTED_VALUE"""),"간식/카페")</f>
        <v>간식/카페</v>
      </c>
      <c r="AE69" s="214" t="str">
        <f>IFERROR(__xludf.DUMMYFUNCTION("""COMPUTED_VALUE"""),"외식/배달")</f>
        <v>외식/배달</v>
      </c>
      <c r="AF69" s="214" t="str">
        <f>IFERROR(__xludf.DUMMYFUNCTION("""COMPUTED_VALUE"""),"기타")</f>
        <v>기타</v>
      </c>
      <c r="AG69" s="214"/>
      <c r="AH69" s="214"/>
      <c r="AI69" s="214"/>
      <c r="AJ69" s="215"/>
    </row>
    <row r="70">
      <c r="H70" s="208">
        <v>45931.0</v>
      </c>
      <c r="I70" s="209" t="s">
        <v>21</v>
      </c>
      <c r="J70" s="209" t="s">
        <v>20</v>
      </c>
      <c r="K70" s="210">
        <v>10000.0</v>
      </c>
      <c r="L70" s="211" t="s">
        <v>62</v>
      </c>
      <c r="M70" s="143"/>
      <c r="N70" s="211" t="s">
        <v>419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IFERROR(__xludf.DUMMYFUNCTION("FILTER('설정시트'!$D$7:$L$20,'설정시트'!$C$7:$C$20=I70)"),"관리비")</f>
        <v>관리비</v>
      </c>
      <c r="AC70" s="214" t="str">
        <f>IFERROR(__xludf.DUMMYFUNCTION("""COMPUTED_VALUE"""),"대출이자")</f>
        <v>대출이자</v>
      </c>
      <c r="AD70" s="214" t="str">
        <f>IFERROR(__xludf.DUMMYFUNCTION("""COMPUTED_VALUE"""),"통신비")</f>
        <v>통신비</v>
      </c>
      <c r="AE70" s="214" t="str">
        <f>IFERROR(__xludf.DUMMYFUNCTION("""COMPUTED_VALUE"""),"보험료")</f>
        <v>보험료</v>
      </c>
      <c r="AF70" s="214" t="str">
        <f>IFERROR(__xludf.DUMMYFUNCTION("""COMPUTED_VALUE"""),"곗돈")</f>
        <v>곗돈</v>
      </c>
      <c r="AG70" s="214"/>
      <c r="AH70" s="214"/>
      <c r="AI70" s="214"/>
      <c r="AJ70" s="215"/>
    </row>
    <row r="71">
      <c r="H71" s="208">
        <v>45932.0</v>
      </c>
      <c r="I71" s="209" t="s">
        <v>3</v>
      </c>
      <c r="J71" s="209" t="s">
        <v>8</v>
      </c>
      <c r="K71" s="210">
        <v>163900.0</v>
      </c>
      <c r="L71" s="211"/>
      <c r="M71" s="143"/>
      <c r="N71" s="211" t="s">
        <v>858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IFERROR(__xludf.DUMMYFUNCTION("FILTER('설정시트'!$D$7:$L$20,'설정시트'!$C$7:$C$20=I71)"),"🍪 월급")</f>
        <v>🍪 월급</v>
      </c>
      <c r="AC71" s="214" t="str">
        <f>IFERROR(__xludf.DUMMYFUNCTION("""COMPUTED_VALUE"""),"🍪 부수입")</f>
        <v>🍪 부수입</v>
      </c>
      <c r="AD71" s="214" t="str">
        <f>IFERROR(__xludf.DUMMYFUNCTION("""COMPUTED_VALUE"""),"🐻 월급")</f>
        <v>🐻 월급</v>
      </c>
      <c r="AE71" s="214" t="str">
        <f>IFERROR(__xludf.DUMMYFUNCTION("""COMPUTED_VALUE"""),"🐻 부수입")</f>
        <v>🐻 부수입</v>
      </c>
      <c r="AF71" s="214" t="str">
        <f>IFERROR(__xludf.DUMMYFUNCTION("""COMPUTED_VALUE"""),"기타")</f>
        <v>기타</v>
      </c>
      <c r="AG71" s="214"/>
      <c r="AH71" s="214"/>
      <c r="AI71" s="214"/>
      <c r="AJ71" s="215"/>
    </row>
    <row r="72">
      <c r="H72" s="208">
        <v>45932.0</v>
      </c>
      <c r="I72" s="209" t="s">
        <v>3</v>
      </c>
      <c r="J72" s="209" t="s">
        <v>6</v>
      </c>
      <c r="K72" s="210">
        <v>4399920.0</v>
      </c>
      <c r="L72" s="211"/>
      <c r="M72" s="143"/>
      <c r="N72" s="211" t="s">
        <v>869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IFERROR(__xludf.DUMMYFUNCTION("FILTER('설정시트'!$D$7:$L$20,'설정시트'!$C$7:$C$20=I72)"),"🍪 월급")</f>
        <v>🍪 월급</v>
      </c>
      <c r="AC72" s="214" t="str">
        <f>IFERROR(__xludf.DUMMYFUNCTION("""COMPUTED_VALUE"""),"🍪 부수입")</f>
        <v>🍪 부수입</v>
      </c>
      <c r="AD72" s="214" t="str">
        <f>IFERROR(__xludf.DUMMYFUNCTION("""COMPUTED_VALUE"""),"🐻 월급")</f>
        <v>🐻 월급</v>
      </c>
      <c r="AE72" s="214" t="str">
        <f>IFERROR(__xludf.DUMMYFUNCTION("""COMPUTED_VALUE"""),"🐻 부수입")</f>
        <v>🐻 부수입</v>
      </c>
      <c r="AF72" s="214" t="str">
        <f>IFERROR(__xludf.DUMMYFUNCTION("""COMPUTED_VALUE"""),"기타")</f>
        <v>기타</v>
      </c>
      <c r="AG72" s="214"/>
      <c r="AH72" s="214"/>
      <c r="AI72" s="214"/>
      <c r="AJ72" s="215"/>
    </row>
    <row r="73">
      <c r="H73" s="208">
        <v>45932.0</v>
      </c>
      <c r="I73" s="209" t="s">
        <v>26</v>
      </c>
      <c r="J73" s="209" t="s">
        <v>28</v>
      </c>
      <c r="K73" s="210">
        <v>11900.0</v>
      </c>
      <c r="L73" s="211" t="s">
        <v>64</v>
      </c>
      <c r="M73" s="143"/>
      <c r="N73" s="211" t="s">
        <v>804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IFERROR(__xludf.DUMMYFUNCTION("FILTER('설정시트'!$D$7:$L$20,'설정시트'!$C$7:$C$20=I73)"),"식재료비")</f>
        <v>식재료비</v>
      </c>
      <c r="AC73" s="214" t="str">
        <f>IFERROR(__xludf.DUMMYFUNCTION("""COMPUTED_VALUE"""),"회사점심")</f>
        <v>회사점심</v>
      </c>
      <c r="AD73" s="214" t="str">
        <f>IFERROR(__xludf.DUMMYFUNCTION("""COMPUTED_VALUE"""),"간식/카페")</f>
        <v>간식/카페</v>
      </c>
      <c r="AE73" s="214" t="str">
        <f>IFERROR(__xludf.DUMMYFUNCTION("""COMPUTED_VALUE"""),"외식/배달")</f>
        <v>외식/배달</v>
      </c>
      <c r="AF73" s="214" t="str">
        <f>IFERROR(__xludf.DUMMYFUNCTION("""COMPUTED_VALUE"""),"기타")</f>
        <v>기타</v>
      </c>
      <c r="AG73" s="214"/>
      <c r="AH73" s="214"/>
      <c r="AI73" s="214"/>
      <c r="AJ73" s="215"/>
    </row>
    <row r="74">
      <c r="H74" s="208">
        <v>45932.0</v>
      </c>
      <c r="I74" s="209" t="s">
        <v>26</v>
      </c>
      <c r="J74" s="209" t="s">
        <v>27</v>
      </c>
      <c r="K74" s="210">
        <v>34092.0</v>
      </c>
      <c r="L74" s="211" t="s">
        <v>60</v>
      </c>
      <c r="M74" s="143"/>
      <c r="N74" s="211" t="s">
        <v>637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IFERROR(__xludf.DUMMYFUNCTION("FILTER('설정시트'!$D$7:$L$20,'설정시트'!$C$7:$C$20=I74)"),"식재료비")</f>
        <v>식재료비</v>
      </c>
      <c r="AC74" s="214" t="str">
        <f>IFERROR(__xludf.DUMMYFUNCTION("""COMPUTED_VALUE"""),"회사점심")</f>
        <v>회사점심</v>
      </c>
      <c r="AD74" s="214" t="str">
        <f>IFERROR(__xludf.DUMMYFUNCTION("""COMPUTED_VALUE"""),"간식/카페")</f>
        <v>간식/카페</v>
      </c>
      <c r="AE74" s="214" t="str">
        <f>IFERROR(__xludf.DUMMYFUNCTION("""COMPUTED_VALUE"""),"외식/배달")</f>
        <v>외식/배달</v>
      </c>
      <c r="AF74" s="214" t="str">
        <f>IFERROR(__xludf.DUMMYFUNCTION("""COMPUTED_VALUE"""),"기타")</f>
        <v>기타</v>
      </c>
      <c r="AG74" s="214"/>
      <c r="AH74" s="214"/>
      <c r="AI74" s="214"/>
      <c r="AJ74" s="215"/>
    </row>
    <row r="75">
      <c r="H75" s="208">
        <v>45932.0</v>
      </c>
      <c r="I75" s="217" t="s">
        <v>3</v>
      </c>
      <c r="J75" s="217" t="s">
        <v>8</v>
      </c>
      <c r="K75" s="218">
        <v>15618.0</v>
      </c>
      <c r="L75" s="211"/>
      <c r="M75" s="143"/>
      <c r="N75" s="211" t="s">
        <v>870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IFERROR(__xludf.DUMMYFUNCTION("FILTER('설정시트'!$D$7:$L$20,'설정시트'!$C$7:$C$20=I75)"),"🍪 월급")</f>
        <v>🍪 월급</v>
      </c>
      <c r="AC75" s="214" t="str">
        <f>IFERROR(__xludf.DUMMYFUNCTION("""COMPUTED_VALUE"""),"🍪 부수입")</f>
        <v>🍪 부수입</v>
      </c>
      <c r="AD75" s="214" t="str">
        <f>IFERROR(__xludf.DUMMYFUNCTION("""COMPUTED_VALUE"""),"🐻 월급")</f>
        <v>🐻 월급</v>
      </c>
      <c r="AE75" s="214" t="str">
        <f>IFERROR(__xludf.DUMMYFUNCTION("""COMPUTED_VALUE"""),"🐻 부수입")</f>
        <v>🐻 부수입</v>
      </c>
      <c r="AF75" s="214" t="str">
        <f>IFERROR(__xludf.DUMMYFUNCTION("""COMPUTED_VALUE"""),"기타")</f>
        <v>기타</v>
      </c>
      <c r="AG75" s="214"/>
      <c r="AH75" s="214"/>
      <c r="AI75" s="214"/>
      <c r="AJ75" s="215"/>
    </row>
    <row r="76">
      <c r="H76" s="208">
        <v>45933.0</v>
      </c>
      <c r="I76" s="209" t="s">
        <v>45</v>
      </c>
      <c r="J76" s="209" t="s">
        <v>43</v>
      </c>
      <c r="K76" s="210">
        <v>2200.0</v>
      </c>
      <c r="L76" s="211" t="s">
        <v>64</v>
      </c>
      <c r="M76" s="143"/>
      <c r="N76" s="211" t="s">
        <v>871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IFERROR(__xludf.DUMMYFUNCTION("FILTER('설정시트'!$D$7:$L$20,'설정시트'!$C$7:$C$20=I76)"),"약국")</f>
        <v>약국</v>
      </c>
      <c r="AC76" s="214" t="str">
        <f>IFERROR(__xludf.DUMMYFUNCTION("""COMPUTED_VALUE"""),"병원비")</f>
        <v>병원비</v>
      </c>
      <c r="AD76" s="214" t="str">
        <f>IFERROR(__xludf.DUMMYFUNCTION("""COMPUTED_VALUE"""),"영양제")</f>
        <v>영양제</v>
      </c>
      <c r="AE76" s="214" t="str">
        <f>IFERROR(__xludf.DUMMYFUNCTION("""COMPUTED_VALUE"""),"교통비")</f>
        <v>교통비</v>
      </c>
      <c r="AF76" s="214" t="str">
        <f>IFERROR(__xludf.DUMMYFUNCTION("""COMPUTED_VALUE"""),"주유비")</f>
        <v>주유비</v>
      </c>
      <c r="AG76" s="214"/>
      <c r="AH76" s="214" t="str">
        <f>IFERROR(__xludf.DUMMYFUNCTION("""COMPUTED_VALUE"""),"기타")</f>
        <v>기타</v>
      </c>
      <c r="AI76" s="214"/>
      <c r="AJ76" s="215"/>
    </row>
    <row r="77">
      <c r="H77" s="208">
        <v>45933.0</v>
      </c>
      <c r="I77" s="209" t="s">
        <v>32</v>
      </c>
      <c r="J77" s="209" t="s">
        <v>37</v>
      </c>
      <c r="K77" s="210">
        <v>200000.0</v>
      </c>
      <c r="L77" s="211" t="s">
        <v>60</v>
      </c>
      <c r="M77" s="143"/>
      <c r="N77" s="211" t="s">
        <v>872</v>
      </c>
      <c r="O77" s="212"/>
      <c r="P77" s="212"/>
      <c r="Q77" s="143"/>
      <c r="R77" s="211" t="s">
        <v>873</v>
      </c>
      <c r="S77" s="212"/>
      <c r="T77" s="145"/>
      <c r="AB77" s="214" t="str">
        <f>IFERROR(__xludf.DUMMYFUNCTION("FILTER('설정시트'!$D$7:$L$20,'설정시트'!$C$7:$C$20=I77)"),"의류/잡화")</f>
        <v>의류/잡화</v>
      </c>
      <c r="AC77" s="214" t="str">
        <f>IFERROR(__xludf.DUMMYFUNCTION("""COMPUTED_VALUE"""),"OTT")</f>
        <v>OTT</v>
      </c>
      <c r="AD77" s="214" t="str">
        <f>IFERROR(__xludf.DUMMYFUNCTION("""COMPUTED_VALUE"""),"문화생활")</f>
        <v>문화생활</v>
      </c>
      <c r="AE77" s="214" t="str">
        <f>IFERROR(__xludf.DUMMYFUNCTION("""COMPUTED_VALUE"""),"자기계발")</f>
        <v>자기계발</v>
      </c>
      <c r="AF77" s="214" t="str">
        <f>IFERROR(__xludf.DUMMYFUNCTION("""COMPUTED_VALUE"""),"미용")</f>
        <v>미용</v>
      </c>
      <c r="AG77" s="214"/>
      <c r="AH77" s="214" t="str">
        <f>IFERROR(__xludf.DUMMYFUNCTION("""COMPUTED_VALUE"""),"기타")</f>
        <v>기타</v>
      </c>
      <c r="AI77" s="214"/>
      <c r="AJ77" s="215"/>
    </row>
    <row r="78">
      <c r="H78" s="208">
        <v>45934.0</v>
      </c>
      <c r="I78" s="209" t="s">
        <v>31</v>
      </c>
      <c r="J78" s="209" t="s">
        <v>30</v>
      </c>
      <c r="K78" s="210">
        <v>25000.0</v>
      </c>
      <c r="L78" s="211" t="s">
        <v>64</v>
      </c>
      <c r="M78" s="143"/>
      <c r="N78" s="211" t="s">
        <v>804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IFERROR(__xludf.DUMMYFUNCTION("FILTER('설정시트'!$D$7:$L$20,'설정시트'!$C$7:$C$20=I78)"),"식재료비")</f>
        <v>식재료비</v>
      </c>
      <c r="AC78" s="214" t="str">
        <f>IFERROR(__xludf.DUMMYFUNCTION("""COMPUTED_VALUE"""),"회사점심")</f>
        <v>회사점심</v>
      </c>
      <c r="AD78" s="214" t="str">
        <f>IFERROR(__xludf.DUMMYFUNCTION("""COMPUTED_VALUE"""),"간식/카페")</f>
        <v>간식/카페</v>
      </c>
      <c r="AE78" s="214" t="str">
        <f>IFERROR(__xludf.DUMMYFUNCTION("""COMPUTED_VALUE"""),"외식/배달")</f>
        <v>외식/배달</v>
      </c>
      <c r="AF78" s="214" t="str">
        <f>IFERROR(__xludf.DUMMYFUNCTION("""COMPUTED_VALUE"""),"기타")</f>
        <v>기타</v>
      </c>
      <c r="AG78" s="214"/>
      <c r="AH78" s="214"/>
      <c r="AI78" s="214"/>
      <c r="AJ78" s="215"/>
    </row>
    <row r="79">
      <c r="H79" s="208">
        <v>45936.0</v>
      </c>
      <c r="I79" s="209" t="s">
        <v>52</v>
      </c>
      <c r="J79" s="209" t="s">
        <v>49</v>
      </c>
      <c r="K79" s="210">
        <v>51100.0</v>
      </c>
      <c r="L79" s="211" t="s">
        <v>64</v>
      </c>
      <c r="M79" s="143"/>
      <c r="N79" s="211" t="s">
        <v>874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IFERROR(__xludf.DUMMYFUNCTION("FILTER('설정시트'!$D$7:$L$20,'설정시트'!$C$7:$C$20=I79)"),"축의/부의금")</f>
        <v>축의/부의금</v>
      </c>
      <c r="AC79" s="214" t="str">
        <f>IFERROR(__xludf.DUMMYFUNCTION("""COMPUTED_VALUE"""),"생신/생일선물")</f>
        <v>생신/생일선물</v>
      </c>
      <c r="AD79" s="214" t="str">
        <f>IFERROR(__xludf.DUMMYFUNCTION("""COMPUTED_VALUE"""),"명절/어버이날")</f>
        <v>명절/어버이날</v>
      </c>
      <c r="AE79" s="214" t="str">
        <f>IFERROR(__xludf.DUMMYFUNCTION("""COMPUTED_VALUE"""),"여행")</f>
        <v>여행</v>
      </c>
      <c r="AF79" s="214" t="str">
        <f>IFERROR(__xludf.DUMMYFUNCTION("""COMPUTED_VALUE"""),"기타")</f>
        <v>기타</v>
      </c>
      <c r="AG79" s="214" t="str">
        <f>IFERROR(__xludf.DUMMYFUNCTION("""COMPUTED_VALUE"""),"출산")</f>
        <v>출산</v>
      </c>
      <c r="AH79" s="214"/>
      <c r="AI79" s="214"/>
      <c r="AJ79" s="215"/>
    </row>
    <row r="80">
      <c r="H80" s="208">
        <v>45937.0</v>
      </c>
      <c r="I80" s="209" t="s">
        <v>21</v>
      </c>
      <c r="J80" s="209" t="s">
        <v>18</v>
      </c>
      <c r="K80" s="210">
        <v>3300.0</v>
      </c>
      <c r="L80" s="211" t="s">
        <v>61</v>
      </c>
      <c r="M80" s="143"/>
      <c r="N80" s="211" t="s">
        <v>431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IFERROR(__xludf.DUMMYFUNCTION("FILTER('설정시트'!$D$7:$L$20,'설정시트'!$C$7:$C$20=I80)"),"관리비")</f>
        <v>관리비</v>
      </c>
      <c r="AC80" s="214" t="str">
        <f>IFERROR(__xludf.DUMMYFUNCTION("""COMPUTED_VALUE"""),"대출이자")</f>
        <v>대출이자</v>
      </c>
      <c r="AD80" s="214" t="str">
        <f>IFERROR(__xludf.DUMMYFUNCTION("""COMPUTED_VALUE"""),"통신비")</f>
        <v>통신비</v>
      </c>
      <c r="AE80" s="214" t="str">
        <f>IFERROR(__xludf.DUMMYFUNCTION("""COMPUTED_VALUE"""),"보험료")</f>
        <v>보험료</v>
      </c>
      <c r="AF80" s="214" t="str">
        <f>IFERROR(__xludf.DUMMYFUNCTION("""COMPUTED_VALUE"""),"곗돈")</f>
        <v>곗돈</v>
      </c>
      <c r="AG80" s="214"/>
      <c r="AH80" s="214"/>
      <c r="AI80" s="214"/>
      <c r="AJ80" s="215"/>
    </row>
    <row r="81">
      <c r="H81" s="208">
        <v>45937.0</v>
      </c>
      <c r="I81" s="209" t="s">
        <v>26</v>
      </c>
      <c r="J81" s="209" t="s">
        <v>29</v>
      </c>
      <c r="K81" s="210">
        <v>5400.0</v>
      </c>
      <c r="L81" s="211" t="s">
        <v>58</v>
      </c>
      <c r="M81" s="143"/>
      <c r="N81" s="211" t="s">
        <v>875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IFERROR(__xludf.DUMMYFUNCTION("FILTER('설정시트'!$D$7:$L$20,'설정시트'!$C$7:$C$20=I81)"),"식재료비")</f>
        <v>식재료비</v>
      </c>
      <c r="AC81" s="214" t="str">
        <f>IFERROR(__xludf.DUMMYFUNCTION("""COMPUTED_VALUE"""),"회사점심")</f>
        <v>회사점심</v>
      </c>
      <c r="AD81" s="214" t="str">
        <f>IFERROR(__xludf.DUMMYFUNCTION("""COMPUTED_VALUE"""),"간식/카페")</f>
        <v>간식/카페</v>
      </c>
      <c r="AE81" s="214" t="str">
        <f>IFERROR(__xludf.DUMMYFUNCTION("""COMPUTED_VALUE"""),"외식/배달")</f>
        <v>외식/배달</v>
      </c>
      <c r="AF81" s="214" t="str">
        <f>IFERROR(__xludf.DUMMYFUNCTION("""COMPUTED_VALUE"""),"기타")</f>
        <v>기타</v>
      </c>
      <c r="AG81" s="214"/>
      <c r="AH81" s="214"/>
      <c r="AI81" s="214"/>
      <c r="AJ81" s="215"/>
    </row>
    <row r="82">
      <c r="H82" s="208">
        <v>45937.0</v>
      </c>
      <c r="I82" s="209" t="s">
        <v>26</v>
      </c>
      <c r="J82" s="209" t="s">
        <v>29</v>
      </c>
      <c r="K82" s="216">
        <v>5800.0</v>
      </c>
      <c r="L82" s="211" t="s">
        <v>58</v>
      </c>
      <c r="M82" s="143"/>
      <c r="N82" s="211" t="s">
        <v>876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IFERROR(__xludf.DUMMYFUNCTION("FILTER('설정시트'!$D$7:$L$20,'설정시트'!$C$7:$C$20=I82)"),"식재료비")</f>
        <v>식재료비</v>
      </c>
      <c r="AC82" s="214" t="str">
        <f>IFERROR(__xludf.DUMMYFUNCTION("""COMPUTED_VALUE"""),"회사점심")</f>
        <v>회사점심</v>
      </c>
      <c r="AD82" s="214" t="str">
        <f>IFERROR(__xludf.DUMMYFUNCTION("""COMPUTED_VALUE"""),"간식/카페")</f>
        <v>간식/카페</v>
      </c>
      <c r="AE82" s="214" t="str">
        <f>IFERROR(__xludf.DUMMYFUNCTION("""COMPUTED_VALUE"""),"외식/배달")</f>
        <v>외식/배달</v>
      </c>
      <c r="AF82" s="214" t="str">
        <f>IFERROR(__xludf.DUMMYFUNCTION("""COMPUTED_VALUE"""),"기타")</f>
        <v>기타</v>
      </c>
      <c r="AG82" s="214"/>
      <c r="AH82" s="214"/>
      <c r="AI82" s="214"/>
      <c r="AJ82" s="215"/>
    </row>
    <row r="83">
      <c r="H83" s="208">
        <v>45938.0</v>
      </c>
      <c r="I83" s="209" t="s">
        <v>31</v>
      </c>
      <c r="J83" s="209" t="s">
        <v>29</v>
      </c>
      <c r="K83" s="210">
        <v>2200.0</v>
      </c>
      <c r="L83" s="211" t="s">
        <v>64</v>
      </c>
      <c r="M83" s="143"/>
      <c r="N83" s="211" t="s">
        <v>877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IFERROR(__xludf.DUMMYFUNCTION("FILTER('설정시트'!$D$7:$L$20,'설정시트'!$C$7:$C$20=I83)"),"식재료비")</f>
        <v>식재료비</v>
      </c>
      <c r="AC83" s="214" t="str">
        <f>IFERROR(__xludf.DUMMYFUNCTION("""COMPUTED_VALUE"""),"회사점심")</f>
        <v>회사점심</v>
      </c>
      <c r="AD83" s="214" t="str">
        <f>IFERROR(__xludf.DUMMYFUNCTION("""COMPUTED_VALUE"""),"간식/카페")</f>
        <v>간식/카페</v>
      </c>
      <c r="AE83" s="214" t="str">
        <f>IFERROR(__xludf.DUMMYFUNCTION("""COMPUTED_VALUE"""),"외식/배달")</f>
        <v>외식/배달</v>
      </c>
      <c r="AF83" s="214" t="str">
        <f>IFERROR(__xludf.DUMMYFUNCTION("""COMPUTED_VALUE"""),"기타")</f>
        <v>기타</v>
      </c>
      <c r="AG83" s="214"/>
      <c r="AH83" s="214"/>
      <c r="AI83" s="214"/>
      <c r="AJ83" s="215"/>
    </row>
    <row r="84">
      <c r="H84" s="208">
        <v>45939.0</v>
      </c>
      <c r="I84" s="209" t="s">
        <v>31</v>
      </c>
      <c r="J84" s="209" t="s">
        <v>30</v>
      </c>
      <c r="K84" s="210">
        <v>18500.0</v>
      </c>
      <c r="L84" s="211" t="s">
        <v>64</v>
      </c>
      <c r="M84" s="143"/>
      <c r="N84" s="211" t="s">
        <v>804</v>
      </c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IFERROR(__xludf.DUMMYFUNCTION("FILTER('설정시트'!$D$7:$L$20,'설정시트'!$C$7:$C$20=I84)"),"식재료비")</f>
        <v>식재료비</v>
      </c>
      <c r="AC84" s="214" t="str">
        <f>IFERROR(__xludf.DUMMYFUNCTION("""COMPUTED_VALUE"""),"회사점심")</f>
        <v>회사점심</v>
      </c>
      <c r="AD84" s="214" t="str">
        <f>IFERROR(__xludf.DUMMYFUNCTION("""COMPUTED_VALUE"""),"간식/카페")</f>
        <v>간식/카페</v>
      </c>
      <c r="AE84" s="214" t="str">
        <f>IFERROR(__xludf.DUMMYFUNCTION("""COMPUTED_VALUE"""),"외식/배달")</f>
        <v>외식/배달</v>
      </c>
      <c r="AF84" s="214" t="str">
        <f>IFERROR(__xludf.DUMMYFUNCTION("""COMPUTED_VALUE"""),"기타")</f>
        <v>기타</v>
      </c>
      <c r="AG84" s="214"/>
      <c r="AH84" s="214"/>
      <c r="AI84" s="214"/>
      <c r="AJ84" s="215"/>
    </row>
    <row r="85">
      <c r="H85" s="208">
        <v>45939.0</v>
      </c>
      <c r="I85" s="209" t="s">
        <v>26</v>
      </c>
      <c r="J85" s="209" t="s">
        <v>30</v>
      </c>
      <c r="K85" s="216">
        <v>22000.0</v>
      </c>
      <c r="L85" s="211" t="s">
        <v>60</v>
      </c>
      <c r="M85" s="143"/>
      <c r="N85" s="211" t="s">
        <v>878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  <c r="AJ85" s="215"/>
    </row>
    <row r="86">
      <c r="H86" s="208">
        <v>45940.0</v>
      </c>
      <c r="I86" s="209" t="s">
        <v>31</v>
      </c>
      <c r="J86" s="209" t="s">
        <v>29</v>
      </c>
      <c r="K86" s="210">
        <v>1200.0</v>
      </c>
      <c r="L86" s="211" t="s">
        <v>64</v>
      </c>
      <c r="M86" s="143"/>
      <c r="N86" s="211" t="s">
        <v>770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IFERROR(__xludf.DUMMYFUNCTION("FILTER('설정시트'!$D$7:$L$20,'설정시트'!$C$7:$C$20=I86)"),"식재료비")</f>
        <v>식재료비</v>
      </c>
      <c r="AC86" s="214" t="str">
        <f>IFERROR(__xludf.DUMMYFUNCTION("""COMPUTED_VALUE"""),"회사점심")</f>
        <v>회사점심</v>
      </c>
      <c r="AD86" s="214" t="str">
        <f>IFERROR(__xludf.DUMMYFUNCTION("""COMPUTED_VALUE"""),"간식/카페")</f>
        <v>간식/카페</v>
      </c>
      <c r="AE86" s="214" t="str">
        <f>IFERROR(__xludf.DUMMYFUNCTION("""COMPUTED_VALUE"""),"외식/배달")</f>
        <v>외식/배달</v>
      </c>
      <c r="AF86" s="214" t="str">
        <f>IFERROR(__xludf.DUMMYFUNCTION("""COMPUTED_VALUE"""),"기타")</f>
        <v>기타</v>
      </c>
      <c r="AG86" s="214"/>
      <c r="AH86" s="214"/>
      <c r="AI86" s="214"/>
      <c r="AJ86" s="215"/>
    </row>
    <row r="87">
      <c r="H87" s="208">
        <v>45940.0</v>
      </c>
      <c r="I87" s="209" t="s">
        <v>21</v>
      </c>
      <c r="J87" s="209" t="s">
        <v>20</v>
      </c>
      <c r="K87" s="210">
        <v>100000.0</v>
      </c>
      <c r="L87" s="211" t="s">
        <v>62</v>
      </c>
      <c r="M87" s="143"/>
      <c r="N87" s="211" t="s">
        <v>322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IFERROR(__xludf.DUMMYFUNCTION("FILTER('설정시트'!$D$7:$L$20,'설정시트'!$C$7:$C$20=I87)"),"관리비")</f>
        <v>관리비</v>
      </c>
      <c r="AC87" s="214" t="str">
        <f>IFERROR(__xludf.DUMMYFUNCTION("""COMPUTED_VALUE"""),"대출이자")</f>
        <v>대출이자</v>
      </c>
      <c r="AD87" s="214" t="str">
        <f>IFERROR(__xludf.DUMMYFUNCTION("""COMPUTED_VALUE"""),"통신비")</f>
        <v>통신비</v>
      </c>
      <c r="AE87" s="214" t="str">
        <f>IFERROR(__xludf.DUMMYFUNCTION("""COMPUTED_VALUE"""),"보험료")</f>
        <v>보험료</v>
      </c>
      <c r="AF87" s="214" t="str">
        <f>IFERROR(__xludf.DUMMYFUNCTION("""COMPUTED_VALUE"""),"곗돈")</f>
        <v>곗돈</v>
      </c>
      <c r="AG87" s="214"/>
      <c r="AH87" s="214"/>
      <c r="AI87" s="214"/>
      <c r="AJ87" s="215"/>
    </row>
    <row r="88">
      <c r="H88" s="208">
        <v>45940.0</v>
      </c>
      <c r="I88" s="209" t="s">
        <v>31</v>
      </c>
      <c r="J88" s="209" t="s">
        <v>29</v>
      </c>
      <c r="K88" s="210">
        <v>1200.0</v>
      </c>
      <c r="L88" s="211" t="s">
        <v>64</v>
      </c>
      <c r="M88" s="143"/>
      <c r="N88" s="211" t="s">
        <v>773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IFERROR(__xludf.DUMMYFUNCTION("FILTER('설정시트'!$D$7:$L$20,'설정시트'!$C$7:$C$20=I88)"),"식재료비")</f>
        <v>식재료비</v>
      </c>
      <c r="AC88" s="214" t="str">
        <f>IFERROR(__xludf.DUMMYFUNCTION("""COMPUTED_VALUE"""),"회사점심")</f>
        <v>회사점심</v>
      </c>
      <c r="AD88" s="214" t="str">
        <f>IFERROR(__xludf.DUMMYFUNCTION("""COMPUTED_VALUE"""),"간식/카페")</f>
        <v>간식/카페</v>
      </c>
      <c r="AE88" s="214" t="str">
        <f>IFERROR(__xludf.DUMMYFUNCTION("""COMPUTED_VALUE"""),"외식/배달")</f>
        <v>외식/배달</v>
      </c>
      <c r="AF88" s="214" t="str">
        <f>IFERROR(__xludf.DUMMYFUNCTION("""COMPUTED_VALUE"""),"기타")</f>
        <v>기타</v>
      </c>
      <c r="AG88" s="214"/>
      <c r="AH88" s="214"/>
      <c r="AI88" s="214"/>
      <c r="AJ88" s="215"/>
    </row>
    <row r="89">
      <c r="H89" s="208">
        <v>45940.0</v>
      </c>
      <c r="I89" s="209" t="s">
        <v>31</v>
      </c>
      <c r="J89" s="209" t="s">
        <v>27</v>
      </c>
      <c r="K89" s="210">
        <v>11000.0</v>
      </c>
      <c r="L89" s="211" t="s">
        <v>64</v>
      </c>
      <c r="M89" s="143"/>
      <c r="N89" s="211" t="s">
        <v>879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IFERROR(__xludf.DUMMYFUNCTION("FILTER('설정시트'!$D$7:$L$20,'설정시트'!$C$7:$C$20=I89)"),"식재료비")</f>
        <v>식재료비</v>
      </c>
      <c r="AC89" s="214" t="str">
        <f>IFERROR(__xludf.DUMMYFUNCTION("""COMPUTED_VALUE"""),"회사점심")</f>
        <v>회사점심</v>
      </c>
      <c r="AD89" s="214" t="str">
        <f>IFERROR(__xludf.DUMMYFUNCTION("""COMPUTED_VALUE"""),"간식/카페")</f>
        <v>간식/카페</v>
      </c>
      <c r="AE89" s="214" t="str">
        <f>IFERROR(__xludf.DUMMYFUNCTION("""COMPUTED_VALUE"""),"외식/배달")</f>
        <v>외식/배달</v>
      </c>
      <c r="AF89" s="214" t="str">
        <f>IFERROR(__xludf.DUMMYFUNCTION("""COMPUTED_VALUE"""),"기타")</f>
        <v>기타</v>
      </c>
      <c r="AG89" s="214"/>
      <c r="AH89" s="214"/>
      <c r="AI89" s="214"/>
      <c r="AJ89" s="215"/>
    </row>
    <row r="90">
      <c r="H90" s="208">
        <v>45940.0</v>
      </c>
      <c r="I90" s="209" t="s">
        <v>21</v>
      </c>
      <c r="J90" s="209" t="s">
        <v>15</v>
      </c>
      <c r="K90" s="210">
        <f>43200-30000</f>
        <v>13200</v>
      </c>
      <c r="L90" s="211" t="s">
        <v>64</v>
      </c>
      <c r="M90" s="143"/>
      <c r="N90" s="211" t="s">
        <v>880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IFERROR(__xludf.DUMMYFUNCTION("FILTER('설정시트'!$D$7:$L$20,'설정시트'!$C$7:$C$20=I90)"),"관리비")</f>
        <v>관리비</v>
      </c>
      <c r="AC90" s="214" t="str">
        <f>IFERROR(__xludf.DUMMYFUNCTION("""COMPUTED_VALUE"""),"대출이자")</f>
        <v>대출이자</v>
      </c>
      <c r="AD90" s="214" t="str">
        <f>IFERROR(__xludf.DUMMYFUNCTION("""COMPUTED_VALUE"""),"통신비")</f>
        <v>통신비</v>
      </c>
      <c r="AE90" s="214" t="str">
        <f>IFERROR(__xludf.DUMMYFUNCTION("""COMPUTED_VALUE"""),"보험료")</f>
        <v>보험료</v>
      </c>
      <c r="AF90" s="214" t="str">
        <f>IFERROR(__xludf.DUMMYFUNCTION("""COMPUTED_VALUE"""),"곗돈")</f>
        <v>곗돈</v>
      </c>
      <c r="AG90" s="214"/>
      <c r="AH90" s="214"/>
      <c r="AI90" s="214"/>
      <c r="AJ90" s="215"/>
    </row>
    <row r="91">
      <c r="H91" s="208">
        <v>45940.0</v>
      </c>
      <c r="I91" s="209" t="s">
        <v>31</v>
      </c>
      <c r="J91" s="209" t="s">
        <v>29</v>
      </c>
      <c r="K91" s="210">
        <v>1200.0</v>
      </c>
      <c r="L91" s="211" t="s">
        <v>64</v>
      </c>
      <c r="M91" s="143"/>
      <c r="N91" s="211" t="s">
        <v>773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IFERROR(__xludf.DUMMYFUNCTION("FILTER('설정시트'!$D$7:$L$20,'설정시트'!$C$7:$C$20=I91)"),"식재료비")</f>
        <v>식재료비</v>
      </c>
      <c r="AC91" s="214" t="str">
        <f>IFERROR(__xludf.DUMMYFUNCTION("""COMPUTED_VALUE"""),"회사점심")</f>
        <v>회사점심</v>
      </c>
      <c r="AD91" s="214" t="str">
        <f>IFERROR(__xludf.DUMMYFUNCTION("""COMPUTED_VALUE"""),"간식/카페")</f>
        <v>간식/카페</v>
      </c>
      <c r="AE91" s="214" t="str">
        <f>IFERROR(__xludf.DUMMYFUNCTION("""COMPUTED_VALUE"""),"외식/배달")</f>
        <v>외식/배달</v>
      </c>
      <c r="AF91" s="214" t="str">
        <f>IFERROR(__xludf.DUMMYFUNCTION("""COMPUTED_VALUE"""),"기타")</f>
        <v>기타</v>
      </c>
      <c r="AG91" s="214"/>
      <c r="AH91" s="214"/>
      <c r="AI91" s="214"/>
      <c r="AJ91" s="215"/>
    </row>
    <row r="92">
      <c r="H92" s="208">
        <v>45940.0</v>
      </c>
      <c r="I92" s="209" t="s">
        <v>14</v>
      </c>
      <c r="J92" s="209" t="s">
        <v>18</v>
      </c>
      <c r="K92" s="210">
        <v>36190.0</v>
      </c>
      <c r="L92" s="211" t="s">
        <v>58</v>
      </c>
      <c r="M92" s="143"/>
      <c r="N92" s="211" t="s">
        <v>881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IFERROR(__xludf.DUMMYFUNCTION("FILTER('설정시트'!$D$7:$L$20,'설정시트'!$C$7:$C$20=I92)"),"관리비")</f>
        <v>관리비</v>
      </c>
      <c r="AC92" s="214" t="str">
        <f>IFERROR(__xludf.DUMMYFUNCTION("""COMPUTED_VALUE"""),"월세")</f>
        <v>월세</v>
      </c>
      <c r="AD92" s="214" t="str">
        <f>IFERROR(__xludf.DUMMYFUNCTION("""COMPUTED_VALUE"""),"대출이자")</f>
        <v>대출이자</v>
      </c>
      <c r="AE92" s="214" t="str">
        <f>IFERROR(__xludf.DUMMYFUNCTION("""COMPUTED_VALUE"""),"통신비")</f>
        <v>통신비</v>
      </c>
      <c r="AF92" s="214" t="str">
        <f>IFERROR(__xludf.DUMMYFUNCTION("""COMPUTED_VALUE"""),"보험료")</f>
        <v>보험료</v>
      </c>
      <c r="AG92" s="214"/>
      <c r="AH92" s="214" t="str">
        <f>IFERROR(__xludf.DUMMYFUNCTION("""COMPUTED_VALUE"""),"곗돈")</f>
        <v>곗돈</v>
      </c>
      <c r="AI92" s="214"/>
      <c r="AJ92" s="215"/>
    </row>
    <row r="93">
      <c r="H93" s="208">
        <v>45940.0</v>
      </c>
      <c r="I93" s="209" t="s">
        <v>39</v>
      </c>
      <c r="J93" s="209" t="s">
        <v>41</v>
      </c>
      <c r="K93" s="216">
        <v>4100.0</v>
      </c>
      <c r="L93" s="211" t="s">
        <v>60</v>
      </c>
      <c r="M93" s="143"/>
      <c r="N93" s="211" t="s">
        <v>882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IFERROR(__xludf.DUMMYFUNCTION("FILTER('설정시트'!$D$7:$L$20,'설정시트'!$C$7:$C$20=I93)"),"약국")</f>
        <v>약국</v>
      </c>
      <c r="AC93" s="214" t="str">
        <f>IFERROR(__xludf.DUMMYFUNCTION("""COMPUTED_VALUE"""),"병원비")</f>
        <v>병원비</v>
      </c>
      <c r="AD93" s="214" t="str">
        <f>IFERROR(__xludf.DUMMYFUNCTION("""COMPUTED_VALUE"""),"영양제")</f>
        <v>영양제</v>
      </c>
      <c r="AE93" s="214" t="str">
        <f>IFERROR(__xludf.DUMMYFUNCTION("""COMPUTED_VALUE"""),"교통비")</f>
        <v>교통비</v>
      </c>
      <c r="AF93" s="214" t="str">
        <f>IFERROR(__xludf.DUMMYFUNCTION("""COMPUTED_VALUE"""),"주유비")</f>
        <v>주유비</v>
      </c>
      <c r="AG93" s="214"/>
      <c r="AH93" s="214" t="str">
        <f>IFERROR(__xludf.DUMMYFUNCTION("""COMPUTED_VALUE"""),"기타")</f>
        <v>기타</v>
      </c>
      <c r="AI93" s="214"/>
      <c r="AJ93" s="215"/>
    </row>
    <row r="94">
      <c r="H94" s="208">
        <v>45940.0</v>
      </c>
      <c r="I94" s="209" t="s">
        <v>26</v>
      </c>
      <c r="J94" s="209" t="s">
        <v>29</v>
      </c>
      <c r="K94" s="216">
        <v>1400.0</v>
      </c>
      <c r="L94" s="211" t="s">
        <v>60</v>
      </c>
      <c r="M94" s="143"/>
      <c r="N94" s="211" t="s">
        <v>281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IFERROR(__xludf.DUMMYFUNCTION("FILTER('설정시트'!$D$7:$L$20,'설정시트'!$C$7:$C$20=I94)"),"식재료비")</f>
        <v>식재료비</v>
      </c>
      <c r="AC94" s="214" t="str">
        <f>IFERROR(__xludf.DUMMYFUNCTION("""COMPUTED_VALUE"""),"회사점심")</f>
        <v>회사점심</v>
      </c>
      <c r="AD94" s="214" t="str">
        <f>IFERROR(__xludf.DUMMYFUNCTION("""COMPUTED_VALUE"""),"간식/카페")</f>
        <v>간식/카페</v>
      </c>
      <c r="AE94" s="214" t="str">
        <f>IFERROR(__xludf.DUMMYFUNCTION("""COMPUTED_VALUE"""),"외식/배달")</f>
        <v>외식/배달</v>
      </c>
      <c r="AF94" s="214" t="str">
        <f>IFERROR(__xludf.DUMMYFUNCTION("""COMPUTED_VALUE"""),"기타")</f>
        <v>기타</v>
      </c>
      <c r="AG94" s="214"/>
      <c r="AH94" s="214"/>
      <c r="AI94" s="214"/>
      <c r="AJ94" s="215"/>
    </row>
    <row r="95">
      <c r="H95" s="208">
        <v>45940.0</v>
      </c>
      <c r="I95" s="209" t="s">
        <v>39</v>
      </c>
      <c r="J95" s="209" t="s">
        <v>41</v>
      </c>
      <c r="K95" s="216">
        <v>9000.0</v>
      </c>
      <c r="L95" s="211" t="s">
        <v>57</v>
      </c>
      <c r="M95" s="143"/>
      <c r="N95" s="211" t="s">
        <v>883</v>
      </c>
      <c r="O95" s="212"/>
      <c r="P95" s="212"/>
      <c r="Q95" s="143"/>
      <c r="R95" s="211" t="s">
        <v>884</v>
      </c>
      <c r="S95" s="212"/>
      <c r="T95" s="145"/>
      <c r="AB95" s="214" t="str">
        <f>IFERROR(__xludf.DUMMYFUNCTION("FILTER('설정시트'!$D$7:$L$20,'설정시트'!$C$7:$C$20=I95)"),"약국")</f>
        <v>약국</v>
      </c>
      <c r="AC95" s="214" t="str">
        <f>IFERROR(__xludf.DUMMYFUNCTION("""COMPUTED_VALUE"""),"병원비")</f>
        <v>병원비</v>
      </c>
      <c r="AD95" s="214" t="str">
        <f>IFERROR(__xludf.DUMMYFUNCTION("""COMPUTED_VALUE"""),"영양제")</f>
        <v>영양제</v>
      </c>
      <c r="AE95" s="214" t="str">
        <f>IFERROR(__xludf.DUMMYFUNCTION("""COMPUTED_VALUE"""),"교통비")</f>
        <v>교통비</v>
      </c>
      <c r="AF95" s="214" t="str">
        <f>IFERROR(__xludf.DUMMYFUNCTION("""COMPUTED_VALUE"""),"주유비")</f>
        <v>주유비</v>
      </c>
      <c r="AG95" s="214"/>
      <c r="AH95" s="214" t="str">
        <f>IFERROR(__xludf.DUMMYFUNCTION("""COMPUTED_VALUE"""),"기타")</f>
        <v>기타</v>
      </c>
      <c r="AI95" s="214"/>
      <c r="AJ95" s="215"/>
    </row>
    <row r="96">
      <c r="H96" s="208">
        <v>45941.0</v>
      </c>
      <c r="I96" s="209" t="s">
        <v>31</v>
      </c>
      <c r="J96" s="209" t="s">
        <v>30</v>
      </c>
      <c r="K96" s="210">
        <v>29000.0</v>
      </c>
      <c r="L96" s="211" t="s">
        <v>64</v>
      </c>
      <c r="M96" s="143"/>
      <c r="N96" s="211" t="s">
        <v>885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  <c r="AJ96" s="215"/>
    </row>
    <row r="97">
      <c r="H97" s="208">
        <v>45941.0</v>
      </c>
      <c r="I97" s="209" t="s">
        <v>21</v>
      </c>
      <c r="J97" s="209" t="s">
        <v>18</v>
      </c>
      <c r="K97" s="210">
        <v>66850.0</v>
      </c>
      <c r="L97" s="211" t="s">
        <v>64</v>
      </c>
      <c r="M97" s="143"/>
      <c r="N97" s="211" t="s">
        <v>886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IFERROR(__xludf.DUMMYFUNCTION("FILTER('설정시트'!$D$7:$L$20,'설정시트'!$C$7:$C$20=I97)"),"관리비")</f>
        <v>관리비</v>
      </c>
      <c r="AC97" s="214" t="str">
        <f>IFERROR(__xludf.DUMMYFUNCTION("""COMPUTED_VALUE"""),"대출이자")</f>
        <v>대출이자</v>
      </c>
      <c r="AD97" s="214" t="str">
        <f>IFERROR(__xludf.DUMMYFUNCTION("""COMPUTED_VALUE"""),"통신비")</f>
        <v>통신비</v>
      </c>
      <c r="AE97" s="214" t="str">
        <f>IFERROR(__xludf.DUMMYFUNCTION("""COMPUTED_VALUE"""),"보험료")</f>
        <v>보험료</v>
      </c>
      <c r="AF97" s="214" t="str">
        <f>IFERROR(__xludf.DUMMYFUNCTION("""COMPUTED_VALUE"""),"곗돈")</f>
        <v>곗돈</v>
      </c>
      <c r="AG97" s="214"/>
      <c r="AH97" s="214"/>
      <c r="AI97" s="214"/>
      <c r="AJ97" s="215"/>
    </row>
    <row r="98">
      <c r="H98" s="208">
        <v>45941.0</v>
      </c>
      <c r="I98" s="209" t="s">
        <v>38</v>
      </c>
      <c r="J98" s="209" t="s">
        <v>37</v>
      </c>
      <c r="K98" s="210">
        <v>30000.0</v>
      </c>
      <c r="L98" s="211" t="s">
        <v>64</v>
      </c>
      <c r="M98" s="143"/>
      <c r="N98" s="211" t="s">
        <v>887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IFERROR(__xludf.DUMMYFUNCTION("FILTER('설정시트'!$D$7:$L$20,'설정시트'!$C$7:$C$20=I98)"),"의류/잡화")</f>
        <v>의류/잡화</v>
      </c>
      <c r="AC98" s="214" t="str">
        <f>IFERROR(__xludf.DUMMYFUNCTION("""COMPUTED_VALUE"""),"OTT")</f>
        <v>OTT</v>
      </c>
      <c r="AD98" s="214" t="str">
        <f>IFERROR(__xludf.DUMMYFUNCTION("""COMPUTED_VALUE"""),"문화생활")</f>
        <v>문화생활</v>
      </c>
      <c r="AE98" s="214" t="str">
        <f>IFERROR(__xludf.DUMMYFUNCTION("""COMPUTED_VALUE"""),"자기계발")</f>
        <v>자기계발</v>
      </c>
      <c r="AF98" s="214" t="str">
        <f>IFERROR(__xludf.DUMMYFUNCTION("""COMPUTED_VALUE"""),"미용")</f>
        <v>미용</v>
      </c>
      <c r="AG98" s="214"/>
      <c r="AH98" s="214" t="str">
        <f>IFERROR(__xludf.DUMMYFUNCTION("""COMPUTED_VALUE"""),"기타")</f>
        <v>기타</v>
      </c>
      <c r="AI98" s="214"/>
      <c r="AJ98" s="215"/>
    </row>
    <row r="99">
      <c r="H99" s="208">
        <v>45942.0</v>
      </c>
      <c r="I99" s="209" t="s">
        <v>25</v>
      </c>
      <c r="J99" s="209" t="s">
        <v>24</v>
      </c>
      <c r="K99" s="210">
        <v>3730.0</v>
      </c>
      <c r="L99" s="211" t="s">
        <v>64</v>
      </c>
      <c r="M99" s="143"/>
      <c r="N99" s="211" t="s">
        <v>888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IFERROR(__xludf.DUMMYFUNCTION("FILTER('설정시트'!$D$7:$L$20,'설정시트'!$C$7:$C$20=I99)"),"주방/욕실")</f>
        <v>주방/욕실</v>
      </c>
      <c r="AC99" s="214" t="str">
        <f>IFERROR(__xludf.DUMMYFUNCTION("""COMPUTED_VALUE"""),"소모품")</f>
        <v>소모품</v>
      </c>
      <c r="AD99" s="214" t="str">
        <f>IFERROR(__xludf.DUMMYFUNCTION("""COMPUTED_VALUE"""),"기타")</f>
        <v>기타</v>
      </c>
      <c r="AE99" s="214"/>
      <c r="AF99" s="214"/>
      <c r="AG99" s="214"/>
      <c r="AH99" s="214"/>
      <c r="AI99" s="214"/>
      <c r="AJ99" s="215"/>
    </row>
    <row r="100">
      <c r="H100" s="208">
        <v>45943.0</v>
      </c>
      <c r="I100" s="209" t="s">
        <v>31</v>
      </c>
      <c r="J100" s="209" t="s">
        <v>30</v>
      </c>
      <c r="K100" s="210">
        <v>12100.0</v>
      </c>
      <c r="L100" s="211" t="s">
        <v>64</v>
      </c>
      <c r="M100" s="143"/>
      <c r="N100" s="211" t="s">
        <v>804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IFERROR(__xludf.DUMMYFUNCTION("FILTER('설정시트'!$D$7:$L$20,'설정시트'!$C$7:$C$20=I100)"),"식재료비")</f>
        <v>식재료비</v>
      </c>
      <c r="AC100" s="214" t="str">
        <f>IFERROR(__xludf.DUMMYFUNCTION("""COMPUTED_VALUE"""),"회사점심")</f>
        <v>회사점심</v>
      </c>
      <c r="AD100" s="214" t="str">
        <f>IFERROR(__xludf.DUMMYFUNCTION("""COMPUTED_VALUE"""),"간식/카페")</f>
        <v>간식/카페</v>
      </c>
      <c r="AE100" s="214" t="str">
        <f>IFERROR(__xludf.DUMMYFUNCTION("""COMPUTED_VALUE"""),"외식/배달")</f>
        <v>외식/배달</v>
      </c>
      <c r="AF100" s="214" t="str">
        <f>IFERROR(__xludf.DUMMYFUNCTION("""COMPUTED_VALUE"""),"기타")</f>
        <v>기타</v>
      </c>
      <c r="AG100" s="214"/>
      <c r="AH100" s="214"/>
      <c r="AI100" s="214"/>
      <c r="AJ100" s="215"/>
    </row>
    <row r="101">
      <c r="H101" s="208">
        <v>45943.0</v>
      </c>
      <c r="I101" s="209" t="s">
        <v>32</v>
      </c>
      <c r="J101" s="209" t="s">
        <v>33</v>
      </c>
      <c r="K101" s="216">
        <v>29400.0</v>
      </c>
      <c r="L101" s="211" t="s">
        <v>60</v>
      </c>
      <c r="M101" s="143"/>
      <c r="N101" s="211" t="s">
        <v>889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IFERROR(__xludf.DUMMYFUNCTION("FILTER('설정시트'!$D$7:$L$20,'설정시트'!$C$7:$C$20=I101)"),"의류/잡화")</f>
        <v>의류/잡화</v>
      </c>
      <c r="AC101" s="214" t="str">
        <f>IFERROR(__xludf.DUMMYFUNCTION("""COMPUTED_VALUE"""),"OTT")</f>
        <v>OTT</v>
      </c>
      <c r="AD101" s="214" t="str">
        <f>IFERROR(__xludf.DUMMYFUNCTION("""COMPUTED_VALUE"""),"문화생활")</f>
        <v>문화생활</v>
      </c>
      <c r="AE101" s="214" t="str">
        <f>IFERROR(__xludf.DUMMYFUNCTION("""COMPUTED_VALUE"""),"자기계발")</f>
        <v>자기계발</v>
      </c>
      <c r="AF101" s="214" t="str">
        <f>IFERROR(__xludf.DUMMYFUNCTION("""COMPUTED_VALUE"""),"미용")</f>
        <v>미용</v>
      </c>
      <c r="AG101" s="214"/>
      <c r="AH101" s="214" t="str">
        <f>IFERROR(__xludf.DUMMYFUNCTION("""COMPUTED_VALUE"""),"기타")</f>
        <v>기타</v>
      </c>
      <c r="AI101" s="214"/>
      <c r="AJ101" s="215"/>
    </row>
    <row r="102">
      <c r="H102" s="208">
        <v>45943.0</v>
      </c>
      <c r="I102" s="209" t="s">
        <v>26</v>
      </c>
      <c r="J102" s="209" t="s">
        <v>28</v>
      </c>
      <c r="K102" s="216">
        <v>9912.0</v>
      </c>
      <c r="L102" s="211" t="s">
        <v>60</v>
      </c>
      <c r="M102" s="143"/>
      <c r="N102" s="211" t="s">
        <v>890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IFERROR(__xludf.DUMMYFUNCTION("FILTER('설정시트'!$D$7:$L$20,'설정시트'!$C$7:$C$20=I102)"),"식재료비")</f>
        <v>식재료비</v>
      </c>
      <c r="AC102" s="214" t="str">
        <f>IFERROR(__xludf.DUMMYFUNCTION("""COMPUTED_VALUE"""),"회사점심")</f>
        <v>회사점심</v>
      </c>
      <c r="AD102" s="214" t="str">
        <f>IFERROR(__xludf.DUMMYFUNCTION("""COMPUTED_VALUE"""),"간식/카페")</f>
        <v>간식/카페</v>
      </c>
      <c r="AE102" s="214" t="str">
        <f>IFERROR(__xludf.DUMMYFUNCTION("""COMPUTED_VALUE"""),"외식/배달")</f>
        <v>외식/배달</v>
      </c>
      <c r="AF102" s="214" t="str">
        <f>IFERROR(__xludf.DUMMYFUNCTION("""COMPUTED_VALUE"""),"기타")</f>
        <v>기타</v>
      </c>
      <c r="AG102" s="214"/>
      <c r="AH102" s="214"/>
      <c r="AI102" s="214"/>
      <c r="AJ102" s="215"/>
    </row>
    <row r="103">
      <c r="H103" s="208">
        <v>45944.0</v>
      </c>
      <c r="I103" s="209" t="s">
        <v>3</v>
      </c>
      <c r="J103" s="209" t="s">
        <v>8</v>
      </c>
      <c r="K103" s="210">
        <v>130000.0</v>
      </c>
      <c r="L103" s="211"/>
      <c r="M103" s="143"/>
      <c r="N103" s="211" t="s">
        <v>891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IFERROR(__xludf.DUMMYFUNCTION("FILTER('설정시트'!$D$7:$L$20,'설정시트'!$C$7:$C$20=I103)"),"🍪 월급")</f>
        <v>🍪 월급</v>
      </c>
      <c r="AC103" s="214" t="str">
        <f>IFERROR(__xludf.DUMMYFUNCTION("""COMPUTED_VALUE"""),"🍪 부수입")</f>
        <v>🍪 부수입</v>
      </c>
      <c r="AD103" s="214" t="str">
        <f>IFERROR(__xludf.DUMMYFUNCTION("""COMPUTED_VALUE"""),"🐻 월급")</f>
        <v>🐻 월급</v>
      </c>
      <c r="AE103" s="214" t="str">
        <f>IFERROR(__xludf.DUMMYFUNCTION("""COMPUTED_VALUE"""),"🐻 부수입")</f>
        <v>🐻 부수입</v>
      </c>
      <c r="AF103" s="214" t="str">
        <f>IFERROR(__xludf.DUMMYFUNCTION("""COMPUTED_VALUE"""),"기타")</f>
        <v>기타</v>
      </c>
      <c r="AG103" s="214"/>
      <c r="AH103" s="214"/>
      <c r="AI103" s="214"/>
      <c r="AJ103" s="215"/>
    </row>
    <row r="104">
      <c r="H104" s="208">
        <v>45944.0</v>
      </c>
      <c r="I104" s="209" t="s">
        <v>45</v>
      </c>
      <c r="J104" s="209" t="s">
        <v>44</v>
      </c>
      <c r="K104" s="210">
        <v>50000.0</v>
      </c>
      <c r="L104" s="211" t="s">
        <v>64</v>
      </c>
      <c r="M104" s="143"/>
      <c r="N104" s="211" t="s">
        <v>747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IFERROR(__xludf.DUMMYFUNCTION("FILTER('설정시트'!$D$7:$L$20,'설정시트'!$C$7:$C$20=I104)"),"약국")</f>
        <v>약국</v>
      </c>
      <c r="AC104" s="214" t="str">
        <f>IFERROR(__xludf.DUMMYFUNCTION("""COMPUTED_VALUE"""),"병원비")</f>
        <v>병원비</v>
      </c>
      <c r="AD104" s="214" t="str">
        <f>IFERROR(__xludf.DUMMYFUNCTION("""COMPUTED_VALUE"""),"영양제")</f>
        <v>영양제</v>
      </c>
      <c r="AE104" s="214" t="str">
        <f>IFERROR(__xludf.DUMMYFUNCTION("""COMPUTED_VALUE"""),"교통비")</f>
        <v>교통비</v>
      </c>
      <c r="AF104" s="214" t="str">
        <f>IFERROR(__xludf.DUMMYFUNCTION("""COMPUTED_VALUE"""),"주유비")</f>
        <v>주유비</v>
      </c>
      <c r="AG104" s="214"/>
      <c r="AH104" s="214" t="str">
        <f>IFERROR(__xludf.DUMMYFUNCTION("""COMPUTED_VALUE"""),"기타")</f>
        <v>기타</v>
      </c>
      <c r="AI104" s="214"/>
      <c r="AJ104" s="215"/>
    </row>
    <row r="105">
      <c r="H105" s="208">
        <v>45944.0</v>
      </c>
      <c r="I105" s="209" t="s">
        <v>45</v>
      </c>
      <c r="J105" s="209" t="s">
        <v>43</v>
      </c>
      <c r="K105" s="210">
        <v>1600.0</v>
      </c>
      <c r="L105" s="211" t="s">
        <v>64</v>
      </c>
      <c r="M105" s="143"/>
      <c r="N105" s="211" t="s">
        <v>892</v>
      </c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IFERROR(__xludf.DUMMYFUNCTION("FILTER('설정시트'!$D$7:$L$20,'설정시트'!$C$7:$C$20=I105)"),"약국")</f>
        <v>약국</v>
      </c>
      <c r="AC105" s="214" t="str">
        <f>IFERROR(__xludf.DUMMYFUNCTION("""COMPUTED_VALUE"""),"병원비")</f>
        <v>병원비</v>
      </c>
      <c r="AD105" s="214" t="str">
        <f>IFERROR(__xludf.DUMMYFUNCTION("""COMPUTED_VALUE"""),"영양제")</f>
        <v>영양제</v>
      </c>
      <c r="AE105" s="214" t="str">
        <f>IFERROR(__xludf.DUMMYFUNCTION("""COMPUTED_VALUE"""),"교통비")</f>
        <v>교통비</v>
      </c>
      <c r="AF105" s="214" t="str">
        <f>IFERROR(__xludf.DUMMYFUNCTION("""COMPUTED_VALUE"""),"주유비")</f>
        <v>주유비</v>
      </c>
      <c r="AG105" s="214"/>
      <c r="AH105" s="214" t="str">
        <f>IFERROR(__xludf.DUMMYFUNCTION("""COMPUTED_VALUE"""),"기타")</f>
        <v>기타</v>
      </c>
      <c r="AI105" s="214"/>
      <c r="AJ105" s="215"/>
    </row>
    <row r="106">
      <c r="H106" s="208">
        <v>45944.0</v>
      </c>
      <c r="I106" s="209" t="s">
        <v>31</v>
      </c>
      <c r="J106" s="209" t="s">
        <v>30</v>
      </c>
      <c r="K106" s="210">
        <v>21000.0</v>
      </c>
      <c r="L106" s="211" t="s">
        <v>64</v>
      </c>
      <c r="M106" s="143"/>
      <c r="N106" s="211" t="s">
        <v>893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IFERROR(__xludf.DUMMYFUNCTION("FILTER('설정시트'!$D$7:$L$20,'설정시트'!$C$7:$C$20=I106)"),"식재료비")</f>
        <v>식재료비</v>
      </c>
      <c r="AC106" s="214" t="str">
        <f>IFERROR(__xludf.DUMMYFUNCTION("""COMPUTED_VALUE"""),"회사점심")</f>
        <v>회사점심</v>
      </c>
      <c r="AD106" s="214" t="str">
        <f>IFERROR(__xludf.DUMMYFUNCTION("""COMPUTED_VALUE"""),"간식/카페")</f>
        <v>간식/카페</v>
      </c>
      <c r="AE106" s="214" t="str">
        <f>IFERROR(__xludf.DUMMYFUNCTION("""COMPUTED_VALUE"""),"외식/배달")</f>
        <v>외식/배달</v>
      </c>
      <c r="AF106" s="214" t="str">
        <f>IFERROR(__xludf.DUMMYFUNCTION("""COMPUTED_VALUE"""),"기타")</f>
        <v>기타</v>
      </c>
      <c r="AG106" s="214"/>
      <c r="AH106" s="214"/>
      <c r="AI106" s="214"/>
      <c r="AJ106" s="215"/>
    </row>
    <row r="107">
      <c r="H107" s="208">
        <v>45944.0</v>
      </c>
      <c r="I107" s="209" t="s">
        <v>45</v>
      </c>
      <c r="J107" s="209" t="s">
        <v>41</v>
      </c>
      <c r="K107" s="210">
        <v>173900.0</v>
      </c>
      <c r="L107" s="211" t="s">
        <v>64</v>
      </c>
      <c r="M107" s="143"/>
      <c r="N107" s="211" t="s">
        <v>845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IFERROR(__xludf.DUMMYFUNCTION("FILTER('설정시트'!$D$7:$L$20,'설정시트'!$C$7:$C$20=I107)"),"약국")</f>
        <v>약국</v>
      </c>
      <c r="AC107" s="214" t="str">
        <f>IFERROR(__xludf.DUMMYFUNCTION("""COMPUTED_VALUE"""),"병원비")</f>
        <v>병원비</v>
      </c>
      <c r="AD107" s="214" t="str">
        <f>IFERROR(__xludf.DUMMYFUNCTION("""COMPUTED_VALUE"""),"영양제")</f>
        <v>영양제</v>
      </c>
      <c r="AE107" s="214" t="str">
        <f>IFERROR(__xludf.DUMMYFUNCTION("""COMPUTED_VALUE"""),"교통비")</f>
        <v>교통비</v>
      </c>
      <c r="AF107" s="214" t="str">
        <f>IFERROR(__xludf.DUMMYFUNCTION("""COMPUTED_VALUE"""),"주유비")</f>
        <v>주유비</v>
      </c>
      <c r="AG107" s="214"/>
      <c r="AH107" s="214" t="str">
        <f>IFERROR(__xludf.DUMMYFUNCTION("""COMPUTED_VALUE"""),"기타")</f>
        <v>기타</v>
      </c>
      <c r="AI107" s="214"/>
      <c r="AJ107" s="215"/>
    </row>
    <row r="108">
      <c r="H108" s="208">
        <v>45944.0</v>
      </c>
      <c r="I108" s="209" t="s">
        <v>31</v>
      </c>
      <c r="J108" s="209" t="s">
        <v>29</v>
      </c>
      <c r="K108" s="210">
        <v>1200.0</v>
      </c>
      <c r="L108" s="211" t="s">
        <v>64</v>
      </c>
      <c r="M108" s="143"/>
      <c r="N108" s="211" t="s">
        <v>773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  <c r="AJ108" s="215"/>
    </row>
    <row r="109">
      <c r="H109" s="208">
        <v>45944.0</v>
      </c>
      <c r="I109" s="209" t="s">
        <v>26</v>
      </c>
      <c r="J109" s="209" t="s">
        <v>28</v>
      </c>
      <c r="K109" s="216">
        <v>11500.0</v>
      </c>
      <c r="L109" s="211" t="s">
        <v>60</v>
      </c>
      <c r="M109" s="143"/>
      <c r="N109" s="211" t="s">
        <v>894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IFERROR(__xludf.DUMMYFUNCTION("FILTER('설정시트'!$D$7:$L$20,'설정시트'!$C$7:$C$20=I109)"),"식재료비")</f>
        <v>식재료비</v>
      </c>
      <c r="AC109" s="214" t="str">
        <f>IFERROR(__xludf.DUMMYFUNCTION("""COMPUTED_VALUE"""),"회사점심")</f>
        <v>회사점심</v>
      </c>
      <c r="AD109" s="214" t="str">
        <f>IFERROR(__xludf.DUMMYFUNCTION("""COMPUTED_VALUE"""),"간식/카페")</f>
        <v>간식/카페</v>
      </c>
      <c r="AE109" s="214" t="str">
        <f>IFERROR(__xludf.DUMMYFUNCTION("""COMPUTED_VALUE"""),"외식/배달")</f>
        <v>외식/배달</v>
      </c>
      <c r="AF109" s="214" t="str">
        <f>IFERROR(__xludf.DUMMYFUNCTION("""COMPUTED_VALUE"""),"기타")</f>
        <v>기타</v>
      </c>
      <c r="AG109" s="214"/>
      <c r="AH109" s="214"/>
      <c r="AI109" s="214"/>
      <c r="AJ109" s="215"/>
    </row>
    <row r="110">
      <c r="H110" s="208">
        <v>45944.0</v>
      </c>
      <c r="I110" s="209" t="s">
        <v>26</v>
      </c>
      <c r="J110" s="209" t="s">
        <v>29</v>
      </c>
      <c r="K110" s="216">
        <v>5400.0</v>
      </c>
      <c r="L110" s="211" t="s">
        <v>60</v>
      </c>
      <c r="M110" s="143"/>
      <c r="N110" s="211" t="s">
        <v>895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IFERROR(__xludf.DUMMYFUNCTION("FILTER('설정시트'!$D$7:$L$20,'설정시트'!$C$7:$C$20=I110)"),"식재료비")</f>
        <v>식재료비</v>
      </c>
      <c r="AC110" s="214" t="str">
        <f>IFERROR(__xludf.DUMMYFUNCTION("""COMPUTED_VALUE"""),"회사점심")</f>
        <v>회사점심</v>
      </c>
      <c r="AD110" s="214" t="str">
        <f>IFERROR(__xludf.DUMMYFUNCTION("""COMPUTED_VALUE"""),"간식/카페")</f>
        <v>간식/카페</v>
      </c>
      <c r="AE110" s="214" t="str">
        <f>IFERROR(__xludf.DUMMYFUNCTION("""COMPUTED_VALUE"""),"외식/배달")</f>
        <v>외식/배달</v>
      </c>
      <c r="AF110" s="214" t="str">
        <f>IFERROR(__xludf.DUMMYFUNCTION("""COMPUTED_VALUE"""),"기타")</f>
        <v>기타</v>
      </c>
      <c r="AG110" s="214"/>
      <c r="AH110" s="214"/>
      <c r="AI110" s="214"/>
      <c r="AJ110" s="215"/>
    </row>
    <row r="111">
      <c r="H111" s="208">
        <v>45945.0</v>
      </c>
      <c r="I111" s="217" t="s">
        <v>14</v>
      </c>
      <c r="J111" s="217" t="s">
        <v>16</v>
      </c>
      <c r="K111" s="218">
        <v>400000.0</v>
      </c>
      <c r="L111" s="211" t="s">
        <v>55</v>
      </c>
      <c r="M111" s="143"/>
      <c r="N111" s="211" t="s">
        <v>16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IFERROR(__xludf.DUMMYFUNCTION("FILTER('설정시트'!$D$7:$L$20,'설정시트'!$C$7:$C$20=I111)"),"관리비")</f>
        <v>관리비</v>
      </c>
      <c r="AC111" s="214" t="str">
        <f>IFERROR(__xludf.DUMMYFUNCTION("""COMPUTED_VALUE"""),"월세")</f>
        <v>월세</v>
      </c>
      <c r="AD111" s="214" t="str">
        <f>IFERROR(__xludf.DUMMYFUNCTION("""COMPUTED_VALUE"""),"대출이자")</f>
        <v>대출이자</v>
      </c>
      <c r="AE111" s="214" t="str">
        <f>IFERROR(__xludf.DUMMYFUNCTION("""COMPUTED_VALUE"""),"통신비")</f>
        <v>통신비</v>
      </c>
      <c r="AF111" s="214" t="str">
        <f>IFERROR(__xludf.DUMMYFUNCTION("""COMPUTED_VALUE"""),"보험료")</f>
        <v>보험료</v>
      </c>
      <c r="AG111" s="214"/>
      <c r="AH111" s="214" t="str">
        <f>IFERROR(__xludf.DUMMYFUNCTION("""COMPUTED_VALUE"""),"곗돈")</f>
        <v>곗돈</v>
      </c>
      <c r="AI111" s="214"/>
      <c r="AJ111" s="215"/>
    </row>
    <row r="112">
      <c r="H112" s="208">
        <v>45945.0</v>
      </c>
      <c r="I112" s="209" t="s">
        <v>31</v>
      </c>
      <c r="J112" s="209" t="s">
        <v>29</v>
      </c>
      <c r="K112" s="210">
        <v>1200.0</v>
      </c>
      <c r="L112" s="211" t="s">
        <v>64</v>
      </c>
      <c r="M112" s="143"/>
      <c r="N112" s="211" t="s">
        <v>773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08">
        <v>45945.0</v>
      </c>
      <c r="I113" s="209" t="s">
        <v>3</v>
      </c>
      <c r="J113" s="209" t="s">
        <v>8</v>
      </c>
      <c r="K113" s="210">
        <v>163900.0</v>
      </c>
      <c r="L113" s="211"/>
      <c r="M113" s="143"/>
      <c r="N113" s="211" t="s">
        <v>858</v>
      </c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IFERROR(__xludf.DUMMYFUNCTION("FILTER('설정시트'!$D$7:$L$20,'설정시트'!$C$7:$C$20=I113)"),"🍪 월급")</f>
        <v>🍪 월급</v>
      </c>
      <c r="AC113" s="214" t="str">
        <f>IFERROR(__xludf.DUMMYFUNCTION("""COMPUTED_VALUE"""),"🍪 부수입")</f>
        <v>🍪 부수입</v>
      </c>
      <c r="AD113" s="214" t="str">
        <f>IFERROR(__xludf.DUMMYFUNCTION("""COMPUTED_VALUE"""),"🐻 월급")</f>
        <v>🐻 월급</v>
      </c>
      <c r="AE113" s="214" t="str">
        <f>IFERROR(__xludf.DUMMYFUNCTION("""COMPUTED_VALUE"""),"🐻 부수입")</f>
        <v>🐻 부수입</v>
      </c>
      <c r="AF113" s="214" t="str">
        <f>IFERROR(__xludf.DUMMYFUNCTION("""COMPUTED_VALUE"""),"기타")</f>
        <v>기타</v>
      </c>
      <c r="AG113" s="214"/>
      <c r="AH113" s="214"/>
      <c r="AI113" s="214"/>
      <c r="AJ113" s="215"/>
    </row>
    <row r="114">
      <c r="H114" s="208">
        <v>45945.0</v>
      </c>
      <c r="I114" s="209" t="s">
        <v>21</v>
      </c>
      <c r="J114" s="209" t="s">
        <v>19</v>
      </c>
      <c r="K114" s="210">
        <v>12465.0</v>
      </c>
      <c r="L114" s="211" t="s">
        <v>61</v>
      </c>
      <c r="M114" s="143"/>
      <c r="N114" s="211" t="s">
        <v>896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IFERROR(__xludf.DUMMYFUNCTION("FILTER('설정시트'!$D$7:$L$20,'설정시트'!$C$7:$C$20=I114)"),"관리비")</f>
        <v>관리비</v>
      </c>
      <c r="AC114" s="214" t="str">
        <f>IFERROR(__xludf.DUMMYFUNCTION("""COMPUTED_VALUE"""),"대출이자")</f>
        <v>대출이자</v>
      </c>
      <c r="AD114" s="214" t="str">
        <f>IFERROR(__xludf.DUMMYFUNCTION("""COMPUTED_VALUE"""),"통신비")</f>
        <v>통신비</v>
      </c>
      <c r="AE114" s="214" t="str">
        <f>IFERROR(__xludf.DUMMYFUNCTION("""COMPUTED_VALUE"""),"보험료")</f>
        <v>보험료</v>
      </c>
      <c r="AF114" s="214" t="str">
        <f>IFERROR(__xludf.DUMMYFUNCTION("""COMPUTED_VALUE"""),"곗돈")</f>
        <v>곗돈</v>
      </c>
      <c r="AG114" s="214"/>
      <c r="AH114" s="214"/>
      <c r="AI114" s="214"/>
      <c r="AJ114" s="215"/>
    </row>
    <row r="115">
      <c r="H115" s="208">
        <v>45945.0</v>
      </c>
      <c r="I115" s="209" t="s">
        <v>39</v>
      </c>
      <c r="J115" s="209" t="s">
        <v>41</v>
      </c>
      <c r="K115" s="216">
        <v>66100.0</v>
      </c>
      <c r="L115" s="211" t="s">
        <v>60</v>
      </c>
      <c r="M115" s="143"/>
      <c r="N115" s="211" t="s">
        <v>897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IFERROR(__xludf.DUMMYFUNCTION("FILTER('설정시트'!$D$7:$L$20,'설정시트'!$C$7:$C$20=I115)"),"약국")</f>
        <v>약국</v>
      </c>
      <c r="AC115" s="214" t="str">
        <f>IFERROR(__xludf.DUMMYFUNCTION("""COMPUTED_VALUE"""),"병원비")</f>
        <v>병원비</v>
      </c>
      <c r="AD115" s="214" t="str">
        <f>IFERROR(__xludf.DUMMYFUNCTION("""COMPUTED_VALUE"""),"영양제")</f>
        <v>영양제</v>
      </c>
      <c r="AE115" s="214" t="str">
        <f>IFERROR(__xludf.DUMMYFUNCTION("""COMPUTED_VALUE"""),"교통비")</f>
        <v>교통비</v>
      </c>
      <c r="AF115" s="214" t="str">
        <f>IFERROR(__xludf.DUMMYFUNCTION("""COMPUTED_VALUE"""),"주유비")</f>
        <v>주유비</v>
      </c>
      <c r="AG115" s="214"/>
      <c r="AH115" s="214" t="str">
        <f>IFERROR(__xludf.DUMMYFUNCTION("""COMPUTED_VALUE"""),"기타")</f>
        <v>기타</v>
      </c>
      <c r="AI115" s="214"/>
      <c r="AJ115" s="215"/>
    </row>
    <row r="116">
      <c r="H116" s="208">
        <v>45945.0</v>
      </c>
      <c r="I116" s="209" t="s">
        <v>39</v>
      </c>
      <c r="J116" s="209" t="s">
        <v>40</v>
      </c>
      <c r="K116" s="216">
        <v>2400.0</v>
      </c>
      <c r="L116" s="211" t="s">
        <v>60</v>
      </c>
      <c r="M116" s="143"/>
      <c r="N116" s="211" t="s">
        <v>898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IFERROR(__xludf.DUMMYFUNCTION("FILTER('설정시트'!$D$7:$L$20,'설정시트'!$C$7:$C$20=I116)"),"약국")</f>
        <v>약국</v>
      </c>
      <c r="AC116" s="214" t="str">
        <f>IFERROR(__xludf.DUMMYFUNCTION("""COMPUTED_VALUE"""),"병원비")</f>
        <v>병원비</v>
      </c>
      <c r="AD116" s="214" t="str">
        <f>IFERROR(__xludf.DUMMYFUNCTION("""COMPUTED_VALUE"""),"영양제")</f>
        <v>영양제</v>
      </c>
      <c r="AE116" s="214" t="str">
        <f>IFERROR(__xludf.DUMMYFUNCTION("""COMPUTED_VALUE"""),"교통비")</f>
        <v>교통비</v>
      </c>
      <c r="AF116" s="214" t="str">
        <f>IFERROR(__xludf.DUMMYFUNCTION("""COMPUTED_VALUE"""),"주유비")</f>
        <v>주유비</v>
      </c>
      <c r="AG116" s="214"/>
      <c r="AH116" s="214" t="str">
        <f>IFERROR(__xludf.DUMMYFUNCTION("""COMPUTED_VALUE"""),"기타")</f>
        <v>기타</v>
      </c>
      <c r="AI116" s="214"/>
      <c r="AJ116" s="215"/>
    </row>
    <row r="117">
      <c r="H117" s="208">
        <v>45945.0</v>
      </c>
      <c r="I117" s="209" t="s">
        <v>26</v>
      </c>
      <c r="J117" s="209" t="s">
        <v>28</v>
      </c>
      <c r="K117" s="216">
        <v>5500.0</v>
      </c>
      <c r="L117" s="211" t="s">
        <v>60</v>
      </c>
      <c r="M117" s="143"/>
      <c r="N117" s="211" t="s">
        <v>899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IFERROR(__xludf.DUMMYFUNCTION("FILTER('설정시트'!$D$7:$L$20,'설정시트'!$C$7:$C$20=I117)"),"식재료비")</f>
        <v>식재료비</v>
      </c>
      <c r="AC117" s="214" t="str">
        <f>IFERROR(__xludf.DUMMYFUNCTION("""COMPUTED_VALUE"""),"회사점심")</f>
        <v>회사점심</v>
      </c>
      <c r="AD117" s="214" t="str">
        <f>IFERROR(__xludf.DUMMYFUNCTION("""COMPUTED_VALUE"""),"간식/카페")</f>
        <v>간식/카페</v>
      </c>
      <c r="AE117" s="214" t="str">
        <f>IFERROR(__xludf.DUMMYFUNCTION("""COMPUTED_VALUE"""),"외식/배달")</f>
        <v>외식/배달</v>
      </c>
      <c r="AF117" s="214" t="str">
        <f>IFERROR(__xludf.DUMMYFUNCTION("""COMPUTED_VALUE"""),"기타")</f>
        <v>기타</v>
      </c>
      <c r="AG117" s="214"/>
      <c r="AH117" s="214"/>
      <c r="AI117" s="214"/>
      <c r="AJ117" s="215"/>
    </row>
    <row r="118">
      <c r="H118" s="208">
        <v>45945.0</v>
      </c>
      <c r="I118" s="217" t="s">
        <v>14</v>
      </c>
      <c r="J118" s="217" t="s">
        <v>18</v>
      </c>
      <c r="K118" s="218">
        <v>32813.0</v>
      </c>
      <c r="L118" s="211" t="s">
        <v>60</v>
      </c>
      <c r="M118" s="143"/>
      <c r="N118" s="211" t="s">
        <v>900</v>
      </c>
      <c r="O118" s="212"/>
      <c r="P118" s="212"/>
      <c r="Q118" s="143"/>
      <c r="R118" s="211"/>
      <c r="S118" s="212"/>
      <c r="T118" s="145"/>
      <c r="AB118" s="214" t="str">
        <f>IFERROR(__xludf.DUMMYFUNCTION("FILTER('설정시트'!$D$7:$L$20,'설정시트'!$C$7:$C$20=I118)"),"관리비")</f>
        <v>관리비</v>
      </c>
      <c r="AC118" s="214" t="str">
        <f>IFERROR(__xludf.DUMMYFUNCTION("""COMPUTED_VALUE"""),"월세")</f>
        <v>월세</v>
      </c>
      <c r="AD118" s="214" t="str">
        <f>IFERROR(__xludf.DUMMYFUNCTION("""COMPUTED_VALUE"""),"대출이자")</f>
        <v>대출이자</v>
      </c>
      <c r="AE118" s="214" t="str">
        <f>IFERROR(__xludf.DUMMYFUNCTION("""COMPUTED_VALUE"""),"통신비")</f>
        <v>통신비</v>
      </c>
      <c r="AF118" s="214" t="str">
        <f>IFERROR(__xludf.DUMMYFUNCTION("""COMPUTED_VALUE"""),"보험료")</f>
        <v>보험료</v>
      </c>
      <c r="AG118" s="214"/>
      <c r="AH118" s="214" t="str">
        <f>IFERROR(__xludf.DUMMYFUNCTION("""COMPUTED_VALUE"""),"곗돈")</f>
        <v>곗돈</v>
      </c>
      <c r="AI118" s="214"/>
      <c r="AJ118" s="215"/>
    </row>
    <row r="119">
      <c r="H119" s="208">
        <v>45945.0</v>
      </c>
      <c r="I119" s="217" t="s">
        <v>14</v>
      </c>
      <c r="J119" s="217" t="s">
        <v>19</v>
      </c>
      <c r="K119" s="218">
        <v>10075.0</v>
      </c>
      <c r="L119" s="211" t="s">
        <v>55</v>
      </c>
      <c r="M119" s="143"/>
      <c r="N119" s="211" t="s">
        <v>901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IFERROR(__xludf.DUMMYFUNCTION("FILTER('설정시트'!$D$7:$L$20,'설정시트'!$C$7:$C$20=I119)"),"관리비")</f>
        <v>관리비</v>
      </c>
      <c r="AC119" s="214" t="str">
        <f>IFERROR(__xludf.DUMMYFUNCTION("""COMPUTED_VALUE"""),"월세")</f>
        <v>월세</v>
      </c>
      <c r="AD119" s="214" t="str">
        <f>IFERROR(__xludf.DUMMYFUNCTION("""COMPUTED_VALUE"""),"대출이자")</f>
        <v>대출이자</v>
      </c>
      <c r="AE119" s="214" t="str">
        <f>IFERROR(__xludf.DUMMYFUNCTION("""COMPUTED_VALUE"""),"통신비")</f>
        <v>통신비</v>
      </c>
      <c r="AF119" s="214" t="str">
        <f>IFERROR(__xludf.DUMMYFUNCTION("""COMPUTED_VALUE"""),"보험료")</f>
        <v>보험료</v>
      </c>
      <c r="AG119" s="214"/>
      <c r="AH119" s="214" t="str">
        <f>IFERROR(__xludf.DUMMYFUNCTION("""COMPUTED_VALUE"""),"곗돈")</f>
        <v>곗돈</v>
      </c>
      <c r="AI119" s="214"/>
      <c r="AJ119" s="215"/>
    </row>
    <row r="120">
      <c r="H120" s="208">
        <v>45946.0</v>
      </c>
      <c r="I120" s="209" t="s">
        <v>31</v>
      </c>
      <c r="J120" s="209" t="s">
        <v>29</v>
      </c>
      <c r="K120" s="210">
        <v>1200.0</v>
      </c>
      <c r="L120" s="211" t="s">
        <v>64</v>
      </c>
      <c r="M120" s="143"/>
      <c r="N120" s="211" t="s">
        <v>773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IFERROR(__xludf.DUMMYFUNCTION("FILTER('설정시트'!$D$7:$L$20,'설정시트'!$C$7:$C$20=I120)"),"식재료비")</f>
        <v>식재료비</v>
      </c>
      <c r="AC120" s="214" t="str">
        <f>IFERROR(__xludf.DUMMYFUNCTION("""COMPUTED_VALUE"""),"회사점심")</f>
        <v>회사점심</v>
      </c>
      <c r="AD120" s="214" t="str">
        <f>IFERROR(__xludf.DUMMYFUNCTION("""COMPUTED_VALUE"""),"간식/카페")</f>
        <v>간식/카페</v>
      </c>
      <c r="AE120" s="214" t="str">
        <f>IFERROR(__xludf.DUMMYFUNCTION("""COMPUTED_VALUE"""),"외식/배달")</f>
        <v>외식/배달</v>
      </c>
      <c r="AF120" s="214" t="str">
        <f>IFERROR(__xludf.DUMMYFUNCTION("""COMPUTED_VALUE"""),"기타")</f>
        <v>기타</v>
      </c>
      <c r="AG120" s="214"/>
      <c r="AH120" s="214"/>
      <c r="AI120" s="214"/>
      <c r="AJ120" s="215"/>
    </row>
    <row r="121">
      <c r="H121" s="208">
        <v>45946.0</v>
      </c>
      <c r="I121" s="209" t="s">
        <v>26</v>
      </c>
      <c r="J121" s="209" t="s">
        <v>30</v>
      </c>
      <c r="K121" s="218">
        <v>5500.0</v>
      </c>
      <c r="L121" s="211" t="s">
        <v>60</v>
      </c>
      <c r="M121" s="143"/>
      <c r="N121" s="211" t="s">
        <v>902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45946.0</v>
      </c>
      <c r="I122" s="209" t="s">
        <v>26</v>
      </c>
      <c r="J122" s="209" t="s">
        <v>30</v>
      </c>
      <c r="K122" s="218">
        <v>5000.0</v>
      </c>
      <c r="L122" s="211" t="s">
        <v>60</v>
      </c>
      <c r="M122" s="143"/>
      <c r="N122" s="211" t="s">
        <v>903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IFERROR(__xludf.DUMMYFUNCTION("FILTER('설정시트'!$D$7:$L$20,'설정시트'!$C$7:$C$20=I122)"),"식재료비")</f>
        <v>식재료비</v>
      </c>
      <c r="AC122" s="214" t="str">
        <f>IFERROR(__xludf.DUMMYFUNCTION("""COMPUTED_VALUE"""),"회사점심")</f>
        <v>회사점심</v>
      </c>
      <c r="AD122" s="214" t="str">
        <f>IFERROR(__xludf.DUMMYFUNCTION("""COMPUTED_VALUE"""),"간식/카페")</f>
        <v>간식/카페</v>
      </c>
      <c r="AE122" s="214" t="str">
        <f>IFERROR(__xludf.DUMMYFUNCTION("""COMPUTED_VALUE"""),"외식/배달")</f>
        <v>외식/배달</v>
      </c>
      <c r="AF122" s="214" t="str">
        <f>IFERROR(__xludf.DUMMYFUNCTION("""COMPUTED_VALUE"""),"기타")</f>
        <v>기타</v>
      </c>
      <c r="AG122" s="214"/>
      <c r="AH122" s="214"/>
      <c r="AI122" s="214"/>
      <c r="AJ122" s="215"/>
    </row>
    <row r="123">
      <c r="H123" s="208">
        <v>45946.0</v>
      </c>
      <c r="I123" s="217" t="s">
        <v>31</v>
      </c>
      <c r="J123" s="217" t="s">
        <v>29</v>
      </c>
      <c r="K123" s="218">
        <v>3700.0</v>
      </c>
      <c r="L123" s="211" t="s">
        <v>64</v>
      </c>
      <c r="M123" s="143"/>
      <c r="N123" s="211" t="s">
        <v>847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IFERROR(__xludf.DUMMYFUNCTION("FILTER('설정시트'!$D$7:$L$20,'설정시트'!$C$7:$C$20=I123)"),"식재료비")</f>
        <v>식재료비</v>
      </c>
      <c r="AC123" s="214" t="str">
        <f>IFERROR(__xludf.DUMMYFUNCTION("""COMPUTED_VALUE"""),"회사점심")</f>
        <v>회사점심</v>
      </c>
      <c r="AD123" s="214" t="str">
        <f>IFERROR(__xludf.DUMMYFUNCTION("""COMPUTED_VALUE"""),"간식/카페")</f>
        <v>간식/카페</v>
      </c>
      <c r="AE123" s="214" t="str">
        <f>IFERROR(__xludf.DUMMYFUNCTION("""COMPUTED_VALUE"""),"외식/배달")</f>
        <v>외식/배달</v>
      </c>
      <c r="AF123" s="214" t="str">
        <f>IFERROR(__xludf.DUMMYFUNCTION("""COMPUTED_VALUE"""),"기타")</f>
        <v>기타</v>
      </c>
      <c r="AG123" s="214"/>
      <c r="AH123" s="214"/>
      <c r="AI123" s="214"/>
      <c r="AJ123" s="215"/>
    </row>
    <row r="124">
      <c r="H124" s="208">
        <v>45947.0</v>
      </c>
      <c r="I124" s="217" t="s">
        <v>26</v>
      </c>
      <c r="J124" s="217" t="s">
        <v>30</v>
      </c>
      <c r="K124" s="218">
        <v>22000.0</v>
      </c>
      <c r="L124" s="211" t="s">
        <v>60</v>
      </c>
      <c r="M124" s="143"/>
      <c r="N124" s="211" t="s">
        <v>904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45947.0</v>
      </c>
      <c r="I125" s="209" t="s">
        <v>39</v>
      </c>
      <c r="J125" s="209" t="s">
        <v>41</v>
      </c>
      <c r="K125" s="218">
        <v>16900.0</v>
      </c>
      <c r="L125" s="211" t="s">
        <v>57</v>
      </c>
      <c r="M125" s="143"/>
      <c r="N125" s="211" t="s">
        <v>905</v>
      </c>
      <c r="O125" s="212"/>
      <c r="P125" s="212"/>
      <c r="Q125" s="143"/>
      <c r="R125" s="211" t="s">
        <v>884</v>
      </c>
      <c r="S125" s="212"/>
      <c r="T125" s="145"/>
      <c r="AB125" s="214" t="str">
        <f>IFERROR(__xludf.DUMMYFUNCTION("FILTER('설정시트'!$D$7:$L$20,'설정시트'!$C$7:$C$20=I125)"),"약국")</f>
        <v>약국</v>
      </c>
      <c r="AC125" s="214" t="str">
        <f>IFERROR(__xludf.DUMMYFUNCTION("""COMPUTED_VALUE"""),"병원비")</f>
        <v>병원비</v>
      </c>
      <c r="AD125" s="214" t="str">
        <f>IFERROR(__xludf.DUMMYFUNCTION("""COMPUTED_VALUE"""),"영양제")</f>
        <v>영양제</v>
      </c>
      <c r="AE125" s="214" t="str">
        <f>IFERROR(__xludf.DUMMYFUNCTION("""COMPUTED_VALUE"""),"교통비")</f>
        <v>교통비</v>
      </c>
      <c r="AF125" s="214" t="str">
        <f>IFERROR(__xludf.DUMMYFUNCTION("""COMPUTED_VALUE"""),"주유비")</f>
        <v>주유비</v>
      </c>
      <c r="AG125" s="214"/>
      <c r="AH125" s="214" t="str">
        <f>IFERROR(__xludf.DUMMYFUNCTION("""COMPUTED_VALUE"""),"기타")</f>
        <v>기타</v>
      </c>
      <c r="AI125" s="214"/>
      <c r="AJ125" s="215"/>
    </row>
    <row r="126">
      <c r="H126" s="208">
        <v>45947.0</v>
      </c>
      <c r="I126" s="217" t="s">
        <v>3</v>
      </c>
      <c r="J126" s="217" t="s">
        <v>8</v>
      </c>
      <c r="K126" s="218">
        <v>23400.0</v>
      </c>
      <c r="L126" s="213"/>
      <c r="M126" s="143"/>
      <c r="N126" s="211" t="s">
        <v>906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IFERROR(__xludf.DUMMYFUNCTION("FILTER('설정시트'!$D$7:$L$20,'설정시트'!$C$7:$C$20=I126)"),"🍪 월급")</f>
        <v>🍪 월급</v>
      </c>
      <c r="AC126" s="214" t="str">
        <f>IFERROR(__xludf.DUMMYFUNCTION("""COMPUTED_VALUE"""),"🍪 부수입")</f>
        <v>🍪 부수입</v>
      </c>
      <c r="AD126" s="214" t="str">
        <f>IFERROR(__xludf.DUMMYFUNCTION("""COMPUTED_VALUE"""),"🐻 월급")</f>
        <v>🐻 월급</v>
      </c>
      <c r="AE126" s="214" t="str">
        <f>IFERROR(__xludf.DUMMYFUNCTION("""COMPUTED_VALUE"""),"🐻 부수입")</f>
        <v>🐻 부수입</v>
      </c>
      <c r="AF126" s="214" t="str">
        <f>IFERROR(__xludf.DUMMYFUNCTION("""COMPUTED_VALUE"""),"기타")</f>
        <v>기타</v>
      </c>
      <c r="AG126" s="214"/>
      <c r="AH126" s="214"/>
      <c r="AI126" s="214"/>
      <c r="AJ126" s="215"/>
    </row>
    <row r="127">
      <c r="H127" s="208">
        <v>45947.0</v>
      </c>
      <c r="I127" s="217" t="s">
        <v>31</v>
      </c>
      <c r="J127" s="217" t="s">
        <v>30</v>
      </c>
      <c r="K127" s="218">
        <v>25000.0</v>
      </c>
      <c r="L127" s="211" t="s">
        <v>64</v>
      </c>
      <c r="M127" s="143"/>
      <c r="N127" s="211" t="s">
        <v>804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IFERROR(__xludf.DUMMYFUNCTION("FILTER('설정시트'!$D$7:$L$20,'설정시트'!$C$7:$C$20=I127)"),"식재료비")</f>
        <v>식재료비</v>
      </c>
      <c r="AC127" s="214" t="str">
        <f>IFERROR(__xludf.DUMMYFUNCTION("""COMPUTED_VALUE"""),"회사점심")</f>
        <v>회사점심</v>
      </c>
      <c r="AD127" s="214" t="str">
        <f>IFERROR(__xludf.DUMMYFUNCTION("""COMPUTED_VALUE"""),"간식/카페")</f>
        <v>간식/카페</v>
      </c>
      <c r="AE127" s="214" t="str">
        <f>IFERROR(__xludf.DUMMYFUNCTION("""COMPUTED_VALUE"""),"외식/배달")</f>
        <v>외식/배달</v>
      </c>
      <c r="AF127" s="214" t="str">
        <f>IFERROR(__xludf.DUMMYFUNCTION("""COMPUTED_VALUE"""),"기타")</f>
        <v>기타</v>
      </c>
      <c r="AG127" s="214"/>
      <c r="AH127" s="214"/>
      <c r="AI127" s="214"/>
      <c r="AJ127" s="215"/>
    </row>
    <row r="128">
      <c r="H128" s="208">
        <v>45947.0</v>
      </c>
      <c r="I128" s="217" t="s">
        <v>45</v>
      </c>
      <c r="J128" s="217" t="s">
        <v>40</v>
      </c>
      <c r="K128" s="218">
        <v>9200.0</v>
      </c>
      <c r="L128" s="211" t="s">
        <v>64</v>
      </c>
      <c r="M128" s="143"/>
      <c r="N128" s="211" t="s">
        <v>707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IFERROR(__xludf.DUMMYFUNCTION("FILTER('설정시트'!$D$7:$L$20,'설정시트'!$C$7:$C$20=I128)"),"약국")</f>
        <v>약국</v>
      </c>
      <c r="AC128" s="214" t="str">
        <f>IFERROR(__xludf.DUMMYFUNCTION("""COMPUTED_VALUE"""),"병원비")</f>
        <v>병원비</v>
      </c>
      <c r="AD128" s="214" t="str">
        <f>IFERROR(__xludf.DUMMYFUNCTION("""COMPUTED_VALUE"""),"영양제")</f>
        <v>영양제</v>
      </c>
      <c r="AE128" s="214" t="str">
        <f>IFERROR(__xludf.DUMMYFUNCTION("""COMPUTED_VALUE"""),"교통비")</f>
        <v>교통비</v>
      </c>
      <c r="AF128" s="214" t="str">
        <f>IFERROR(__xludf.DUMMYFUNCTION("""COMPUTED_VALUE"""),"주유비")</f>
        <v>주유비</v>
      </c>
      <c r="AG128" s="214"/>
      <c r="AH128" s="214" t="str">
        <f>IFERROR(__xludf.DUMMYFUNCTION("""COMPUTED_VALUE"""),"기타")</f>
        <v>기타</v>
      </c>
      <c r="AI128" s="214"/>
      <c r="AJ128" s="215"/>
    </row>
    <row r="129">
      <c r="H129" s="208">
        <v>45947.0</v>
      </c>
      <c r="I129" s="217" t="s">
        <v>45</v>
      </c>
      <c r="J129" s="217" t="s">
        <v>41</v>
      </c>
      <c r="K129" s="218">
        <v>48400.0</v>
      </c>
      <c r="L129" s="211" t="s">
        <v>64</v>
      </c>
      <c r="M129" s="143"/>
      <c r="N129" s="211" t="s">
        <v>690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IFERROR(__xludf.DUMMYFUNCTION("FILTER('설정시트'!$D$7:$L$20,'설정시트'!$C$7:$C$20=I129)"),"약국")</f>
        <v>약국</v>
      </c>
      <c r="AC129" s="214" t="str">
        <f>IFERROR(__xludf.DUMMYFUNCTION("""COMPUTED_VALUE"""),"병원비")</f>
        <v>병원비</v>
      </c>
      <c r="AD129" s="214" t="str">
        <f>IFERROR(__xludf.DUMMYFUNCTION("""COMPUTED_VALUE"""),"영양제")</f>
        <v>영양제</v>
      </c>
      <c r="AE129" s="214" t="str">
        <f>IFERROR(__xludf.DUMMYFUNCTION("""COMPUTED_VALUE"""),"교통비")</f>
        <v>교통비</v>
      </c>
      <c r="AF129" s="214" t="str">
        <f>IFERROR(__xludf.DUMMYFUNCTION("""COMPUTED_VALUE"""),"주유비")</f>
        <v>주유비</v>
      </c>
      <c r="AG129" s="214"/>
      <c r="AH129" s="214" t="str">
        <f>IFERROR(__xludf.DUMMYFUNCTION("""COMPUTED_VALUE"""),"기타")</f>
        <v>기타</v>
      </c>
      <c r="AI129" s="214"/>
      <c r="AJ129" s="215"/>
    </row>
    <row r="130">
      <c r="H130" s="208">
        <v>45948.0</v>
      </c>
      <c r="I130" s="217" t="s">
        <v>26</v>
      </c>
      <c r="J130" s="217" t="s">
        <v>27</v>
      </c>
      <c r="K130" s="218">
        <v>43281.0</v>
      </c>
      <c r="L130" s="211" t="s">
        <v>60</v>
      </c>
      <c r="M130" s="143"/>
      <c r="N130" s="211" t="s">
        <v>907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IFERROR(__xludf.DUMMYFUNCTION("FILTER('설정시트'!$D$7:$L$20,'설정시트'!$C$7:$C$20=I130)"),"식재료비")</f>
        <v>식재료비</v>
      </c>
      <c r="AC130" s="214" t="str">
        <f>IFERROR(__xludf.DUMMYFUNCTION("""COMPUTED_VALUE"""),"회사점심")</f>
        <v>회사점심</v>
      </c>
      <c r="AD130" s="214" t="str">
        <f>IFERROR(__xludf.DUMMYFUNCTION("""COMPUTED_VALUE"""),"간식/카페")</f>
        <v>간식/카페</v>
      </c>
      <c r="AE130" s="214" t="str">
        <f>IFERROR(__xludf.DUMMYFUNCTION("""COMPUTED_VALUE"""),"외식/배달")</f>
        <v>외식/배달</v>
      </c>
      <c r="AF130" s="214" t="str">
        <f>IFERROR(__xludf.DUMMYFUNCTION("""COMPUTED_VALUE"""),"기타")</f>
        <v>기타</v>
      </c>
      <c r="AG130" s="214"/>
      <c r="AH130" s="214"/>
      <c r="AI130" s="214"/>
      <c r="AJ130" s="215"/>
    </row>
    <row r="131">
      <c r="H131" s="208">
        <v>45948.0</v>
      </c>
      <c r="I131" s="217" t="s">
        <v>26</v>
      </c>
      <c r="J131" s="217" t="s">
        <v>30</v>
      </c>
      <c r="K131" s="218">
        <v>39800.0</v>
      </c>
      <c r="L131" s="211" t="s">
        <v>60</v>
      </c>
      <c r="M131" s="143"/>
      <c r="N131" s="211" t="s">
        <v>908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IFERROR(__xludf.DUMMYFUNCTION("FILTER('설정시트'!$D$7:$L$20,'설정시트'!$C$7:$C$20=I131)"),"식재료비")</f>
        <v>식재료비</v>
      </c>
      <c r="AC131" s="214" t="str">
        <f>IFERROR(__xludf.DUMMYFUNCTION("""COMPUTED_VALUE"""),"회사점심")</f>
        <v>회사점심</v>
      </c>
      <c r="AD131" s="214" t="str">
        <f>IFERROR(__xludf.DUMMYFUNCTION("""COMPUTED_VALUE"""),"간식/카페")</f>
        <v>간식/카페</v>
      </c>
      <c r="AE131" s="214" t="str">
        <f>IFERROR(__xludf.DUMMYFUNCTION("""COMPUTED_VALUE"""),"외식/배달")</f>
        <v>외식/배달</v>
      </c>
      <c r="AF131" s="214" t="str">
        <f>IFERROR(__xludf.DUMMYFUNCTION("""COMPUTED_VALUE"""),"기타")</f>
        <v>기타</v>
      </c>
      <c r="AG131" s="214"/>
      <c r="AH131" s="214"/>
      <c r="AI131" s="214"/>
      <c r="AJ131" s="215"/>
    </row>
    <row r="132">
      <c r="H132" s="208">
        <v>45948.0</v>
      </c>
      <c r="I132" s="217" t="s">
        <v>45</v>
      </c>
      <c r="J132" s="217" t="s">
        <v>41</v>
      </c>
      <c r="K132" s="218">
        <v>12800.0</v>
      </c>
      <c r="L132" s="211" t="s">
        <v>64</v>
      </c>
      <c r="M132" s="143"/>
      <c r="N132" s="211" t="s">
        <v>909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IFERROR(__xludf.DUMMYFUNCTION("FILTER('설정시트'!$D$7:$L$20,'설정시트'!$C$7:$C$20=I132)"),"약국")</f>
        <v>약국</v>
      </c>
      <c r="AC132" s="214" t="str">
        <f>IFERROR(__xludf.DUMMYFUNCTION("""COMPUTED_VALUE"""),"병원비")</f>
        <v>병원비</v>
      </c>
      <c r="AD132" s="214" t="str">
        <f>IFERROR(__xludf.DUMMYFUNCTION("""COMPUTED_VALUE"""),"영양제")</f>
        <v>영양제</v>
      </c>
      <c r="AE132" s="214" t="str">
        <f>IFERROR(__xludf.DUMMYFUNCTION("""COMPUTED_VALUE"""),"교통비")</f>
        <v>교통비</v>
      </c>
      <c r="AF132" s="214" t="str">
        <f>IFERROR(__xludf.DUMMYFUNCTION("""COMPUTED_VALUE"""),"주유비")</f>
        <v>주유비</v>
      </c>
      <c r="AG132" s="214"/>
      <c r="AH132" s="214" t="str">
        <f>IFERROR(__xludf.DUMMYFUNCTION("""COMPUTED_VALUE"""),"기타")</f>
        <v>기타</v>
      </c>
      <c r="AI132" s="214"/>
      <c r="AJ132" s="215"/>
    </row>
    <row r="133">
      <c r="H133" s="208">
        <v>45949.0</v>
      </c>
      <c r="I133" s="209" t="s">
        <v>3</v>
      </c>
      <c r="J133" s="209" t="s">
        <v>8</v>
      </c>
      <c r="K133" s="218">
        <v>200000.0</v>
      </c>
      <c r="L133" s="211"/>
      <c r="M133" s="143"/>
      <c r="N133" s="211" t="s">
        <v>910</v>
      </c>
      <c r="O133" s="212"/>
      <c r="P133" s="212"/>
      <c r="Q133" s="143"/>
      <c r="R133" s="211"/>
      <c r="S133" s="212"/>
      <c r="T133" s="145"/>
      <c r="AB133" s="214" t="str">
        <f>IFERROR(__xludf.DUMMYFUNCTION("FILTER('설정시트'!$D$7:$L$20,'설정시트'!$C$7:$C$20=I133)"),"🍪 월급")</f>
        <v>🍪 월급</v>
      </c>
      <c r="AC133" s="214" t="str">
        <f>IFERROR(__xludf.DUMMYFUNCTION("""COMPUTED_VALUE"""),"🍪 부수입")</f>
        <v>🍪 부수입</v>
      </c>
      <c r="AD133" s="214" t="str">
        <f>IFERROR(__xludf.DUMMYFUNCTION("""COMPUTED_VALUE"""),"🐻 월급")</f>
        <v>🐻 월급</v>
      </c>
      <c r="AE133" s="214" t="str">
        <f>IFERROR(__xludf.DUMMYFUNCTION("""COMPUTED_VALUE"""),"🐻 부수입")</f>
        <v>🐻 부수입</v>
      </c>
      <c r="AF133" s="214" t="str">
        <f>IFERROR(__xludf.DUMMYFUNCTION("""COMPUTED_VALUE"""),"기타")</f>
        <v>기타</v>
      </c>
      <c r="AG133" s="214"/>
      <c r="AH133" s="214"/>
      <c r="AI133" s="214"/>
      <c r="AJ133" s="215"/>
    </row>
    <row r="134">
      <c r="H134" s="208">
        <v>45949.0</v>
      </c>
      <c r="I134" s="217" t="s">
        <v>39</v>
      </c>
      <c r="J134" s="217" t="s">
        <v>8</v>
      </c>
      <c r="K134" s="218">
        <v>2000.0</v>
      </c>
      <c r="L134" s="211" t="s">
        <v>60</v>
      </c>
      <c r="M134" s="143"/>
      <c r="N134" s="211" t="s">
        <v>911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IFERROR(__xludf.DUMMYFUNCTION("FILTER('설정시트'!$D$7:$L$20,'설정시트'!$C$7:$C$20=I134)"),"약국")</f>
        <v>약국</v>
      </c>
      <c r="AC134" s="214" t="str">
        <f>IFERROR(__xludf.DUMMYFUNCTION("""COMPUTED_VALUE"""),"병원비")</f>
        <v>병원비</v>
      </c>
      <c r="AD134" s="214" t="str">
        <f>IFERROR(__xludf.DUMMYFUNCTION("""COMPUTED_VALUE"""),"영양제")</f>
        <v>영양제</v>
      </c>
      <c r="AE134" s="214" t="str">
        <f>IFERROR(__xludf.DUMMYFUNCTION("""COMPUTED_VALUE"""),"교통비")</f>
        <v>교통비</v>
      </c>
      <c r="AF134" s="214" t="str">
        <f>IFERROR(__xludf.DUMMYFUNCTION("""COMPUTED_VALUE"""),"주유비")</f>
        <v>주유비</v>
      </c>
      <c r="AG134" s="214"/>
      <c r="AH134" s="214" t="str">
        <f>IFERROR(__xludf.DUMMYFUNCTION("""COMPUTED_VALUE"""),"기타")</f>
        <v>기타</v>
      </c>
      <c r="AI134" s="214"/>
      <c r="AJ134" s="215"/>
    </row>
    <row r="135">
      <c r="H135" s="208">
        <v>45949.0</v>
      </c>
      <c r="I135" s="217" t="s">
        <v>39</v>
      </c>
      <c r="J135" s="217" t="s">
        <v>8</v>
      </c>
      <c r="K135" s="218">
        <v>1800.0</v>
      </c>
      <c r="L135" s="211" t="s">
        <v>60</v>
      </c>
      <c r="M135" s="143"/>
      <c r="N135" s="211" t="s">
        <v>912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IFERROR(__xludf.DUMMYFUNCTION("FILTER('설정시트'!$D$7:$L$20,'설정시트'!$C$7:$C$20=I135)"),"약국")</f>
        <v>약국</v>
      </c>
      <c r="AC135" s="214" t="str">
        <f>IFERROR(__xludf.DUMMYFUNCTION("""COMPUTED_VALUE"""),"병원비")</f>
        <v>병원비</v>
      </c>
      <c r="AD135" s="214" t="str">
        <f>IFERROR(__xludf.DUMMYFUNCTION("""COMPUTED_VALUE"""),"영양제")</f>
        <v>영양제</v>
      </c>
      <c r="AE135" s="214" t="str">
        <f>IFERROR(__xludf.DUMMYFUNCTION("""COMPUTED_VALUE"""),"교통비")</f>
        <v>교통비</v>
      </c>
      <c r="AF135" s="214" t="str">
        <f>IFERROR(__xludf.DUMMYFUNCTION("""COMPUTED_VALUE"""),"주유비")</f>
        <v>주유비</v>
      </c>
      <c r="AG135" s="214"/>
      <c r="AH135" s="214" t="str">
        <f>IFERROR(__xludf.DUMMYFUNCTION("""COMPUTED_VALUE"""),"기타")</f>
        <v>기타</v>
      </c>
      <c r="AI135" s="214"/>
      <c r="AJ135" s="215"/>
    </row>
    <row r="136">
      <c r="H136" s="208">
        <v>45949.0</v>
      </c>
      <c r="I136" s="217" t="s">
        <v>25</v>
      </c>
      <c r="J136" s="217" t="s">
        <v>24</v>
      </c>
      <c r="K136" s="218">
        <v>6700.0</v>
      </c>
      <c r="L136" s="211" t="s">
        <v>64</v>
      </c>
      <c r="M136" s="143"/>
      <c r="N136" s="211" t="s">
        <v>782</v>
      </c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IFERROR(__xludf.DUMMYFUNCTION("FILTER('설정시트'!$D$7:$L$20,'설정시트'!$C$7:$C$20=I136)"),"주방/욕실")</f>
        <v>주방/욕실</v>
      </c>
      <c r="AC136" s="214" t="str">
        <f>IFERROR(__xludf.DUMMYFUNCTION("""COMPUTED_VALUE"""),"소모품")</f>
        <v>소모품</v>
      </c>
      <c r="AD136" s="214" t="str">
        <f>IFERROR(__xludf.DUMMYFUNCTION("""COMPUTED_VALUE"""),"기타")</f>
        <v>기타</v>
      </c>
      <c r="AE136" s="214"/>
      <c r="AF136" s="214"/>
      <c r="AG136" s="214"/>
      <c r="AH136" s="214"/>
      <c r="AI136" s="214"/>
      <c r="AJ136" s="215"/>
    </row>
    <row r="137">
      <c r="H137" s="208">
        <v>45950.0</v>
      </c>
      <c r="I137" s="217" t="s">
        <v>26</v>
      </c>
      <c r="J137" s="217" t="s">
        <v>28</v>
      </c>
      <c r="K137" s="218">
        <v>5000.0</v>
      </c>
      <c r="L137" s="211" t="s">
        <v>60</v>
      </c>
      <c r="M137" s="143"/>
      <c r="N137" s="211" t="s">
        <v>913</v>
      </c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IFERROR(__xludf.DUMMYFUNCTION("FILTER('설정시트'!$D$7:$L$20,'설정시트'!$C$7:$C$20=I137)"),"식재료비")</f>
        <v>식재료비</v>
      </c>
      <c r="AC137" s="214" t="str">
        <f>IFERROR(__xludf.DUMMYFUNCTION("""COMPUTED_VALUE"""),"회사점심")</f>
        <v>회사점심</v>
      </c>
      <c r="AD137" s="214" t="str">
        <f>IFERROR(__xludf.DUMMYFUNCTION("""COMPUTED_VALUE"""),"간식/카페")</f>
        <v>간식/카페</v>
      </c>
      <c r="AE137" s="214" t="str">
        <f>IFERROR(__xludf.DUMMYFUNCTION("""COMPUTED_VALUE"""),"외식/배달")</f>
        <v>외식/배달</v>
      </c>
      <c r="AF137" s="214" t="str">
        <f>IFERROR(__xludf.DUMMYFUNCTION("""COMPUTED_VALUE"""),"기타")</f>
        <v>기타</v>
      </c>
      <c r="AG137" s="214"/>
      <c r="AH137" s="214"/>
      <c r="AI137" s="214"/>
      <c r="AJ137" s="215"/>
    </row>
    <row r="138">
      <c r="H138" s="208">
        <v>45950.0</v>
      </c>
      <c r="I138" s="217" t="s">
        <v>26</v>
      </c>
      <c r="J138" s="217" t="s">
        <v>30</v>
      </c>
      <c r="K138" s="218">
        <v>11000.0</v>
      </c>
      <c r="L138" s="211" t="s">
        <v>60</v>
      </c>
      <c r="M138" s="143"/>
      <c r="N138" s="211" t="s">
        <v>914</v>
      </c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IFERROR(__xludf.DUMMYFUNCTION("FILTER('설정시트'!$D$7:$L$20,'설정시트'!$C$7:$C$20=I138)"),"식재료비")</f>
        <v>식재료비</v>
      </c>
      <c r="AC138" s="214" t="str">
        <f>IFERROR(__xludf.DUMMYFUNCTION("""COMPUTED_VALUE"""),"회사점심")</f>
        <v>회사점심</v>
      </c>
      <c r="AD138" s="214" t="str">
        <f>IFERROR(__xludf.DUMMYFUNCTION("""COMPUTED_VALUE"""),"간식/카페")</f>
        <v>간식/카페</v>
      </c>
      <c r="AE138" s="214" t="str">
        <f>IFERROR(__xludf.DUMMYFUNCTION("""COMPUTED_VALUE"""),"외식/배달")</f>
        <v>외식/배달</v>
      </c>
      <c r="AF138" s="214" t="str">
        <f>IFERROR(__xludf.DUMMYFUNCTION("""COMPUTED_VALUE"""),"기타")</f>
        <v>기타</v>
      </c>
      <c r="AG138" s="214"/>
      <c r="AH138" s="214"/>
      <c r="AI138" s="214"/>
      <c r="AJ138" s="215"/>
    </row>
    <row r="139">
      <c r="H139" s="208">
        <v>45950.0</v>
      </c>
      <c r="I139" s="217" t="s">
        <v>45</v>
      </c>
      <c r="J139" s="217" t="s">
        <v>41</v>
      </c>
      <c r="K139" s="218">
        <v>25100.0</v>
      </c>
      <c r="L139" s="211" t="s">
        <v>64</v>
      </c>
      <c r="M139" s="143"/>
      <c r="N139" s="211" t="s">
        <v>915</v>
      </c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IFERROR(__xludf.DUMMYFUNCTION("FILTER('설정시트'!$D$7:$L$20,'설정시트'!$C$7:$C$20=I139)"),"약국")</f>
        <v>약국</v>
      </c>
      <c r="AC139" s="214" t="str">
        <f>IFERROR(__xludf.DUMMYFUNCTION("""COMPUTED_VALUE"""),"병원비")</f>
        <v>병원비</v>
      </c>
      <c r="AD139" s="214" t="str">
        <f>IFERROR(__xludf.DUMMYFUNCTION("""COMPUTED_VALUE"""),"영양제")</f>
        <v>영양제</v>
      </c>
      <c r="AE139" s="214" t="str">
        <f>IFERROR(__xludf.DUMMYFUNCTION("""COMPUTED_VALUE"""),"교통비")</f>
        <v>교통비</v>
      </c>
      <c r="AF139" s="214" t="str">
        <f>IFERROR(__xludf.DUMMYFUNCTION("""COMPUTED_VALUE"""),"주유비")</f>
        <v>주유비</v>
      </c>
      <c r="AG139" s="214"/>
      <c r="AH139" s="214" t="str">
        <f>IFERROR(__xludf.DUMMYFUNCTION("""COMPUTED_VALUE"""),"기타")</f>
        <v>기타</v>
      </c>
      <c r="AI139" s="214"/>
      <c r="AJ139" s="215"/>
    </row>
    <row r="140">
      <c r="H140" s="208">
        <v>45951.0</v>
      </c>
      <c r="I140" s="217" t="s">
        <v>26</v>
      </c>
      <c r="J140" s="217" t="s">
        <v>27</v>
      </c>
      <c r="K140" s="218">
        <v>19500.0</v>
      </c>
      <c r="L140" s="211" t="s">
        <v>60</v>
      </c>
      <c r="M140" s="143"/>
      <c r="N140" s="211" t="s">
        <v>916</v>
      </c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IFERROR(__xludf.DUMMYFUNCTION("FILTER('설정시트'!$D$7:$L$20,'설정시트'!$C$7:$C$20=I140)"),"식재료비")</f>
        <v>식재료비</v>
      </c>
      <c r="AC140" s="214" t="str">
        <f>IFERROR(__xludf.DUMMYFUNCTION("""COMPUTED_VALUE"""),"회사점심")</f>
        <v>회사점심</v>
      </c>
      <c r="AD140" s="214" t="str">
        <f>IFERROR(__xludf.DUMMYFUNCTION("""COMPUTED_VALUE"""),"간식/카페")</f>
        <v>간식/카페</v>
      </c>
      <c r="AE140" s="214" t="str">
        <f>IFERROR(__xludf.DUMMYFUNCTION("""COMPUTED_VALUE"""),"외식/배달")</f>
        <v>외식/배달</v>
      </c>
      <c r="AF140" s="214" t="str">
        <f>IFERROR(__xludf.DUMMYFUNCTION("""COMPUTED_VALUE"""),"기타")</f>
        <v>기타</v>
      </c>
      <c r="AG140" s="214"/>
      <c r="AH140" s="214"/>
      <c r="AI140" s="214"/>
      <c r="AJ140" s="215"/>
    </row>
    <row r="141">
      <c r="H141" s="208">
        <v>45951.0</v>
      </c>
      <c r="I141" s="217" t="s">
        <v>26</v>
      </c>
      <c r="J141" s="217" t="s">
        <v>28</v>
      </c>
      <c r="K141" s="218">
        <v>5500.0</v>
      </c>
      <c r="L141" s="211" t="s">
        <v>60</v>
      </c>
      <c r="M141" s="143"/>
      <c r="N141" s="211" t="s">
        <v>917</v>
      </c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IFERROR(__xludf.DUMMYFUNCTION("FILTER('설정시트'!$D$7:$L$20,'설정시트'!$C$7:$C$20=I141)"),"식재료비")</f>
        <v>식재료비</v>
      </c>
      <c r="AC141" s="214" t="str">
        <f>IFERROR(__xludf.DUMMYFUNCTION("""COMPUTED_VALUE"""),"회사점심")</f>
        <v>회사점심</v>
      </c>
      <c r="AD141" s="214" t="str">
        <f>IFERROR(__xludf.DUMMYFUNCTION("""COMPUTED_VALUE"""),"간식/카페")</f>
        <v>간식/카페</v>
      </c>
      <c r="AE141" s="214" t="str">
        <f>IFERROR(__xludf.DUMMYFUNCTION("""COMPUTED_VALUE"""),"외식/배달")</f>
        <v>외식/배달</v>
      </c>
      <c r="AF141" s="214" t="str">
        <f>IFERROR(__xludf.DUMMYFUNCTION("""COMPUTED_VALUE"""),"기타")</f>
        <v>기타</v>
      </c>
      <c r="AG141" s="214"/>
      <c r="AH141" s="214"/>
      <c r="AI141" s="214"/>
      <c r="AJ141" s="215"/>
    </row>
    <row r="142">
      <c r="H142" s="208">
        <v>45951.0</v>
      </c>
      <c r="I142" s="217" t="s">
        <v>26</v>
      </c>
      <c r="J142" s="217" t="s">
        <v>28</v>
      </c>
      <c r="K142" s="218">
        <v>3600.0</v>
      </c>
      <c r="L142" s="211" t="s">
        <v>60</v>
      </c>
      <c r="M142" s="143"/>
      <c r="N142" s="211" t="s">
        <v>918</v>
      </c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IFERROR(__xludf.DUMMYFUNCTION("FILTER('설정시트'!$D$7:$L$20,'설정시트'!$C$7:$C$20=I142)"),"식재료비")</f>
        <v>식재료비</v>
      </c>
      <c r="AC142" s="214" t="str">
        <f>IFERROR(__xludf.DUMMYFUNCTION("""COMPUTED_VALUE"""),"회사점심")</f>
        <v>회사점심</v>
      </c>
      <c r="AD142" s="214" t="str">
        <f>IFERROR(__xludf.DUMMYFUNCTION("""COMPUTED_VALUE"""),"간식/카페")</f>
        <v>간식/카페</v>
      </c>
      <c r="AE142" s="214" t="str">
        <f>IFERROR(__xludf.DUMMYFUNCTION("""COMPUTED_VALUE"""),"외식/배달")</f>
        <v>외식/배달</v>
      </c>
      <c r="AF142" s="214" t="str">
        <f>IFERROR(__xludf.DUMMYFUNCTION("""COMPUTED_VALUE"""),"기타")</f>
        <v>기타</v>
      </c>
      <c r="AG142" s="214"/>
      <c r="AH142" s="214"/>
      <c r="AI142" s="214"/>
      <c r="AJ142" s="215"/>
    </row>
    <row r="143">
      <c r="H143" s="208">
        <v>45951.0</v>
      </c>
      <c r="I143" s="217" t="s">
        <v>39</v>
      </c>
      <c r="J143" s="217" t="s">
        <v>8</v>
      </c>
      <c r="K143" s="218">
        <v>154800.0</v>
      </c>
      <c r="L143" s="211" t="s">
        <v>55</v>
      </c>
      <c r="M143" s="143"/>
      <c r="N143" s="211" t="s">
        <v>919</v>
      </c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IFERROR(__xludf.DUMMYFUNCTION("FILTER('설정시트'!$D$7:$L$20,'설정시트'!$C$7:$C$20=I143)"),"약국")</f>
        <v>약국</v>
      </c>
      <c r="AC143" s="214" t="str">
        <f>IFERROR(__xludf.DUMMYFUNCTION("""COMPUTED_VALUE"""),"병원비")</f>
        <v>병원비</v>
      </c>
      <c r="AD143" s="214" t="str">
        <f>IFERROR(__xludf.DUMMYFUNCTION("""COMPUTED_VALUE"""),"영양제")</f>
        <v>영양제</v>
      </c>
      <c r="AE143" s="214" t="str">
        <f>IFERROR(__xludf.DUMMYFUNCTION("""COMPUTED_VALUE"""),"교통비")</f>
        <v>교통비</v>
      </c>
      <c r="AF143" s="214" t="str">
        <f>IFERROR(__xludf.DUMMYFUNCTION("""COMPUTED_VALUE"""),"주유비")</f>
        <v>주유비</v>
      </c>
      <c r="AG143" s="214"/>
      <c r="AH143" s="214" t="str">
        <f>IFERROR(__xludf.DUMMYFUNCTION("""COMPUTED_VALUE"""),"기타")</f>
        <v>기타</v>
      </c>
      <c r="AI143" s="214"/>
      <c r="AJ143" s="215"/>
    </row>
    <row r="144">
      <c r="H144" s="208">
        <v>45951.0</v>
      </c>
      <c r="I144" s="217" t="s">
        <v>3</v>
      </c>
      <c r="J144" s="217" t="s">
        <v>8</v>
      </c>
      <c r="K144" s="218">
        <v>200000.0</v>
      </c>
      <c r="L144" s="211"/>
      <c r="M144" s="143"/>
      <c r="N144" s="211" t="s">
        <v>920</v>
      </c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IFERROR(__xludf.DUMMYFUNCTION("FILTER('설정시트'!$D$7:$L$20,'설정시트'!$C$7:$C$20=I144)"),"🍪 월급")</f>
        <v>🍪 월급</v>
      </c>
      <c r="AC144" s="214" t="str">
        <f>IFERROR(__xludf.DUMMYFUNCTION("""COMPUTED_VALUE"""),"🍪 부수입")</f>
        <v>🍪 부수입</v>
      </c>
      <c r="AD144" s="214" t="str">
        <f>IFERROR(__xludf.DUMMYFUNCTION("""COMPUTED_VALUE"""),"🐻 월급")</f>
        <v>🐻 월급</v>
      </c>
      <c r="AE144" s="214" t="str">
        <f>IFERROR(__xludf.DUMMYFUNCTION("""COMPUTED_VALUE"""),"🐻 부수입")</f>
        <v>🐻 부수입</v>
      </c>
      <c r="AF144" s="214" t="str">
        <f>IFERROR(__xludf.DUMMYFUNCTION("""COMPUTED_VALUE"""),"기타")</f>
        <v>기타</v>
      </c>
      <c r="AG144" s="214"/>
      <c r="AH144" s="214"/>
      <c r="AI144" s="214"/>
      <c r="AJ144" s="215"/>
    </row>
    <row r="145">
      <c r="H145" s="208">
        <v>45951.0</v>
      </c>
      <c r="I145" s="217" t="s">
        <v>45</v>
      </c>
      <c r="J145" s="217" t="s">
        <v>8</v>
      </c>
      <c r="K145" s="218">
        <v>54670.0</v>
      </c>
      <c r="L145" s="211" t="s">
        <v>64</v>
      </c>
      <c r="M145" s="143"/>
      <c r="N145" s="211" t="s">
        <v>921</v>
      </c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IFERROR(__xludf.DUMMYFUNCTION("FILTER('설정시트'!$D$7:$L$20,'설정시트'!$C$7:$C$20=I145)"),"약국")</f>
        <v>약국</v>
      </c>
      <c r="AC145" s="214" t="str">
        <f>IFERROR(__xludf.DUMMYFUNCTION("""COMPUTED_VALUE"""),"병원비")</f>
        <v>병원비</v>
      </c>
      <c r="AD145" s="214" t="str">
        <f>IFERROR(__xludf.DUMMYFUNCTION("""COMPUTED_VALUE"""),"영양제")</f>
        <v>영양제</v>
      </c>
      <c r="AE145" s="214" t="str">
        <f>IFERROR(__xludf.DUMMYFUNCTION("""COMPUTED_VALUE"""),"교통비")</f>
        <v>교통비</v>
      </c>
      <c r="AF145" s="214" t="str">
        <f>IFERROR(__xludf.DUMMYFUNCTION("""COMPUTED_VALUE"""),"주유비")</f>
        <v>주유비</v>
      </c>
      <c r="AG145" s="214"/>
      <c r="AH145" s="214" t="str">
        <f>IFERROR(__xludf.DUMMYFUNCTION("""COMPUTED_VALUE"""),"기타")</f>
        <v>기타</v>
      </c>
      <c r="AI145" s="214"/>
      <c r="AJ145" s="215"/>
    </row>
    <row r="146">
      <c r="H146" s="208">
        <v>45951.0</v>
      </c>
      <c r="I146" s="217" t="s">
        <v>45</v>
      </c>
      <c r="J146" s="217" t="s">
        <v>41</v>
      </c>
      <c r="K146" s="218">
        <v>22000.0</v>
      </c>
      <c r="L146" s="211" t="s">
        <v>64</v>
      </c>
      <c r="M146" s="143"/>
      <c r="N146" s="211" t="s">
        <v>915</v>
      </c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IFERROR(__xludf.DUMMYFUNCTION("FILTER('설정시트'!$D$7:$L$20,'설정시트'!$C$7:$C$20=I146)"),"약국")</f>
        <v>약국</v>
      </c>
      <c r="AC146" s="214" t="str">
        <f>IFERROR(__xludf.DUMMYFUNCTION("""COMPUTED_VALUE"""),"병원비")</f>
        <v>병원비</v>
      </c>
      <c r="AD146" s="214" t="str">
        <f>IFERROR(__xludf.DUMMYFUNCTION("""COMPUTED_VALUE"""),"영양제")</f>
        <v>영양제</v>
      </c>
      <c r="AE146" s="214" t="str">
        <f>IFERROR(__xludf.DUMMYFUNCTION("""COMPUTED_VALUE"""),"교통비")</f>
        <v>교통비</v>
      </c>
      <c r="AF146" s="214" t="str">
        <f>IFERROR(__xludf.DUMMYFUNCTION("""COMPUTED_VALUE"""),"주유비")</f>
        <v>주유비</v>
      </c>
      <c r="AG146" s="214"/>
      <c r="AH146" s="214" t="str">
        <f>IFERROR(__xludf.DUMMYFUNCTION("""COMPUTED_VALUE"""),"기타")</f>
        <v>기타</v>
      </c>
      <c r="AI146" s="214"/>
      <c r="AJ146" s="215"/>
    </row>
    <row r="147">
      <c r="H147" s="208">
        <v>45952.0</v>
      </c>
      <c r="I147" s="217" t="s">
        <v>26</v>
      </c>
      <c r="J147" s="217" t="s">
        <v>30</v>
      </c>
      <c r="K147" s="218">
        <v>34500.0</v>
      </c>
      <c r="L147" s="211" t="s">
        <v>60</v>
      </c>
      <c r="M147" s="143"/>
      <c r="N147" s="211" t="s">
        <v>922</v>
      </c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IFERROR(__xludf.DUMMYFUNCTION("FILTER('설정시트'!$D$7:$L$20,'설정시트'!$C$7:$C$20=I147)"),"식재료비")</f>
        <v>식재료비</v>
      </c>
      <c r="AC147" s="214" t="str">
        <f>IFERROR(__xludf.DUMMYFUNCTION("""COMPUTED_VALUE"""),"회사점심")</f>
        <v>회사점심</v>
      </c>
      <c r="AD147" s="214" t="str">
        <f>IFERROR(__xludf.DUMMYFUNCTION("""COMPUTED_VALUE"""),"간식/카페")</f>
        <v>간식/카페</v>
      </c>
      <c r="AE147" s="214" t="str">
        <f>IFERROR(__xludf.DUMMYFUNCTION("""COMPUTED_VALUE"""),"외식/배달")</f>
        <v>외식/배달</v>
      </c>
      <c r="AF147" s="214" t="str">
        <f>IFERROR(__xludf.DUMMYFUNCTION("""COMPUTED_VALUE"""),"기타")</f>
        <v>기타</v>
      </c>
      <c r="AG147" s="214"/>
      <c r="AH147" s="214"/>
      <c r="AI147" s="214"/>
      <c r="AJ147" s="215"/>
    </row>
    <row r="148">
      <c r="H148" s="208">
        <v>45952.0</v>
      </c>
      <c r="I148" s="217" t="s">
        <v>26</v>
      </c>
      <c r="J148" s="217" t="s">
        <v>29</v>
      </c>
      <c r="K148" s="218">
        <v>5500.0</v>
      </c>
      <c r="L148" s="211" t="s">
        <v>60</v>
      </c>
      <c r="M148" s="143"/>
      <c r="N148" s="211" t="s">
        <v>923</v>
      </c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IFERROR(__xludf.DUMMYFUNCTION("FILTER('설정시트'!$D$7:$L$20,'설정시트'!$C$7:$C$20=I148)"),"식재료비")</f>
        <v>식재료비</v>
      </c>
      <c r="AC148" s="214" t="str">
        <f>IFERROR(__xludf.DUMMYFUNCTION("""COMPUTED_VALUE"""),"회사점심")</f>
        <v>회사점심</v>
      </c>
      <c r="AD148" s="214" t="str">
        <f>IFERROR(__xludf.DUMMYFUNCTION("""COMPUTED_VALUE"""),"간식/카페")</f>
        <v>간식/카페</v>
      </c>
      <c r="AE148" s="214" t="str">
        <f>IFERROR(__xludf.DUMMYFUNCTION("""COMPUTED_VALUE"""),"외식/배달")</f>
        <v>외식/배달</v>
      </c>
      <c r="AF148" s="214" t="str">
        <f>IFERROR(__xludf.DUMMYFUNCTION("""COMPUTED_VALUE"""),"기타")</f>
        <v>기타</v>
      </c>
      <c r="AG148" s="214"/>
      <c r="AH148" s="214"/>
      <c r="AI148" s="214"/>
      <c r="AJ148" s="215"/>
    </row>
    <row r="149">
      <c r="H149" s="208">
        <v>45952.0</v>
      </c>
      <c r="I149" s="217" t="s">
        <v>26</v>
      </c>
      <c r="J149" s="217" t="s">
        <v>28</v>
      </c>
      <c r="K149" s="218">
        <v>19900.0</v>
      </c>
      <c r="L149" s="211" t="s">
        <v>60</v>
      </c>
      <c r="M149" s="143"/>
      <c r="N149" s="211" t="s">
        <v>924</v>
      </c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IFERROR(__xludf.DUMMYFUNCTION("FILTER('설정시트'!$D$7:$L$20,'설정시트'!$C$7:$C$20=I149)"),"식재료비")</f>
        <v>식재료비</v>
      </c>
      <c r="AC149" s="214" t="str">
        <f>IFERROR(__xludf.DUMMYFUNCTION("""COMPUTED_VALUE"""),"회사점심")</f>
        <v>회사점심</v>
      </c>
      <c r="AD149" s="214" t="str">
        <f>IFERROR(__xludf.DUMMYFUNCTION("""COMPUTED_VALUE"""),"간식/카페")</f>
        <v>간식/카페</v>
      </c>
      <c r="AE149" s="214" t="str">
        <f>IFERROR(__xludf.DUMMYFUNCTION("""COMPUTED_VALUE"""),"외식/배달")</f>
        <v>외식/배달</v>
      </c>
      <c r="AF149" s="214" t="str">
        <f>IFERROR(__xludf.DUMMYFUNCTION("""COMPUTED_VALUE"""),"기타")</f>
        <v>기타</v>
      </c>
      <c r="AG149" s="214"/>
      <c r="AH149" s="214"/>
      <c r="AI149" s="214"/>
      <c r="AJ149" s="215"/>
    </row>
    <row r="150">
      <c r="H150" s="208">
        <v>45952.0</v>
      </c>
      <c r="I150" s="217" t="s">
        <v>45</v>
      </c>
      <c r="J150" s="217" t="s">
        <v>8</v>
      </c>
      <c r="K150" s="218">
        <v>46800.0</v>
      </c>
      <c r="L150" s="211" t="s">
        <v>62</v>
      </c>
      <c r="M150" s="143"/>
      <c r="N150" s="211" t="s">
        <v>925</v>
      </c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IFERROR(__xludf.DUMMYFUNCTION("FILTER('설정시트'!$D$7:$L$20,'설정시트'!$C$7:$C$20=I150)"),"약국")</f>
        <v>약국</v>
      </c>
      <c r="AC150" s="214" t="str">
        <f>IFERROR(__xludf.DUMMYFUNCTION("""COMPUTED_VALUE"""),"병원비")</f>
        <v>병원비</v>
      </c>
      <c r="AD150" s="214" t="str">
        <f>IFERROR(__xludf.DUMMYFUNCTION("""COMPUTED_VALUE"""),"영양제")</f>
        <v>영양제</v>
      </c>
      <c r="AE150" s="214" t="str">
        <f>IFERROR(__xludf.DUMMYFUNCTION("""COMPUTED_VALUE"""),"교통비")</f>
        <v>교통비</v>
      </c>
      <c r="AF150" s="214" t="str">
        <f>IFERROR(__xludf.DUMMYFUNCTION("""COMPUTED_VALUE"""),"주유비")</f>
        <v>주유비</v>
      </c>
      <c r="AG150" s="214"/>
      <c r="AH150" s="214" t="str">
        <f>IFERROR(__xludf.DUMMYFUNCTION("""COMPUTED_VALUE"""),"기타")</f>
        <v>기타</v>
      </c>
      <c r="AI150" s="214"/>
      <c r="AJ150" s="215"/>
    </row>
    <row r="151">
      <c r="H151" s="208">
        <v>45952.0</v>
      </c>
      <c r="I151" s="217" t="s">
        <v>45</v>
      </c>
      <c r="J151" s="217" t="s">
        <v>41</v>
      </c>
      <c r="K151" s="218">
        <v>36000.0</v>
      </c>
      <c r="L151" s="211" t="s">
        <v>64</v>
      </c>
      <c r="M151" s="143"/>
      <c r="N151" s="211" t="s">
        <v>926</v>
      </c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IFERROR(__xludf.DUMMYFUNCTION("FILTER('설정시트'!$D$7:$L$20,'설정시트'!$C$7:$C$20=I151)"),"약국")</f>
        <v>약국</v>
      </c>
      <c r="AC151" s="214" t="str">
        <f>IFERROR(__xludf.DUMMYFUNCTION("""COMPUTED_VALUE"""),"병원비")</f>
        <v>병원비</v>
      </c>
      <c r="AD151" s="214" t="str">
        <f>IFERROR(__xludf.DUMMYFUNCTION("""COMPUTED_VALUE"""),"영양제")</f>
        <v>영양제</v>
      </c>
      <c r="AE151" s="214" t="str">
        <f>IFERROR(__xludf.DUMMYFUNCTION("""COMPUTED_VALUE"""),"교통비")</f>
        <v>교통비</v>
      </c>
      <c r="AF151" s="214" t="str">
        <f>IFERROR(__xludf.DUMMYFUNCTION("""COMPUTED_VALUE"""),"주유비")</f>
        <v>주유비</v>
      </c>
      <c r="AG151" s="214"/>
      <c r="AH151" s="214" t="str">
        <f>IFERROR(__xludf.DUMMYFUNCTION("""COMPUTED_VALUE"""),"기타")</f>
        <v>기타</v>
      </c>
      <c r="AI151" s="214"/>
      <c r="AJ151" s="215"/>
    </row>
    <row r="152">
      <c r="H152" s="208">
        <v>45953.0</v>
      </c>
      <c r="I152" s="217" t="s">
        <v>26</v>
      </c>
      <c r="J152" s="217" t="s">
        <v>28</v>
      </c>
      <c r="K152" s="218">
        <v>10000.0</v>
      </c>
      <c r="L152" s="211" t="s">
        <v>60</v>
      </c>
      <c r="M152" s="143"/>
      <c r="N152" s="211" t="s">
        <v>927</v>
      </c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IFERROR(__xludf.DUMMYFUNCTION("FILTER('설정시트'!$D$7:$L$20,'설정시트'!$C$7:$C$20=I152)"),"식재료비")</f>
        <v>식재료비</v>
      </c>
      <c r="AC152" s="214" t="str">
        <f>IFERROR(__xludf.DUMMYFUNCTION("""COMPUTED_VALUE"""),"회사점심")</f>
        <v>회사점심</v>
      </c>
      <c r="AD152" s="214" t="str">
        <f>IFERROR(__xludf.DUMMYFUNCTION("""COMPUTED_VALUE"""),"간식/카페")</f>
        <v>간식/카페</v>
      </c>
      <c r="AE152" s="214" t="str">
        <f>IFERROR(__xludf.DUMMYFUNCTION("""COMPUTED_VALUE"""),"외식/배달")</f>
        <v>외식/배달</v>
      </c>
      <c r="AF152" s="214" t="str">
        <f>IFERROR(__xludf.DUMMYFUNCTION("""COMPUTED_VALUE"""),"기타")</f>
        <v>기타</v>
      </c>
      <c r="AG152" s="214"/>
      <c r="AH152" s="214"/>
      <c r="AI152" s="214"/>
      <c r="AJ152" s="215"/>
    </row>
    <row r="153">
      <c r="H153" s="208">
        <v>45953.0</v>
      </c>
      <c r="I153" s="217" t="s">
        <v>26</v>
      </c>
      <c r="J153" s="217" t="s">
        <v>27</v>
      </c>
      <c r="K153" s="218">
        <v>7980.0</v>
      </c>
      <c r="L153" s="211" t="s">
        <v>60</v>
      </c>
      <c r="M153" s="143"/>
      <c r="N153" s="211" t="s">
        <v>928</v>
      </c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IFERROR(__xludf.DUMMYFUNCTION("FILTER('설정시트'!$D$7:$L$20,'설정시트'!$C$7:$C$20=I153)"),"식재료비")</f>
        <v>식재료비</v>
      </c>
      <c r="AC153" s="214" t="str">
        <f>IFERROR(__xludf.DUMMYFUNCTION("""COMPUTED_VALUE"""),"회사점심")</f>
        <v>회사점심</v>
      </c>
      <c r="AD153" s="214" t="str">
        <f>IFERROR(__xludf.DUMMYFUNCTION("""COMPUTED_VALUE"""),"간식/카페")</f>
        <v>간식/카페</v>
      </c>
      <c r="AE153" s="214" t="str">
        <f>IFERROR(__xludf.DUMMYFUNCTION("""COMPUTED_VALUE"""),"외식/배달")</f>
        <v>외식/배달</v>
      </c>
      <c r="AF153" s="214" t="str">
        <f>IFERROR(__xludf.DUMMYFUNCTION("""COMPUTED_VALUE"""),"기타")</f>
        <v>기타</v>
      </c>
      <c r="AG153" s="214"/>
      <c r="AH153" s="214"/>
      <c r="AI153" s="214"/>
      <c r="AJ153" s="215"/>
    </row>
    <row r="154">
      <c r="H154" s="208">
        <v>45953.0</v>
      </c>
      <c r="I154" s="217" t="s">
        <v>3</v>
      </c>
      <c r="J154" s="217" t="s">
        <v>4</v>
      </c>
      <c r="K154" s="218">
        <v>3312520.0</v>
      </c>
      <c r="L154" s="211"/>
      <c r="M154" s="143"/>
      <c r="N154" s="211" t="s">
        <v>929</v>
      </c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IFERROR(__xludf.DUMMYFUNCTION("FILTER('설정시트'!$D$7:$L$20,'설정시트'!$C$7:$C$20=I154)"),"🍪 월급")</f>
        <v>🍪 월급</v>
      </c>
      <c r="AC154" s="214" t="str">
        <f>IFERROR(__xludf.DUMMYFUNCTION("""COMPUTED_VALUE"""),"🍪 부수입")</f>
        <v>🍪 부수입</v>
      </c>
      <c r="AD154" s="214" t="str">
        <f>IFERROR(__xludf.DUMMYFUNCTION("""COMPUTED_VALUE"""),"🐻 월급")</f>
        <v>🐻 월급</v>
      </c>
      <c r="AE154" s="214" t="str">
        <f>IFERROR(__xludf.DUMMYFUNCTION("""COMPUTED_VALUE"""),"🐻 부수입")</f>
        <v>🐻 부수입</v>
      </c>
      <c r="AF154" s="214" t="str">
        <f>IFERROR(__xludf.DUMMYFUNCTION("""COMPUTED_VALUE"""),"기타")</f>
        <v>기타</v>
      </c>
      <c r="AG154" s="214"/>
      <c r="AH154" s="214"/>
      <c r="AI154" s="214"/>
      <c r="AJ154" s="215"/>
    </row>
    <row r="155">
      <c r="H155" s="208">
        <v>45953.0</v>
      </c>
      <c r="I155" s="217" t="s">
        <v>45</v>
      </c>
      <c r="J155" s="217" t="s">
        <v>41</v>
      </c>
      <c r="K155" s="218">
        <v>22000.0</v>
      </c>
      <c r="L155" s="211" t="s">
        <v>64</v>
      </c>
      <c r="M155" s="143"/>
      <c r="N155" s="211" t="s">
        <v>926</v>
      </c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IFERROR(__xludf.DUMMYFUNCTION("FILTER('설정시트'!$D$7:$L$20,'설정시트'!$C$7:$C$20=I155)"),"약국")</f>
        <v>약국</v>
      </c>
      <c r="AC155" s="214" t="str">
        <f>IFERROR(__xludf.DUMMYFUNCTION("""COMPUTED_VALUE"""),"병원비")</f>
        <v>병원비</v>
      </c>
      <c r="AD155" s="214" t="str">
        <f>IFERROR(__xludf.DUMMYFUNCTION("""COMPUTED_VALUE"""),"영양제")</f>
        <v>영양제</v>
      </c>
      <c r="AE155" s="214" t="str">
        <f>IFERROR(__xludf.DUMMYFUNCTION("""COMPUTED_VALUE"""),"교통비")</f>
        <v>교통비</v>
      </c>
      <c r="AF155" s="214" t="str">
        <f>IFERROR(__xludf.DUMMYFUNCTION("""COMPUTED_VALUE"""),"주유비")</f>
        <v>주유비</v>
      </c>
      <c r="AG155" s="214"/>
      <c r="AH155" s="214" t="str">
        <f>IFERROR(__xludf.DUMMYFUNCTION("""COMPUTED_VALUE"""),"기타")</f>
        <v>기타</v>
      </c>
      <c r="AI155" s="214"/>
      <c r="AJ155" s="215"/>
    </row>
    <row r="156">
      <c r="H156" s="208">
        <v>45954.0</v>
      </c>
      <c r="I156" s="217" t="s">
        <v>39</v>
      </c>
      <c r="J156" s="217" t="s">
        <v>8</v>
      </c>
      <c r="K156" s="218">
        <v>100000.0</v>
      </c>
      <c r="L156" s="211" t="s">
        <v>60</v>
      </c>
      <c r="M156" s="143"/>
      <c r="N156" s="211" t="s">
        <v>930</v>
      </c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IFERROR(__xludf.DUMMYFUNCTION("FILTER('설정시트'!$D$7:$L$20,'설정시트'!$C$7:$C$20=I156)"),"약국")</f>
        <v>약국</v>
      </c>
      <c r="AC156" s="214" t="str">
        <f>IFERROR(__xludf.DUMMYFUNCTION("""COMPUTED_VALUE"""),"병원비")</f>
        <v>병원비</v>
      </c>
      <c r="AD156" s="214" t="str">
        <f>IFERROR(__xludf.DUMMYFUNCTION("""COMPUTED_VALUE"""),"영양제")</f>
        <v>영양제</v>
      </c>
      <c r="AE156" s="214" t="str">
        <f>IFERROR(__xludf.DUMMYFUNCTION("""COMPUTED_VALUE"""),"교통비")</f>
        <v>교통비</v>
      </c>
      <c r="AF156" s="214" t="str">
        <f>IFERROR(__xludf.DUMMYFUNCTION("""COMPUTED_VALUE"""),"주유비")</f>
        <v>주유비</v>
      </c>
      <c r="AG156" s="214"/>
      <c r="AH156" s="214" t="str">
        <f>IFERROR(__xludf.DUMMYFUNCTION("""COMPUTED_VALUE"""),"기타")</f>
        <v>기타</v>
      </c>
      <c r="AI156" s="214"/>
      <c r="AJ156" s="215"/>
    </row>
    <row r="157">
      <c r="H157" s="208">
        <v>45954.0</v>
      </c>
      <c r="I157" s="217" t="s">
        <v>26</v>
      </c>
      <c r="J157" s="217" t="s">
        <v>28</v>
      </c>
      <c r="K157" s="218">
        <v>11800.0</v>
      </c>
      <c r="L157" s="211" t="s">
        <v>60</v>
      </c>
      <c r="M157" s="143"/>
      <c r="N157" s="211" t="s">
        <v>931</v>
      </c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IFERROR(__xludf.DUMMYFUNCTION("FILTER('설정시트'!$D$7:$L$20,'설정시트'!$C$7:$C$20=I157)"),"식재료비")</f>
        <v>식재료비</v>
      </c>
      <c r="AC157" s="214" t="str">
        <f>IFERROR(__xludf.DUMMYFUNCTION("""COMPUTED_VALUE"""),"회사점심")</f>
        <v>회사점심</v>
      </c>
      <c r="AD157" s="214" t="str">
        <f>IFERROR(__xludf.DUMMYFUNCTION("""COMPUTED_VALUE"""),"간식/카페")</f>
        <v>간식/카페</v>
      </c>
      <c r="AE157" s="214" t="str">
        <f>IFERROR(__xludf.DUMMYFUNCTION("""COMPUTED_VALUE"""),"외식/배달")</f>
        <v>외식/배달</v>
      </c>
      <c r="AF157" s="214" t="str">
        <f>IFERROR(__xludf.DUMMYFUNCTION("""COMPUTED_VALUE"""),"기타")</f>
        <v>기타</v>
      </c>
      <c r="AG157" s="214"/>
      <c r="AH157" s="214"/>
      <c r="AI157" s="214"/>
      <c r="AJ157" s="215"/>
    </row>
    <row r="158">
      <c r="H158" s="208">
        <v>45954.0</v>
      </c>
      <c r="I158" s="217" t="s">
        <v>31</v>
      </c>
      <c r="J158" s="217" t="s">
        <v>29</v>
      </c>
      <c r="K158" s="218">
        <v>2200.0</v>
      </c>
      <c r="L158" s="211" t="s">
        <v>64</v>
      </c>
      <c r="M158" s="143"/>
      <c r="N158" s="211" t="s">
        <v>932</v>
      </c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IFERROR(__xludf.DUMMYFUNCTION("FILTER('설정시트'!$D$7:$L$20,'설정시트'!$C$7:$C$20=I158)"),"식재료비")</f>
        <v>식재료비</v>
      </c>
      <c r="AC158" s="214" t="str">
        <f>IFERROR(__xludf.DUMMYFUNCTION("""COMPUTED_VALUE"""),"회사점심")</f>
        <v>회사점심</v>
      </c>
      <c r="AD158" s="214" t="str">
        <f>IFERROR(__xludf.DUMMYFUNCTION("""COMPUTED_VALUE"""),"간식/카페")</f>
        <v>간식/카페</v>
      </c>
      <c r="AE158" s="214" t="str">
        <f>IFERROR(__xludf.DUMMYFUNCTION("""COMPUTED_VALUE"""),"외식/배달")</f>
        <v>외식/배달</v>
      </c>
      <c r="AF158" s="214" t="str">
        <f>IFERROR(__xludf.DUMMYFUNCTION("""COMPUTED_VALUE"""),"기타")</f>
        <v>기타</v>
      </c>
      <c r="AG158" s="214"/>
      <c r="AH158" s="214"/>
      <c r="AI158" s="214"/>
      <c r="AJ158" s="215"/>
    </row>
    <row r="159">
      <c r="H159" s="208">
        <v>45954.0</v>
      </c>
      <c r="I159" s="217" t="s">
        <v>45</v>
      </c>
      <c r="J159" s="217" t="s">
        <v>41</v>
      </c>
      <c r="K159" s="218">
        <v>22000.0</v>
      </c>
      <c r="L159" s="211" t="s">
        <v>64</v>
      </c>
      <c r="M159" s="143"/>
      <c r="N159" s="211" t="s">
        <v>926</v>
      </c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IFERROR(__xludf.DUMMYFUNCTION("FILTER('설정시트'!$D$7:$L$20,'설정시트'!$C$7:$C$20=I159)"),"약국")</f>
        <v>약국</v>
      </c>
      <c r="AC159" s="214" t="str">
        <f>IFERROR(__xludf.DUMMYFUNCTION("""COMPUTED_VALUE"""),"병원비")</f>
        <v>병원비</v>
      </c>
      <c r="AD159" s="214" t="str">
        <f>IFERROR(__xludf.DUMMYFUNCTION("""COMPUTED_VALUE"""),"영양제")</f>
        <v>영양제</v>
      </c>
      <c r="AE159" s="214" t="str">
        <f>IFERROR(__xludf.DUMMYFUNCTION("""COMPUTED_VALUE"""),"교통비")</f>
        <v>교통비</v>
      </c>
      <c r="AF159" s="214" t="str">
        <f>IFERROR(__xludf.DUMMYFUNCTION("""COMPUTED_VALUE"""),"주유비")</f>
        <v>주유비</v>
      </c>
      <c r="AG159" s="214"/>
      <c r="AH159" s="214" t="str">
        <f>IFERROR(__xludf.DUMMYFUNCTION("""COMPUTED_VALUE"""),"기타")</f>
        <v>기타</v>
      </c>
      <c r="AI159" s="214"/>
      <c r="AJ159" s="215"/>
    </row>
    <row r="160">
      <c r="H160" s="208">
        <v>45954.0</v>
      </c>
      <c r="I160" s="217" t="s">
        <v>31</v>
      </c>
      <c r="J160" s="217" t="s">
        <v>30</v>
      </c>
      <c r="K160" s="218">
        <v>34000.0</v>
      </c>
      <c r="L160" s="211" t="s">
        <v>64</v>
      </c>
      <c r="M160" s="143"/>
      <c r="N160" s="211" t="s">
        <v>804</v>
      </c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IFERROR(__xludf.DUMMYFUNCTION("FILTER('설정시트'!$D$7:$L$20,'설정시트'!$C$7:$C$20=I160)"),"식재료비")</f>
        <v>식재료비</v>
      </c>
      <c r="AC160" s="214" t="str">
        <f>IFERROR(__xludf.DUMMYFUNCTION("""COMPUTED_VALUE"""),"회사점심")</f>
        <v>회사점심</v>
      </c>
      <c r="AD160" s="214" t="str">
        <f>IFERROR(__xludf.DUMMYFUNCTION("""COMPUTED_VALUE"""),"간식/카페")</f>
        <v>간식/카페</v>
      </c>
      <c r="AE160" s="214" t="str">
        <f>IFERROR(__xludf.DUMMYFUNCTION("""COMPUTED_VALUE"""),"외식/배달")</f>
        <v>외식/배달</v>
      </c>
      <c r="AF160" s="214" t="str">
        <f>IFERROR(__xludf.DUMMYFUNCTION("""COMPUTED_VALUE"""),"기타")</f>
        <v>기타</v>
      </c>
      <c r="AG160" s="214"/>
      <c r="AH160" s="214"/>
      <c r="AI160" s="214"/>
      <c r="AJ160" s="215"/>
    </row>
    <row r="161">
      <c r="H161" s="208">
        <v>45955.0</v>
      </c>
      <c r="I161" s="217" t="s">
        <v>31</v>
      </c>
      <c r="J161" s="217" t="s">
        <v>29</v>
      </c>
      <c r="K161" s="218">
        <v>2000.0</v>
      </c>
      <c r="L161" s="211" t="s">
        <v>64</v>
      </c>
      <c r="M161" s="143"/>
      <c r="N161" s="211" t="s">
        <v>932</v>
      </c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IFERROR(__xludf.DUMMYFUNCTION("FILTER('설정시트'!$D$7:$L$20,'설정시트'!$C$7:$C$20=I161)"),"식재료비")</f>
        <v>식재료비</v>
      </c>
      <c r="AC161" s="214" t="str">
        <f>IFERROR(__xludf.DUMMYFUNCTION("""COMPUTED_VALUE"""),"회사점심")</f>
        <v>회사점심</v>
      </c>
      <c r="AD161" s="214" t="str">
        <f>IFERROR(__xludf.DUMMYFUNCTION("""COMPUTED_VALUE"""),"간식/카페")</f>
        <v>간식/카페</v>
      </c>
      <c r="AE161" s="214" t="str">
        <f>IFERROR(__xludf.DUMMYFUNCTION("""COMPUTED_VALUE"""),"외식/배달")</f>
        <v>외식/배달</v>
      </c>
      <c r="AF161" s="214" t="str">
        <f>IFERROR(__xludf.DUMMYFUNCTION("""COMPUTED_VALUE"""),"기타")</f>
        <v>기타</v>
      </c>
      <c r="AG161" s="214"/>
      <c r="AH161" s="214"/>
      <c r="AI161" s="214"/>
      <c r="AJ161" s="215"/>
    </row>
    <row r="162">
      <c r="H162" s="208">
        <v>45955.0</v>
      </c>
      <c r="I162" s="217" t="s">
        <v>32</v>
      </c>
      <c r="J162" s="217" t="s">
        <v>33</v>
      </c>
      <c r="K162" s="218">
        <v>400000.0</v>
      </c>
      <c r="L162" s="211" t="s">
        <v>64</v>
      </c>
      <c r="M162" s="143"/>
      <c r="N162" s="211" t="s">
        <v>933</v>
      </c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IFERROR(__xludf.DUMMYFUNCTION("FILTER('설정시트'!$D$7:$L$20,'설정시트'!$C$7:$C$20=I162)"),"의류/잡화")</f>
        <v>의류/잡화</v>
      </c>
      <c r="AC162" s="214" t="str">
        <f>IFERROR(__xludf.DUMMYFUNCTION("""COMPUTED_VALUE"""),"OTT")</f>
        <v>OTT</v>
      </c>
      <c r="AD162" s="214" t="str">
        <f>IFERROR(__xludf.DUMMYFUNCTION("""COMPUTED_VALUE"""),"문화생활")</f>
        <v>문화생활</v>
      </c>
      <c r="AE162" s="214" t="str">
        <f>IFERROR(__xludf.DUMMYFUNCTION("""COMPUTED_VALUE"""),"자기계발")</f>
        <v>자기계발</v>
      </c>
      <c r="AF162" s="214" t="str">
        <f>IFERROR(__xludf.DUMMYFUNCTION("""COMPUTED_VALUE"""),"미용")</f>
        <v>미용</v>
      </c>
      <c r="AG162" s="214"/>
      <c r="AH162" s="214" t="str">
        <f>IFERROR(__xludf.DUMMYFUNCTION("""COMPUTED_VALUE"""),"기타")</f>
        <v>기타</v>
      </c>
      <c r="AI162" s="214"/>
      <c r="AJ162" s="215"/>
    </row>
    <row r="163">
      <c r="H163" s="208">
        <v>45955.0</v>
      </c>
      <c r="I163" s="217" t="s">
        <v>45</v>
      </c>
      <c r="J163" s="217" t="s">
        <v>43</v>
      </c>
      <c r="K163" s="218">
        <v>2000.0</v>
      </c>
      <c r="L163" s="211" t="s">
        <v>64</v>
      </c>
      <c r="M163" s="143"/>
      <c r="N163" s="211" t="s">
        <v>934</v>
      </c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IFERROR(__xludf.DUMMYFUNCTION("FILTER('설정시트'!$D$7:$L$20,'설정시트'!$C$7:$C$20=I163)"),"약국")</f>
        <v>약국</v>
      </c>
      <c r="AC163" s="214" t="str">
        <f>IFERROR(__xludf.DUMMYFUNCTION("""COMPUTED_VALUE"""),"병원비")</f>
        <v>병원비</v>
      </c>
      <c r="AD163" s="214" t="str">
        <f>IFERROR(__xludf.DUMMYFUNCTION("""COMPUTED_VALUE"""),"영양제")</f>
        <v>영양제</v>
      </c>
      <c r="AE163" s="214" t="str">
        <f>IFERROR(__xludf.DUMMYFUNCTION("""COMPUTED_VALUE"""),"교통비")</f>
        <v>교통비</v>
      </c>
      <c r="AF163" s="214" t="str">
        <f>IFERROR(__xludf.DUMMYFUNCTION("""COMPUTED_VALUE"""),"주유비")</f>
        <v>주유비</v>
      </c>
      <c r="AG163" s="214"/>
      <c r="AH163" s="214" t="str">
        <f>IFERROR(__xludf.DUMMYFUNCTION("""COMPUTED_VALUE"""),"기타")</f>
        <v>기타</v>
      </c>
      <c r="AI163" s="214"/>
      <c r="AJ163" s="215"/>
    </row>
    <row r="164">
      <c r="H164" s="208">
        <v>45955.0</v>
      </c>
      <c r="I164" s="217" t="s">
        <v>32</v>
      </c>
      <c r="J164" s="217" t="s">
        <v>33</v>
      </c>
      <c r="K164" s="218">
        <v>240980.0</v>
      </c>
      <c r="L164" s="211" t="s">
        <v>64</v>
      </c>
      <c r="M164" s="143"/>
      <c r="N164" s="211" t="s">
        <v>935</v>
      </c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IFERROR(__xludf.DUMMYFUNCTION("FILTER('설정시트'!$D$7:$L$20,'설정시트'!$C$7:$C$20=I164)"),"의류/잡화")</f>
        <v>의류/잡화</v>
      </c>
      <c r="AC164" s="214" t="str">
        <f>IFERROR(__xludf.DUMMYFUNCTION("""COMPUTED_VALUE"""),"OTT")</f>
        <v>OTT</v>
      </c>
      <c r="AD164" s="214" t="str">
        <f>IFERROR(__xludf.DUMMYFUNCTION("""COMPUTED_VALUE"""),"문화생활")</f>
        <v>문화생활</v>
      </c>
      <c r="AE164" s="214" t="str">
        <f>IFERROR(__xludf.DUMMYFUNCTION("""COMPUTED_VALUE"""),"자기계발")</f>
        <v>자기계발</v>
      </c>
      <c r="AF164" s="214" t="str">
        <f>IFERROR(__xludf.DUMMYFUNCTION("""COMPUTED_VALUE"""),"미용")</f>
        <v>미용</v>
      </c>
      <c r="AG164" s="214"/>
      <c r="AH164" s="214" t="str">
        <f>IFERROR(__xludf.DUMMYFUNCTION("""COMPUTED_VALUE"""),"기타")</f>
        <v>기타</v>
      </c>
      <c r="AI164" s="214"/>
      <c r="AJ164" s="215"/>
    </row>
    <row r="165">
      <c r="H165" s="208">
        <v>45956.0</v>
      </c>
      <c r="I165" s="217" t="s">
        <v>32</v>
      </c>
      <c r="J165" s="217" t="s">
        <v>33</v>
      </c>
      <c r="K165" s="218">
        <v>95000.0</v>
      </c>
      <c r="L165" s="211" t="s">
        <v>60</v>
      </c>
      <c r="M165" s="143"/>
      <c r="N165" s="211" t="s">
        <v>936</v>
      </c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IFERROR(__xludf.DUMMYFUNCTION("FILTER('설정시트'!$D$7:$L$20,'설정시트'!$C$7:$C$20=I165)"),"의류/잡화")</f>
        <v>의류/잡화</v>
      </c>
      <c r="AC165" s="214" t="str">
        <f>IFERROR(__xludf.DUMMYFUNCTION("""COMPUTED_VALUE"""),"OTT")</f>
        <v>OTT</v>
      </c>
      <c r="AD165" s="214" t="str">
        <f>IFERROR(__xludf.DUMMYFUNCTION("""COMPUTED_VALUE"""),"문화생활")</f>
        <v>문화생활</v>
      </c>
      <c r="AE165" s="214" t="str">
        <f>IFERROR(__xludf.DUMMYFUNCTION("""COMPUTED_VALUE"""),"자기계발")</f>
        <v>자기계발</v>
      </c>
      <c r="AF165" s="214" t="str">
        <f>IFERROR(__xludf.DUMMYFUNCTION("""COMPUTED_VALUE"""),"미용")</f>
        <v>미용</v>
      </c>
      <c r="AG165" s="214"/>
      <c r="AH165" s="214" t="str">
        <f>IFERROR(__xludf.DUMMYFUNCTION("""COMPUTED_VALUE"""),"기타")</f>
        <v>기타</v>
      </c>
      <c r="AI165" s="214"/>
      <c r="AJ165" s="215"/>
    </row>
    <row r="166">
      <c r="H166" s="208">
        <v>45957.0</v>
      </c>
      <c r="I166" s="217" t="s">
        <v>39</v>
      </c>
      <c r="J166" s="217" t="s">
        <v>41</v>
      </c>
      <c r="K166" s="218">
        <v>67600.0</v>
      </c>
      <c r="L166" s="211" t="s">
        <v>57</v>
      </c>
      <c r="M166" s="143"/>
      <c r="N166" s="211" t="s">
        <v>937</v>
      </c>
      <c r="O166" s="212"/>
      <c r="P166" s="212"/>
      <c r="Q166" s="143"/>
      <c r="R166" s="211" t="s">
        <v>884</v>
      </c>
      <c r="S166" s="212"/>
      <c r="T166" s="145"/>
      <c r="AB166" s="214" t="str">
        <f>IFERROR(__xludf.DUMMYFUNCTION("FILTER('설정시트'!$D$7:$L$20,'설정시트'!$C$7:$C$20=I166)"),"약국")</f>
        <v>약국</v>
      </c>
      <c r="AC166" s="214" t="str">
        <f>IFERROR(__xludf.DUMMYFUNCTION("""COMPUTED_VALUE"""),"병원비")</f>
        <v>병원비</v>
      </c>
      <c r="AD166" s="214" t="str">
        <f>IFERROR(__xludf.DUMMYFUNCTION("""COMPUTED_VALUE"""),"영양제")</f>
        <v>영양제</v>
      </c>
      <c r="AE166" s="214" t="str">
        <f>IFERROR(__xludf.DUMMYFUNCTION("""COMPUTED_VALUE"""),"교통비")</f>
        <v>교통비</v>
      </c>
      <c r="AF166" s="214" t="str">
        <f>IFERROR(__xludf.DUMMYFUNCTION("""COMPUTED_VALUE"""),"주유비")</f>
        <v>주유비</v>
      </c>
      <c r="AG166" s="214"/>
      <c r="AH166" s="214" t="str">
        <f>IFERROR(__xludf.DUMMYFUNCTION("""COMPUTED_VALUE"""),"기타")</f>
        <v>기타</v>
      </c>
      <c r="AI166" s="214"/>
      <c r="AJ166" s="215"/>
    </row>
    <row r="167">
      <c r="H167" s="208">
        <v>45957.0</v>
      </c>
      <c r="I167" s="217" t="s">
        <v>39</v>
      </c>
      <c r="J167" s="217" t="s">
        <v>40</v>
      </c>
      <c r="K167" s="218">
        <v>6000.0</v>
      </c>
      <c r="L167" s="211" t="s">
        <v>57</v>
      </c>
      <c r="M167" s="143"/>
      <c r="N167" s="211" t="s">
        <v>938</v>
      </c>
      <c r="O167" s="212"/>
      <c r="P167" s="212"/>
      <c r="Q167" s="143"/>
      <c r="R167" s="211" t="s">
        <v>884</v>
      </c>
      <c r="S167" s="212"/>
      <c r="T167" s="145"/>
      <c r="AB167" s="214" t="str">
        <f>IFERROR(__xludf.DUMMYFUNCTION("FILTER('설정시트'!$D$7:$L$20,'설정시트'!$C$7:$C$20=I167)"),"약국")</f>
        <v>약국</v>
      </c>
      <c r="AC167" s="214" t="str">
        <f>IFERROR(__xludf.DUMMYFUNCTION("""COMPUTED_VALUE"""),"병원비")</f>
        <v>병원비</v>
      </c>
      <c r="AD167" s="214" t="str">
        <f>IFERROR(__xludf.DUMMYFUNCTION("""COMPUTED_VALUE"""),"영양제")</f>
        <v>영양제</v>
      </c>
      <c r="AE167" s="214" t="str">
        <f>IFERROR(__xludf.DUMMYFUNCTION("""COMPUTED_VALUE"""),"교통비")</f>
        <v>교통비</v>
      </c>
      <c r="AF167" s="214" t="str">
        <f>IFERROR(__xludf.DUMMYFUNCTION("""COMPUTED_VALUE"""),"주유비")</f>
        <v>주유비</v>
      </c>
      <c r="AG167" s="214"/>
      <c r="AH167" s="214" t="str">
        <f>IFERROR(__xludf.DUMMYFUNCTION("""COMPUTED_VALUE"""),"기타")</f>
        <v>기타</v>
      </c>
      <c r="AI167" s="214"/>
      <c r="AJ167" s="215"/>
    </row>
    <row r="168">
      <c r="H168" s="208">
        <v>45957.0</v>
      </c>
      <c r="I168" s="217" t="s">
        <v>3</v>
      </c>
      <c r="J168" s="217" t="s">
        <v>7</v>
      </c>
      <c r="K168" s="218">
        <v>1305450.0</v>
      </c>
      <c r="L168" s="213"/>
      <c r="M168" s="143"/>
      <c r="N168" s="211" t="s">
        <v>939</v>
      </c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IFERROR(__xludf.DUMMYFUNCTION("FILTER('설정시트'!$D$7:$L$20,'설정시트'!$C$7:$C$20=I168)"),"🍪 월급")</f>
        <v>🍪 월급</v>
      </c>
      <c r="AC168" s="214" t="str">
        <f>IFERROR(__xludf.DUMMYFUNCTION("""COMPUTED_VALUE"""),"🍪 부수입")</f>
        <v>🍪 부수입</v>
      </c>
      <c r="AD168" s="214" t="str">
        <f>IFERROR(__xludf.DUMMYFUNCTION("""COMPUTED_VALUE"""),"🐻 월급")</f>
        <v>🐻 월급</v>
      </c>
      <c r="AE168" s="214" t="str">
        <f>IFERROR(__xludf.DUMMYFUNCTION("""COMPUTED_VALUE"""),"🐻 부수입")</f>
        <v>🐻 부수입</v>
      </c>
      <c r="AF168" s="214" t="str">
        <f>IFERROR(__xludf.DUMMYFUNCTION("""COMPUTED_VALUE"""),"기타")</f>
        <v>기타</v>
      </c>
      <c r="AG168" s="214"/>
      <c r="AH168" s="214"/>
      <c r="AI168" s="214"/>
      <c r="AJ168" s="215"/>
    </row>
    <row r="169">
      <c r="H169" s="208">
        <v>45957.0</v>
      </c>
      <c r="I169" s="217" t="s">
        <v>14</v>
      </c>
      <c r="J169" s="217" t="s">
        <v>19</v>
      </c>
      <c r="K169" s="218">
        <v>60840.0</v>
      </c>
      <c r="L169" s="211" t="s">
        <v>55</v>
      </c>
      <c r="M169" s="143"/>
      <c r="N169" s="211" t="s">
        <v>940</v>
      </c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IFERROR(__xludf.DUMMYFUNCTION("FILTER('설정시트'!$D$7:$L$20,'설정시트'!$C$7:$C$20=I169)"),"관리비")</f>
        <v>관리비</v>
      </c>
      <c r="AC169" s="214" t="str">
        <f>IFERROR(__xludf.DUMMYFUNCTION("""COMPUTED_VALUE"""),"월세")</f>
        <v>월세</v>
      </c>
      <c r="AD169" s="214" t="str">
        <f>IFERROR(__xludf.DUMMYFUNCTION("""COMPUTED_VALUE"""),"대출이자")</f>
        <v>대출이자</v>
      </c>
      <c r="AE169" s="214" t="str">
        <f>IFERROR(__xludf.DUMMYFUNCTION("""COMPUTED_VALUE"""),"통신비")</f>
        <v>통신비</v>
      </c>
      <c r="AF169" s="214" t="str">
        <f>IFERROR(__xludf.DUMMYFUNCTION("""COMPUTED_VALUE"""),"보험료")</f>
        <v>보험료</v>
      </c>
      <c r="AG169" s="214"/>
      <c r="AH169" s="214" t="str">
        <f>IFERROR(__xludf.DUMMYFUNCTION("""COMPUTED_VALUE"""),"곗돈")</f>
        <v>곗돈</v>
      </c>
      <c r="AI169" s="214"/>
      <c r="AJ169" s="215"/>
    </row>
    <row r="170">
      <c r="H170" s="208">
        <v>45957.0</v>
      </c>
      <c r="I170" s="217" t="s">
        <v>14</v>
      </c>
      <c r="J170" s="217" t="s">
        <v>19</v>
      </c>
      <c r="K170" s="218">
        <v>19460.0</v>
      </c>
      <c r="L170" s="211" t="s">
        <v>55</v>
      </c>
      <c r="M170" s="143"/>
      <c r="N170" s="211" t="s">
        <v>941</v>
      </c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IFERROR(__xludf.DUMMYFUNCTION("FILTER('설정시트'!$D$7:$L$20,'설정시트'!$C$7:$C$20=I170)"),"관리비")</f>
        <v>관리비</v>
      </c>
      <c r="AC170" s="214" t="str">
        <f>IFERROR(__xludf.DUMMYFUNCTION("""COMPUTED_VALUE"""),"월세")</f>
        <v>월세</v>
      </c>
      <c r="AD170" s="214" t="str">
        <f>IFERROR(__xludf.DUMMYFUNCTION("""COMPUTED_VALUE"""),"대출이자")</f>
        <v>대출이자</v>
      </c>
      <c r="AE170" s="214" t="str">
        <f>IFERROR(__xludf.DUMMYFUNCTION("""COMPUTED_VALUE"""),"통신비")</f>
        <v>통신비</v>
      </c>
      <c r="AF170" s="214" t="str">
        <f>IFERROR(__xludf.DUMMYFUNCTION("""COMPUTED_VALUE"""),"보험료")</f>
        <v>보험료</v>
      </c>
      <c r="AG170" s="214"/>
      <c r="AH170" s="214" t="str">
        <f>IFERROR(__xludf.DUMMYFUNCTION("""COMPUTED_VALUE"""),"곗돈")</f>
        <v>곗돈</v>
      </c>
      <c r="AI170" s="214"/>
      <c r="AJ170" s="215"/>
    </row>
    <row r="171">
      <c r="H171" s="208">
        <v>45957.0</v>
      </c>
      <c r="I171" s="217" t="s">
        <v>14</v>
      </c>
      <c r="J171" s="217" t="s">
        <v>19</v>
      </c>
      <c r="K171" s="218">
        <v>100000.0</v>
      </c>
      <c r="L171" s="211" t="s">
        <v>55</v>
      </c>
      <c r="M171" s="143"/>
      <c r="N171" s="211" t="s">
        <v>699</v>
      </c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IFERROR(__xludf.DUMMYFUNCTION("FILTER('설정시트'!$D$7:$L$20,'설정시트'!$C$7:$C$20=I171)"),"관리비")</f>
        <v>관리비</v>
      </c>
      <c r="AC171" s="214" t="str">
        <f>IFERROR(__xludf.DUMMYFUNCTION("""COMPUTED_VALUE"""),"월세")</f>
        <v>월세</v>
      </c>
      <c r="AD171" s="214" t="str">
        <f>IFERROR(__xludf.DUMMYFUNCTION("""COMPUTED_VALUE"""),"대출이자")</f>
        <v>대출이자</v>
      </c>
      <c r="AE171" s="214" t="str">
        <f>IFERROR(__xludf.DUMMYFUNCTION("""COMPUTED_VALUE"""),"통신비")</f>
        <v>통신비</v>
      </c>
      <c r="AF171" s="214" t="str">
        <f>IFERROR(__xludf.DUMMYFUNCTION("""COMPUTED_VALUE"""),"보험료")</f>
        <v>보험료</v>
      </c>
      <c r="AG171" s="214"/>
      <c r="AH171" s="214" t="str">
        <f>IFERROR(__xludf.DUMMYFUNCTION("""COMPUTED_VALUE"""),"곗돈")</f>
        <v>곗돈</v>
      </c>
      <c r="AI171" s="214"/>
      <c r="AJ171" s="215"/>
    </row>
    <row r="172">
      <c r="H172" s="208">
        <v>45957.0</v>
      </c>
      <c r="I172" s="217" t="s">
        <v>14</v>
      </c>
      <c r="J172" s="217" t="s">
        <v>20</v>
      </c>
      <c r="K172" s="218">
        <v>20000.0</v>
      </c>
      <c r="L172" s="211" t="s">
        <v>55</v>
      </c>
      <c r="M172" s="143"/>
      <c r="N172" s="211" t="s">
        <v>20</v>
      </c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IFERROR(__xludf.DUMMYFUNCTION("FILTER('설정시트'!$D$7:$L$20,'설정시트'!$C$7:$C$20=I172)"),"관리비")</f>
        <v>관리비</v>
      </c>
      <c r="AC172" s="214" t="str">
        <f>IFERROR(__xludf.DUMMYFUNCTION("""COMPUTED_VALUE"""),"월세")</f>
        <v>월세</v>
      </c>
      <c r="AD172" s="214" t="str">
        <f>IFERROR(__xludf.DUMMYFUNCTION("""COMPUTED_VALUE"""),"대출이자")</f>
        <v>대출이자</v>
      </c>
      <c r="AE172" s="214" t="str">
        <f>IFERROR(__xludf.DUMMYFUNCTION("""COMPUTED_VALUE"""),"통신비")</f>
        <v>통신비</v>
      </c>
      <c r="AF172" s="214" t="str">
        <f>IFERROR(__xludf.DUMMYFUNCTION("""COMPUTED_VALUE"""),"보험료")</f>
        <v>보험료</v>
      </c>
      <c r="AG172" s="214"/>
      <c r="AH172" s="214" t="str">
        <f>IFERROR(__xludf.DUMMYFUNCTION("""COMPUTED_VALUE"""),"곗돈")</f>
        <v>곗돈</v>
      </c>
      <c r="AI172" s="214"/>
      <c r="AJ172" s="215"/>
    </row>
    <row r="173">
      <c r="H173" s="208">
        <v>45957.0</v>
      </c>
      <c r="I173" s="217" t="s">
        <v>21</v>
      </c>
      <c r="J173" s="217" t="s">
        <v>19</v>
      </c>
      <c r="K173" s="218">
        <v>88010.0</v>
      </c>
      <c r="L173" s="211" t="s">
        <v>61</v>
      </c>
      <c r="M173" s="143"/>
      <c r="N173" s="211" t="s">
        <v>282</v>
      </c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IFERROR(__xludf.DUMMYFUNCTION("FILTER('설정시트'!$D$7:$L$20,'설정시트'!$C$7:$C$20=I173)"),"관리비")</f>
        <v>관리비</v>
      </c>
      <c r="AC173" s="214" t="str">
        <f>IFERROR(__xludf.DUMMYFUNCTION("""COMPUTED_VALUE"""),"대출이자")</f>
        <v>대출이자</v>
      </c>
      <c r="AD173" s="214" t="str">
        <f>IFERROR(__xludf.DUMMYFUNCTION("""COMPUTED_VALUE"""),"통신비")</f>
        <v>통신비</v>
      </c>
      <c r="AE173" s="214" t="str">
        <f>IFERROR(__xludf.DUMMYFUNCTION("""COMPUTED_VALUE"""),"보험료")</f>
        <v>보험료</v>
      </c>
      <c r="AF173" s="214" t="str">
        <f>IFERROR(__xludf.DUMMYFUNCTION("""COMPUTED_VALUE"""),"곗돈")</f>
        <v>곗돈</v>
      </c>
      <c r="AG173" s="214"/>
      <c r="AH173" s="214"/>
      <c r="AI173" s="214"/>
      <c r="AJ173" s="215"/>
    </row>
    <row r="174">
      <c r="H174" s="208">
        <v>45957.0</v>
      </c>
      <c r="I174" s="217" t="s">
        <v>52</v>
      </c>
      <c r="J174" s="217" t="s">
        <v>47</v>
      </c>
      <c r="K174" s="218">
        <v>50000.0</v>
      </c>
      <c r="L174" s="211" t="s">
        <v>62</v>
      </c>
      <c r="M174" s="143"/>
      <c r="N174" s="211" t="s">
        <v>942</v>
      </c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IFERROR(__xludf.DUMMYFUNCTION("FILTER('설정시트'!$D$7:$L$20,'설정시트'!$C$7:$C$20=I174)"),"축의/부의금")</f>
        <v>축의/부의금</v>
      </c>
      <c r="AC174" s="214" t="str">
        <f>IFERROR(__xludf.DUMMYFUNCTION("""COMPUTED_VALUE"""),"생신/생일선물")</f>
        <v>생신/생일선물</v>
      </c>
      <c r="AD174" s="214" t="str">
        <f>IFERROR(__xludf.DUMMYFUNCTION("""COMPUTED_VALUE"""),"명절/어버이날")</f>
        <v>명절/어버이날</v>
      </c>
      <c r="AE174" s="214" t="str">
        <f>IFERROR(__xludf.DUMMYFUNCTION("""COMPUTED_VALUE"""),"여행")</f>
        <v>여행</v>
      </c>
      <c r="AF174" s="214" t="str">
        <f>IFERROR(__xludf.DUMMYFUNCTION("""COMPUTED_VALUE"""),"기타")</f>
        <v>기타</v>
      </c>
      <c r="AG174" s="214" t="str">
        <f>IFERROR(__xludf.DUMMYFUNCTION("""COMPUTED_VALUE"""),"출산")</f>
        <v>출산</v>
      </c>
      <c r="AH174" s="214"/>
      <c r="AI174" s="214"/>
      <c r="AJ174" s="215"/>
    </row>
    <row r="175">
      <c r="H175" s="208">
        <v>45957.0</v>
      </c>
      <c r="I175" s="217" t="s">
        <v>9</v>
      </c>
      <c r="J175" s="217" t="s">
        <v>13</v>
      </c>
      <c r="K175" s="218">
        <v>100000.0</v>
      </c>
      <c r="L175" s="211" t="s">
        <v>62</v>
      </c>
      <c r="M175" s="143"/>
      <c r="N175" s="211" t="s">
        <v>13</v>
      </c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IFERROR(__xludf.DUMMYFUNCTION("FILTER('설정시트'!$D$7:$L$20,'설정시트'!$C$7:$C$20=I175)"),"주택청약")</f>
        <v>주택청약</v>
      </c>
      <c r="AC175" s="214" t="str">
        <f>IFERROR(__xludf.DUMMYFUNCTION("""COMPUTED_VALUE"""),"우리은행")</f>
        <v>우리은행</v>
      </c>
      <c r="AD175" s="214" t="str">
        <f>IFERROR(__xludf.DUMMYFUNCTION("""COMPUTED_VALUE"""),"케이뱅크")</f>
        <v>케이뱅크</v>
      </c>
      <c r="AE175" s="214" t="str">
        <f>IFERROR(__xludf.DUMMYFUNCTION("""COMPUTED_VALUE"""),"연금저축")</f>
        <v>연금저축</v>
      </c>
      <c r="AF175" s="214"/>
      <c r="AG175" s="214"/>
      <c r="AH175" s="214"/>
      <c r="AI175" s="214"/>
      <c r="AJ175" s="215"/>
    </row>
    <row r="176">
      <c r="H176" s="208">
        <v>45957.0</v>
      </c>
      <c r="I176" s="217" t="s">
        <v>21</v>
      </c>
      <c r="J176" s="217" t="s">
        <v>20</v>
      </c>
      <c r="K176" s="218">
        <v>20000.0</v>
      </c>
      <c r="L176" s="211" t="s">
        <v>62</v>
      </c>
      <c r="M176" s="143"/>
      <c r="N176" s="211" t="s">
        <v>276</v>
      </c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IFERROR(__xludf.DUMMYFUNCTION("FILTER('설정시트'!$D$7:$L$20,'설정시트'!$C$7:$C$20=I176)"),"관리비")</f>
        <v>관리비</v>
      </c>
      <c r="AC176" s="214" t="str">
        <f>IFERROR(__xludf.DUMMYFUNCTION("""COMPUTED_VALUE"""),"대출이자")</f>
        <v>대출이자</v>
      </c>
      <c r="AD176" s="214" t="str">
        <f>IFERROR(__xludf.DUMMYFUNCTION("""COMPUTED_VALUE"""),"통신비")</f>
        <v>통신비</v>
      </c>
      <c r="AE176" s="214" t="str">
        <f>IFERROR(__xludf.DUMMYFUNCTION("""COMPUTED_VALUE"""),"보험료")</f>
        <v>보험료</v>
      </c>
      <c r="AF176" s="214" t="str">
        <f>IFERROR(__xludf.DUMMYFUNCTION("""COMPUTED_VALUE"""),"곗돈")</f>
        <v>곗돈</v>
      </c>
      <c r="AG176" s="214"/>
      <c r="AH176" s="214"/>
      <c r="AI176" s="214"/>
      <c r="AJ176" s="215"/>
    </row>
    <row r="177">
      <c r="H177" s="208">
        <v>45957.0</v>
      </c>
      <c r="I177" s="217" t="s">
        <v>45</v>
      </c>
      <c r="J177" s="217" t="s">
        <v>41</v>
      </c>
      <c r="K177" s="218">
        <v>22000.0</v>
      </c>
      <c r="L177" s="211" t="s">
        <v>64</v>
      </c>
      <c r="M177" s="143"/>
      <c r="N177" s="211" t="s">
        <v>926</v>
      </c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IFERROR(__xludf.DUMMYFUNCTION("FILTER('설정시트'!$D$7:$L$20,'설정시트'!$C$7:$C$20=I177)"),"약국")</f>
        <v>약국</v>
      </c>
      <c r="AC177" s="214" t="str">
        <f>IFERROR(__xludf.DUMMYFUNCTION("""COMPUTED_VALUE"""),"병원비")</f>
        <v>병원비</v>
      </c>
      <c r="AD177" s="214" t="str">
        <f>IFERROR(__xludf.DUMMYFUNCTION("""COMPUTED_VALUE"""),"영양제")</f>
        <v>영양제</v>
      </c>
      <c r="AE177" s="214" t="str">
        <f>IFERROR(__xludf.DUMMYFUNCTION("""COMPUTED_VALUE"""),"교통비")</f>
        <v>교통비</v>
      </c>
      <c r="AF177" s="214" t="str">
        <f>IFERROR(__xludf.DUMMYFUNCTION("""COMPUTED_VALUE"""),"주유비")</f>
        <v>주유비</v>
      </c>
      <c r="AG177" s="214"/>
      <c r="AH177" s="214" t="str">
        <f>IFERROR(__xludf.DUMMYFUNCTION("""COMPUTED_VALUE"""),"기타")</f>
        <v>기타</v>
      </c>
      <c r="AI177" s="214"/>
      <c r="AJ177" s="215"/>
    </row>
    <row r="178">
      <c r="H178" s="208">
        <v>45957.0</v>
      </c>
      <c r="I178" s="217" t="s">
        <v>31</v>
      </c>
      <c r="J178" s="217" t="s">
        <v>29</v>
      </c>
      <c r="K178" s="218">
        <v>1200.0</v>
      </c>
      <c r="L178" s="211" t="s">
        <v>64</v>
      </c>
      <c r="M178" s="143"/>
      <c r="N178" s="211" t="s">
        <v>861</v>
      </c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IFERROR(__xludf.DUMMYFUNCTION("FILTER('설정시트'!$D$7:$L$20,'설정시트'!$C$7:$C$20=I178)"),"식재료비")</f>
        <v>식재료비</v>
      </c>
      <c r="AC178" s="214" t="str">
        <f>IFERROR(__xludf.DUMMYFUNCTION("""COMPUTED_VALUE"""),"회사점심")</f>
        <v>회사점심</v>
      </c>
      <c r="AD178" s="214" t="str">
        <f>IFERROR(__xludf.DUMMYFUNCTION("""COMPUTED_VALUE"""),"간식/카페")</f>
        <v>간식/카페</v>
      </c>
      <c r="AE178" s="214" t="str">
        <f>IFERROR(__xludf.DUMMYFUNCTION("""COMPUTED_VALUE"""),"외식/배달")</f>
        <v>외식/배달</v>
      </c>
      <c r="AF178" s="214" t="str">
        <f>IFERROR(__xludf.DUMMYFUNCTION("""COMPUTED_VALUE"""),"기타")</f>
        <v>기타</v>
      </c>
      <c r="AG178" s="214"/>
      <c r="AH178" s="214"/>
      <c r="AI178" s="214"/>
      <c r="AJ178" s="215"/>
    </row>
    <row r="179">
      <c r="H179" s="208">
        <v>45958.0</v>
      </c>
      <c r="I179" s="217" t="s">
        <v>26</v>
      </c>
      <c r="J179" s="217" t="s">
        <v>27</v>
      </c>
      <c r="K179" s="218">
        <v>58900.0</v>
      </c>
      <c r="L179" s="211" t="s">
        <v>60</v>
      </c>
      <c r="M179" s="143"/>
      <c r="N179" s="211" t="s">
        <v>943</v>
      </c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IFERROR(__xludf.DUMMYFUNCTION("FILTER('설정시트'!$D$7:$L$20,'설정시트'!$C$7:$C$20=I179)"),"식재료비")</f>
        <v>식재료비</v>
      </c>
      <c r="AC179" s="214" t="str">
        <f>IFERROR(__xludf.DUMMYFUNCTION("""COMPUTED_VALUE"""),"회사점심")</f>
        <v>회사점심</v>
      </c>
      <c r="AD179" s="214" t="str">
        <f>IFERROR(__xludf.DUMMYFUNCTION("""COMPUTED_VALUE"""),"간식/카페")</f>
        <v>간식/카페</v>
      </c>
      <c r="AE179" s="214" t="str">
        <f>IFERROR(__xludf.DUMMYFUNCTION("""COMPUTED_VALUE"""),"외식/배달")</f>
        <v>외식/배달</v>
      </c>
      <c r="AF179" s="214" t="str">
        <f>IFERROR(__xludf.DUMMYFUNCTION("""COMPUTED_VALUE"""),"기타")</f>
        <v>기타</v>
      </c>
      <c r="AG179" s="214"/>
      <c r="AH179" s="214"/>
      <c r="AI179" s="214"/>
      <c r="AJ179" s="215"/>
    </row>
    <row r="180">
      <c r="H180" s="208">
        <v>45958.0</v>
      </c>
      <c r="I180" s="217" t="s">
        <v>26</v>
      </c>
      <c r="J180" s="217" t="s">
        <v>29</v>
      </c>
      <c r="K180" s="218">
        <v>2600.0</v>
      </c>
      <c r="L180" s="211" t="s">
        <v>60</v>
      </c>
      <c r="M180" s="143"/>
      <c r="N180" s="211" t="s">
        <v>944</v>
      </c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IFERROR(__xludf.DUMMYFUNCTION("FILTER('설정시트'!$D$7:$L$20,'설정시트'!$C$7:$C$20=I180)"),"식재료비")</f>
        <v>식재료비</v>
      </c>
      <c r="AC180" s="214" t="str">
        <f>IFERROR(__xludf.DUMMYFUNCTION("""COMPUTED_VALUE"""),"회사점심")</f>
        <v>회사점심</v>
      </c>
      <c r="AD180" s="214" t="str">
        <f>IFERROR(__xludf.DUMMYFUNCTION("""COMPUTED_VALUE"""),"간식/카페")</f>
        <v>간식/카페</v>
      </c>
      <c r="AE180" s="214" t="str">
        <f>IFERROR(__xludf.DUMMYFUNCTION("""COMPUTED_VALUE"""),"외식/배달")</f>
        <v>외식/배달</v>
      </c>
      <c r="AF180" s="214" t="str">
        <f>IFERROR(__xludf.DUMMYFUNCTION("""COMPUTED_VALUE"""),"기타")</f>
        <v>기타</v>
      </c>
      <c r="AG180" s="214"/>
      <c r="AH180" s="214"/>
      <c r="AI180" s="214"/>
      <c r="AJ180" s="215"/>
    </row>
    <row r="181">
      <c r="H181" s="208">
        <v>45958.0</v>
      </c>
      <c r="I181" s="217" t="s">
        <v>26</v>
      </c>
      <c r="J181" s="217" t="s">
        <v>28</v>
      </c>
      <c r="K181" s="218">
        <v>9200.0</v>
      </c>
      <c r="L181" s="211" t="s">
        <v>60</v>
      </c>
      <c r="M181" s="143"/>
      <c r="N181" s="211" t="s">
        <v>945</v>
      </c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IFERROR(__xludf.DUMMYFUNCTION("FILTER('설정시트'!$D$7:$L$20,'설정시트'!$C$7:$C$20=I181)"),"식재료비")</f>
        <v>식재료비</v>
      </c>
      <c r="AC181" s="214" t="str">
        <f>IFERROR(__xludf.DUMMYFUNCTION("""COMPUTED_VALUE"""),"회사점심")</f>
        <v>회사점심</v>
      </c>
      <c r="AD181" s="214" t="str">
        <f>IFERROR(__xludf.DUMMYFUNCTION("""COMPUTED_VALUE"""),"간식/카페")</f>
        <v>간식/카페</v>
      </c>
      <c r="AE181" s="214" t="str">
        <f>IFERROR(__xludf.DUMMYFUNCTION("""COMPUTED_VALUE"""),"외식/배달")</f>
        <v>외식/배달</v>
      </c>
      <c r="AF181" s="214" t="str">
        <f>IFERROR(__xludf.DUMMYFUNCTION("""COMPUTED_VALUE"""),"기타")</f>
        <v>기타</v>
      </c>
      <c r="AG181" s="214"/>
      <c r="AH181" s="214"/>
      <c r="AI181" s="214"/>
      <c r="AJ181" s="215"/>
    </row>
    <row r="182">
      <c r="H182" s="208">
        <v>45958.0</v>
      </c>
      <c r="I182" s="217" t="s">
        <v>45</v>
      </c>
      <c r="J182" s="217" t="s">
        <v>41</v>
      </c>
      <c r="K182" s="218">
        <v>22000.0</v>
      </c>
      <c r="L182" s="211" t="s">
        <v>61</v>
      </c>
      <c r="M182" s="143"/>
      <c r="N182" s="211" t="s">
        <v>946</v>
      </c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IFERROR(__xludf.DUMMYFUNCTION("FILTER('설정시트'!$D$7:$L$20,'설정시트'!$C$7:$C$20=I182)"),"약국")</f>
        <v>약국</v>
      </c>
      <c r="AC182" s="214" t="str">
        <f>IFERROR(__xludf.DUMMYFUNCTION("""COMPUTED_VALUE"""),"병원비")</f>
        <v>병원비</v>
      </c>
      <c r="AD182" s="214" t="str">
        <f>IFERROR(__xludf.DUMMYFUNCTION("""COMPUTED_VALUE"""),"영양제")</f>
        <v>영양제</v>
      </c>
      <c r="AE182" s="214" t="str">
        <f>IFERROR(__xludf.DUMMYFUNCTION("""COMPUTED_VALUE"""),"교통비")</f>
        <v>교통비</v>
      </c>
      <c r="AF182" s="214" t="str">
        <f>IFERROR(__xludf.DUMMYFUNCTION("""COMPUTED_VALUE"""),"주유비")</f>
        <v>주유비</v>
      </c>
      <c r="AG182" s="214"/>
      <c r="AH182" s="214" t="str">
        <f>IFERROR(__xludf.DUMMYFUNCTION("""COMPUTED_VALUE"""),"기타")</f>
        <v>기타</v>
      </c>
      <c r="AI182" s="214"/>
      <c r="AJ182" s="215"/>
    </row>
    <row r="183">
      <c r="H183" s="208">
        <v>45958.0</v>
      </c>
      <c r="I183" s="217" t="s">
        <v>31</v>
      </c>
      <c r="J183" s="217" t="s">
        <v>29</v>
      </c>
      <c r="K183" s="218">
        <v>1800.0</v>
      </c>
      <c r="L183" s="211" t="s">
        <v>64</v>
      </c>
      <c r="M183" s="143"/>
      <c r="N183" s="211" t="s">
        <v>947</v>
      </c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IFERROR(__xludf.DUMMYFUNCTION("FILTER('설정시트'!$D$7:$L$20,'설정시트'!$C$7:$C$20=I183)"),"식재료비")</f>
        <v>식재료비</v>
      </c>
      <c r="AC183" s="214" t="str">
        <f>IFERROR(__xludf.DUMMYFUNCTION("""COMPUTED_VALUE"""),"회사점심")</f>
        <v>회사점심</v>
      </c>
      <c r="AD183" s="214" t="str">
        <f>IFERROR(__xludf.DUMMYFUNCTION("""COMPUTED_VALUE"""),"간식/카페")</f>
        <v>간식/카페</v>
      </c>
      <c r="AE183" s="214" t="str">
        <f>IFERROR(__xludf.DUMMYFUNCTION("""COMPUTED_VALUE"""),"외식/배달")</f>
        <v>외식/배달</v>
      </c>
      <c r="AF183" s="214" t="str">
        <f>IFERROR(__xludf.DUMMYFUNCTION("""COMPUTED_VALUE"""),"기타")</f>
        <v>기타</v>
      </c>
      <c r="AG183" s="214"/>
      <c r="AH183" s="214"/>
      <c r="AI183" s="214"/>
      <c r="AJ183" s="215"/>
    </row>
    <row r="184">
      <c r="H184" s="208">
        <v>45959.0</v>
      </c>
      <c r="I184" s="217" t="s">
        <v>26</v>
      </c>
      <c r="J184" s="217" t="s">
        <v>29</v>
      </c>
      <c r="K184" s="218">
        <v>8300.0</v>
      </c>
      <c r="L184" s="211" t="s">
        <v>60</v>
      </c>
      <c r="M184" s="143"/>
      <c r="N184" s="211" t="s">
        <v>948</v>
      </c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IFERROR(__xludf.DUMMYFUNCTION("FILTER('설정시트'!$D$7:$L$20,'설정시트'!$C$7:$C$20=I184)"),"식재료비")</f>
        <v>식재료비</v>
      </c>
      <c r="AC184" s="214" t="str">
        <f>IFERROR(__xludf.DUMMYFUNCTION("""COMPUTED_VALUE"""),"회사점심")</f>
        <v>회사점심</v>
      </c>
      <c r="AD184" s="214" t="str">
        <f>IFERROR(__xludf.DUMMYFUNCTION("""COMPUTED_VALUE"""),"간식/카페")</f>
        <v>간식/카페</v>
      </c>
      <c r="AE184" s="214" t="str">
        <f>IFERROR(__xludf.DUMMYFUNCTION("""COMPUTED_VALUE"""),"외식/배달")</f>
        <v>외식/배달</v>
      </c>
      <c r="AF184" s="214" t="str">
        <f>IFERROR(__xludf.DUMMYFUNCTION("""COMPUTED_VALUE"""),"기타")</f>
        <v>기타</v>
      </c>
      <c r="AG184" s="214"/>
      <c r="AH184" s="214"/>
      <c r="AI184" s="214"/>
      <c r="AJ184" s="215"/>
    </row>
    <row r="185">
      <c r="H185" s="208">
        <v>45959.0</v>
      </c>
      <c r="I185" s="217" t="s">
        <v>31</v>
      </c>
      <c r="J185" s="217" t="s">
        <v>8</v>
      </c>
      <c r="K185" s="218">
        <v>2500.0</v>
      </c>
      <c r="L185" s="211" t="s">
        <v>64</v>
      </c>
      <c r="M185" s="143"/>
      <c r="N185" s="211" t="s">
        <v>932</v>
      </c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IFERROR(__xludf.DUMMYFUNCTION("FILTER('설정시트'!$D$7:$L$20,'설정시트'!$C$7:$C$20=I185)"),"식재료비")</f>
        <v>식재료비</v>
      </c>
      <c r="AC185" s="214" t="str">
        <f>IFERROR(__xludf.DUMMYFUNCTION("""COMPUTED_VALUE"""),"회사점심")</f>
        <v>회사점심</v>
      </c>
      <c r="AD185" s="214" t="str">
        <f>IFERROR(__xludf.DUMMYFUNCTION("""COMPUTED_VALUE"""),"간식/카페")</f>
        <v>간식/카페</v>
      </c>
      <c r="AE185" s="214" t="str">
        <f>IFERROR(__xludf.DUMMYFUNCTION("""COMPUTED_VALUE"""),"외식/배달")</f>
        <v>외식/배달</v>
      </c>
      <c r="AF185" s="214" t="str">
        <f>IFERROR(__xludf.DUMMYFUNCTION("""COMPUTED_VALUE"""),"기타")</f>
        <v>기타</v>
      </c>
      <c r="AG185" s="214"/>
      <c r="AH185" s="214"/>
      <c r="AI185" s="214"/>
      <c r="AJ185" s="215"/>
    </row>
    <row r="186">
      <c r="H186" s="208">
        <v>45960.0</v>
      </c>
      <c r="I186" s="217" t="s">
        <v>21</v>
      </c>
      <c r="J186" s="217" t="s">
        <v>18</v>
      </c>
      <c r="K186" s="218">
        <v>7890.0</v>
      </c>
      <c r="L186" s="211" t="s">
        <v>64</v>
      </c>
      <c r="M186" s="143"/>
      <c r="N186" s="211" t="s">
        <v>848</v>
      </c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IFERROR(__xludf.DUMMYFUNCTION("FILTER('설정시트'!$D$7:$L$20,'설정시트'!$C$7:$C$20=I186)"),"관리비")</f>
        <v>관리비</v>
      </c>
      <c r="AC186" s="214" t="str">
        <f>IFERROR(__xludf.DUMMYFUNCTION("""COMPUTED_VALUE"""),"대출이자")</f>
        <v>대출이자</v>
      </c>
      <c r="AD186" s="214" t="str">
        <f>IFERROR(__xludf.DUMMYFUNCTION("""COMPUTED_VALUE"""),"통신비")</f>
        <v>통신비</v>
      </c>
      <c r="AE186" s="214" t="str">
        <f>IFERROR(__xludf.DUMMYFUNCTION("""COMPUTED_VALUE"""),"보험료")</f>
        <v>보험료</v>
      </c>
      <c r="AF186" s="214" t="str">
        <f>IFERROR(__xludf.DUMMYFUNCTION("""COMPUTED_VALUE"""),"곗돈")</f>
        <v>곗돈</v>
      </c>
      <c r="AG186" s="214"/>
      <c r="AH186" s="214"/>
      <c r="AI186" s="214"/>
      <c r="AJ186" s="215"/>
    </row>
    <row r="187">
      <c r="H187" s="208">
        <v>45960.0</v>
      </c>
      <c r="I187" s="217" t="s">
        <v>31</v>
      </c>
      <c r="J187" s="217" t="s">
        <v>30</v>
      </c>
      <c r="K187" s="218">
        <v>7450.0</v>
      </c>
      <c r="L187" s="211" t="s">
        <v>64</v>
      </c>
      <c r="M187" s="143"/>
      <c r="N187" s="211" t="s">
        <v>949</v>
      </c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IFERROR(__xludf.DUMMYFUNCTION("FILTER('설정시트'!$D$7:$L$20,'설정시트'!$C$7:$C$20=I187)"),"식재료비")</f>
        <v>식재료비</v>
      </c>
      <c r="AC187" s="214" t="str">
        <f>IFERROR(__xludf.DUMMYFUNCTION("""COMPUTED_VALUE"""),"회사점심")</f>
        <v>회사점심</v>
      </c>
      <c r="AD187" s="214" t="str">
        <f>IFERROR(__xludf.DUMMYFUNCTION("""COMPUTED_VALUE"""),"간식/카페")</f>
        <v>간식/카페</v>
      </c>
      <c r="AE187" s="214" t="str">
        <f>IFERROR(__xludf.DUMMYFUNCTION("""COMPUTED_VALUE"""),"외식/배달")</f>
        <v>외식/배달</v>
      </c>
      <c r="AF187" s="214" t="str">
        <f>IFERROR(__xludf.DUMMYFUNCTION("""COMPUTED_VALUE"""),"기타")</f>
        <v>기타</v>
      </c>
      <c r="AG187" s="214"/>
      <c r="AH187" s="214"/>
      <c r="AI187" s="214"/>
      <c r="AJ187" s="215"/>
    </row>
    <row r="188">
      <c r="H188" s="208">
        <v>45961.0</v>
      </c>
      <c r="I188" s="217" t="s">
        <v>21</v>
      </c>
      <c r="J188" s="217" t="s">
        <v>15</v>
      </c>
      <c r="K188" s="218">
        <v>18000.0</v>
      </c>
      <c r="L188" s="211" t="s">
        <v>61</v>
      </c>
      <c r="M188" s="143"/>
      <c r="N188" s="211" t="s">
        <v>950</v>
      </c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IFERROR(__xludf.DUMMYFUNCTION("FILTER('설정시트'!$D$7:$L$20,'설정시트'!$C$7:$C$20=I188)"),"관리비")</f>
        <v>관리비</v>
      </c>
      <c r="AC188" s="214" t="str">
        <f>IFERROR(__xludf.DUMMYFUNCTION("""COMPUTED_VALUE"""),"대출이자")</f>
        <v>대출이자</v>
      </c>
      <c r="AD188" s="214" t="str">
        <f>IFERROR(__xludf.DUMMYFUNCTION("""COMPUTED_VALUE"""),"통신비")</f>
        <v>통신비</v>
      </c>
      <c r="AE188" s="214" t="str">
        <f>IFERROR(__xludf.DUMMYFUNCTION("""COMPUTED_VALUE"""),"보험료")</f>
        <v>보험료</v>
      </c>
      <c r="AF188" s="214" t="str">
        <f>IFERROR(__xludf.DUMMYFUNCTION("""COMPUTED_VALUE"""),"곗돈")</f>
        <v>곗돈</v>
      </c>
      <c r="AG188" s="214"/>
      <c r="AH188" s="214"/>
      <c r="AI188" s="214"/>
      <c r="AJ188" s="215"/>
    </row>
    <row r="189">
      <c r="H189" s="208">
        <v>45961.0</v>
      </c>
      <c r="I189" s="217" t="s">
        <v>45</v>
      </c>
      <c r="J189" s="217" t="s">
        <v>41</v>
      </c>
      <c r="K189" s="218">
        <v>22000.0</v>
      </c>
      <c r="L189" s="211" t="s">
        <v>61</v>
      </c>
      <c r="M189" s="143"/>
      <c r="N189" s="211" t="s">
        <v>946</v>
      </c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IFERROR(__xludf.DUMMYFUNCTION("FILTER('설정시트'!$D$7:$L$20,'설정시트'!$C$7:$C$20=I189)"),"약국")</f>
        <v>약국</v>
      </c>
      <c r="AC189" s="214" t="str">
        <f>IFERROR(__xludf.DUMMYFUNCTION("""COMPUTED_VALUE"""),"병원비")</f>
        <v>병원비</v>
      </c>
      <c r="AD189" s="214" t="str">
        <f>IFERROR(__xludf.DUMMYFUNCTION("""COMPUTED_VALUE"""),"영양제")</f>
        <v>영양제</v>
      </c>
      <c r="AE189" s="214" t="str">
        <f>IFERROR(__xludf.DUMMYFUNCTION("""COMPUTED_VALUE"""),"교통비")</f>
        <v>교통비</v>
      </c>
      <c r="AF189" s="214" t="str">
        <f>IFERROR(__xludf.DUMMYFUNCTION("""COMPUTED_VALUE"""),"주유비")</f>
        <v>주유비</v>
      </c>
      <c r="AG189" s="214"/>
      <c r="AH189" s="214" t="str">
        <f>IFERROR(__xludf.DUMMYFUNCTION("""COMPUTED_VALUE"""),"기타")</f>
        <v>기타</v>
      </c>
      <c r="AI189" s="214"/>
      <c r="AJ189" s="215"/>
    </row>
    <row r="190">
      <c r="H190" s="208">
        <v>45961.0</v>
      </c>
      <c r="I190" s="217" t="s">
        <v>45</v>
      </c>
      <c r="J190" s="217" t="s">
        <v>8</v>
      </c>
      <c r="K190" s="218">
        <v>3600.0</v>
      </c>
      <c r="L190" s="211" t="s">
        <v>61</v>
      </c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IFERROR(__xludf.DUMMYFUNCTION("FILTER('설정시트'!$D$7:$L$20,'설정시트'!$C$7:$C$20=I190)"),"약국")</f>
        <v>약국</v>
      </c>
      <c r="AC190" s="214" t="str">
        <f>IFERROR(__xludf.DUMMYFUNCTION("""COMPUTED_VALUE"""),"병원비")</f>
        <v>병원비</v>
      </c>
      <c r="AD190" s="214" t="str">
        <f>IFERROR(__xludf.DUMMYFUNCTION("""COMPUTED_VALUE"""),"영양제")</f>
        <v>영양제</v>
      </c>
      <c r="AE190" s="214" t="str">
        <f>IFERROR(__xludf.DUMMYFUNCTION("""COMPUTED_VALUE"""),"교통비")</f>
        <v>교통비</v>
      </c>
      <c r="AF190" s="214" t="str">
        <f>IFERROR(__xludf.DUMMYFUNCTION("""COMPUTED_VALUE"""),"주유비")</f>
        <v>주유비</v>
      </c>
      <c r="AG190" s="214"/>
      <c r="AH190" s="214" t="str">
        <f>IFERROR(__xludf.DUMMYFUNCTION("""COMPUTED_VALUE"""),"기타")</f>
        <v>기타</v>
      </c>
      <c r="AI190" s="214"/>
      <c r="AJ190" s="215"/>
    </row>
    <row r="191">
      <c r="H191" s="208">
        <v>45960.0</v>
      </c>
      <c r="I191" s="217" t="s">
        <v>26</v>
      </c>
      <c r="J191" s="217" t="s">
        <v>29</v>
      </c>
      <c r="K191" s="218">
        <v>10500.0</v>
      </c>
      <c r="L191" s="211" t="s">
        <v>60</v>
      </c>
      <c r="M191" s="143"/>
      <c r="N191" s="211" t="s">
        <v>951</v>
      </c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IFERROR(__xludf.DUMMYFUNCTION("FILTER('설정시트'!$D$7:$L$20,'설정시트'!$C$7:$C$20=I191)"),"식재료비")</f>
        <v>식재료비</v>
      </c>
      <c r="AC191" s="214" t="str">
        <f>IFERROR(__xludf.DUMMYFUNCTION("""COMPUTED_VALUE"""),"회사점심")</f>
        <v>회사점심</v>
      </c>
      <c r="AD191" s="214" t="str">
        <f>IFERROR(__xludf.DUMMYFUNCTION("""COMPUTED_VALUE"""),"간식/카페")</f>
        <v>간식/카페</v>
      </c>
      <c r="AE191" s="214" t="str">
        <f>IFERROR(__xludf.DUMMYFUNCTION("""COMPUTED_VALUE"""),"외식/배달")</f>
        <v>외식/배달</v>
      </c>
      <c r="AF191" s="214" t="str">
        <f>IFERROR(__xludf.DUMMYFUNCTION("""COMPUTED_VALUE"""),"기타")</f>
        <v>기타</v>
      </c>
      <c r="AG191" s="214"/>
      <c r="AH191" s="214"/>
      <c r="AI191" s="214"/>
      <c r="AJ191" s="215"/>
    </row>
    <row r="192">
      <c r="H192" s="208">
        <v>45957.0</v>
      </c>
      <c r="I192" s="217" t="s">
        <v>21</v>
      </c>
      <c r="J192" s="217" t="s">
        <v>15</v>
      </c>
      <c r="K192" s="218">
        <v>240980.0</v>
      </c>
      <c r="L192" s="211" t="s">
        <v>64</v>
      </c>
      <c r="M192" s="143"/>
      <c r="N192" s="211" t="s">
        <v>952</v>
      </c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IFERROR(__xludf.DUMMYFUNCTION("FILTER('설정시트'!$D$7:$L$20,'설정시트'!$C$7:$C$20=I192)"),"관리비")</f>
        <v>관리비</v>
      </c>
      <c r="AC192" s="214" t="str">
        <f>IFERROR(__xludf.DUMMYFUNCTION("""COMPUTED_VALUE"""),"대출이자")</f>
        <v>대출이자</v>
      </c>
      <c r="AD192" s="214" t="str">
        <f>IFERROR(__xludf.DUMMYFUNCTION("""COMPUTED_VALUE"""),"통신비")</f>
        <v>통신비</v>
      </c>
      <c r="AE192" s="214" t="str">
        <f>IFERROR(__xludf.DUMMYFUNCTION("""COMPUTED_VALUE"""),"보험료")</f>
        <v>보험료</v>
      </c>
      <c r="AF192" s="214" t="str">
        <f>IFERROR(__xludf.DUMMYFUNCTION("""COMPUTED_VALUE"""),"곗돈")</f>
        <v>곗돈</v>
      </c>
      <c r="AG192" s="214"/>
      <c r="AH192" s="214"/>
      <c r="AI192" s="214"/>
      <c r="AJ192" s="215"/>
    </row>
    <row r="193">
      <c r="H193" s="208">
        <v>45961.0</v>
      </c>
      <c r="I193" s="217" t="s">
        <v>39</v>
      </c>
      <c r="J193" s="217" t="s">
        <v>44</v>
      </c>
      <c r="K193" s="218">
        <v>102000.0</v>
      </c>
      <c r="L193" s="211" t="s">
        <v>59</v>
      </c>
      <c r="M193" s="143"/>
      <c r="N193" s="211" t="s">
        <v>44</v>
      </c>
      <c r="O193" s="212"/>
      <c r="P193" s="212"/>
      <c r="Q193" s="143"/>
      <c r="R193" s="211" t="s">
        <v>518</v>
      </c>
      <c r="S193" s="212"/>
      <c r="T193" s="145"/>
      <c r="AB193" s="214" t="str">
        <f>IFERROR(__xludf.DUMMYFUNCTION("FILTER('설정시트'!$D$7:$L$20,'설정시트'!$C$7:$C$20=I193)"),"약국")</f>
        <v>약국</v>
      </c>
      <c r="AC193" s="214" t="str">
        <f>IFERROR(__xludf.DUMMYFUNCTION("""COMPUTED_VALUE"""),"병원비")</f>
        <v>병원비</v>
      </c>
      <c r="AD193" s="214" t="str">
        <f>IFERROR(__xludf.DUMMYFUNCTION("""COMPUTED_VALUE"""),"영양제")</f>
        <v>영양제</v>
      </c>
      <c r="AE193" s="214" t="str">
        <f>IFERROR(__xludf.DUMMYFUNCTION("""COMPUTED_VALUE"""),"교통비")</f>
        <v>교통비</v>
      </c>
      <c r="AF193" s="214" t="str">
        <f>IFERROR(__xludf.DUMMYFUNCTION("""COMPUTED_VALUE"""),"주유비")</f>
        <v>주유비</v>
      </c>
      <c r="AG193" s="214"/>
      <c r="AH193" s="214" t="str">
        <f>IFERROR(__xludf.DUMMYFUNCTION("""COMPUTED_VALUE"""),"기타")</f>
        <v>기타</v>
      </c>
      <c r="AI193" s="214"/>
      <c r="AJ193" s="215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48029EEC-043B-4596-BD82-4885B5601D90}" filter="1" showAutoFilter="1">
      <autoFilter ref="$I$61:$L$500"/>
    </customSheetView>
    <customSheetView guid="{1306F103-82DB-4721-A081-DFC677B29403}" filter="1" showAutoFilter="1">
      <autoFilter ref="$H$61:$J$153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231">
      <formula1>'10월'!$AB$231:$AI$231</formula1>
    </dataValidation>
    <dataValidation type="list" allowBlank="1" showErrorMessage="1" sqref="J325">
      <formula1>'10월'!$AB$325:$AI$325</formula1>
    </dataValidation>
    <dataValidation type="list" allowBlank="1" showErrorMessage="1" sqref="J122">
      <formula1>'10월'!$AB$122:$AI$122</formula1>
    </dataValidation>
    <dataValidation type="list" allowBlank="1" showErrorMessage="1" sqref="J198">
      <formula1>'10월'!$AB$198:$AI$198</formula1>
    </dataValidation>
    <dataValidation type="list" allowBlank="1" showErrorMessage="1" sqref="J340">
      <formula1>'10월'!$AB$340:$AI$340</formula1>
    </dataValidation>
    <dataValidation type="list" allowBlank="1" showErrorMessage="1" sqref="J419">
      <formula1>'10월'!$AB$419:$AI$419</formula1>
    </dataValidation>
    <dataValidation type="list" allowBlank="1" showErrorMessage="1" sqref="J287">
      <formula1>'10월'!$AB$287:$AI$287</formula1>
    </dataValidation>
    <dataValidation type="list" allowBlank="1" showErrorMessage="1" sqref="J434">
      <formula1>'10월'!$AB$434:$AI$434</formula1>
    </dataValidation>
    <dataValidation type="list" allowBlank="1" showErrorMessage="1" sqref="J193">
      <formula1>'10월'!$AB$193:$AI$193</formula1>
    </dataValidation>
    <dataValidation type="list" allowBlank="1" showErrorMessage="1" sqref="J127">
      <formula1>'10월'!$AB$127:$AI$127</formula1>
    </dataValidation>
    <dataValidation type="list" allowBlank="1" showErrorMessage="1" sqref="J396">
      <formula1>'10월'!$AB$396:$AI$396</formula1>
    </dataValidation>
    <dataValidation type="list" allowBlank="1" showErrorMessage="1" sqref="J98">
      <formula1>'10월'!$AB$98:$AI$98</formula1>
    </dataValidation>
    <dataValidation type="list" allowBlank="1" showErrorMessage="1" sqref="J236">
      <formula1>'10월'!$AB$236:$AI$236</formula1>
    </dataValidation>
    <dataValidation type="list" allowBlank="1" showErrorMessage="1" sqref="J360">
      <formula1>'10월'!$AB$360:$AI$360</formula1>
    </dataValidation>
    <dataValidation type="list" allowBlank="1" showErrorMessage="1" sqref="J454">
      <formula1>'10월'!$AB$454:$AI$454</formula1>
    </dataValidation>
    <dataValidation type="list" allowBlank="1" showErrorMessage="1" sqref="J345">
      <formula1>'10월'!$AB$345:$AI$345</formula1>
    </dataValidation>
    <dataValidation type="list" allowBlank="1" showErrorMessage="1" sqref="J459">
      <formula1>'10월'!$AB$459:$AI$459</formula1>
    </dataValidation>
    <dataValidation type="list" allowBlank="1" showErrorMessage="1" sqref="J365">
      <formula1>'10월'!$AB$365:$AI$365</formula1>
    </dataValidation>
    <dataValidation type="list" allowBlank="1" showErrorMessage="1" sqref="J142">
      <formula1>'10월'!$AB$142:$AI$142</formula1>
    </dataValidation>
    <dataValidation type="list" allowBlank="1" showErrorMessage="1" sqref="J147">
      <formula1>'10월'!$AB$147:$AI$147</formula1>
    </dataValidation>
    <dataValidation type="list" allowBlank="1" showErrorMessage="1" sqref="J72">
      <formula1>'10월'!$AB$72:$AI$72</formula1>
    </dataValidation>
    <dataValidation type="list" allowBlank="1" showErrorMessage="1" sqref="J251">
      <formula1>'10월'!$AB$251:$AI$251</formula1>
    </dataValidation>
    <dataValidation type="list" allowBlank="1" showErrorMessage="1" sqref="J256">
      <formula1>'10월'!$AB$256:$AI$256</formula1>
    </dataValidation>
    <dataValidation type="list" allowBlank="1" showErrorMessage="1" sqref="J84">
      <formula1>'10월'!$AB$84:$AI$84</formula1>
    </dataValidation>
    <dataValidation type="list" allowBlank="1" showErrorMessage="1" sqref="J153">
      <formula1>'10월'!$AB$153:$AI$153</formula1>
    </dataValidation>
    <dataValidation type="list" allowBlank="1" showErrorMessage="1" sqref="J70">
      <formula1>'10월'!$AB$70:$AI$70</formula1>
    </dataValidation>
    <dataValidation type="list" allowBlank="1" showErrorMessage="1" sqref="J403">
      <formula1>'10월'!$AB$403:$AI$403</formula1>
    </dataValidation>
    <dataValidation type="list" allowBlank="1" showErrorMessage="1" sqref="J479">
      <formula1>'10월'!$AB$479:$AI$479</formula1>
    </dataValidation>
    <dataValidation type="list" allowBlank="1" showErrorMessage="1" sqref="J262">
      <formula1>'10월'!$AB$262:$AI$262</formula1>
    </dataValidation>
    <dataValidation type="list" allowBlank="1" showErrorMessage="1" sqref="J380">
      <formula1>'10월'!$AB$380:$AI$380</formula1>
    </dataValidation>
    <dataValidation type="list" allowBlank="1" showErrorMessage="1" sqref="J162">
      <formula1>'10월'!$AB$162:$AI$162</formula1>
    </dataValidation>
    <dataValidation type="list" allowBlank="1" showErrorMessage="1" sqref="J351">
      <formula1>'10월'!$AB$351:$AI$351</formula1>
    </dataValidation>
    <dataValidation type="list" allowBlank="1" showErrorMessage="1" sqref="J205">
      <formula1>'10월'!$AB$205:$AI$205</formula1>
    </dataValidation>
    <dataValidation type="list" allowBlank="1" showErrorMessage="1" sqref="J271">
      <formula1>'10월'!$AB$271:$AI$271</formula1>
    </dataValidation>
    <dataValidation type="list" allowBlank="1" showErrorMessage="1" sqref="J86">
      <formula1>'10월'!$AB$86:$AI$86</formula1>
    </dataValidation>
    <dataValidation type="list" allowBlank="1" showErrorMessage="1" sqref="J423">
      <formula1>'10월'!$AB$423:$AI$423</formula1>
    </dataValidation>
    <dataValidation type="list" allowBlank="1" showErrorMessage="1" sqref="J314">
      <formula1>'10월'!$AB$314:$AI$314</formula1>
    </dataValidation>
    <dataValidation type="list" allowBlank="1" showErrorMessage="1" sqref="J460">
      <formula1>'10월'!$AB$460:$AI$460</formula1>
    </dataValidation>
    <dataValidation type="list" allowBlank="1" showErrorMessage="1" sqref="J116">
      <formula1>'10월'!$AB$116:$AI$116</formula1>
    </dataValidation>
    <dataValidation type="list" allowBlank="1" showErrorMessage="1" sqref="J305">
      <formula1>'10월'!$AB$305:$AI$305</formula1>
    </dataValidation>
    <dataValidation type="list" allowBlank="1" showErrorMessage="1" sqref="J391">
      <formula1>'10월'!$AB$391:$AI$391</formula1>
    </dataValidation>
    <dataValidation type="list" allowBlank="1" showErrorMessage="1" sqref="J499">
      <formula1>'10월'!$AB$499:$AI$499</formula1>
    </dataValidation>
    <dataValidation type="list" allowBlank="1" showErrorMessage="1" sqref="J173">
      <formula1>'10월'!$AB$173:$AI$173</formula1>
    </dataValidation>
    <dataValidation type="list" allowBlank="1" showErrorMessage="1" sqref="J225">
      <formula1>'10월'!$AB$225:$AI$225</formula1>
    </dataValidation>
    <dataValidation type="list" allowBlank="1" showErrorMessage="1" sqref="J414">
      <formula1>'10월'!$AB$414:$AI$414</formula1>
    </dataValidation>
    <dataValidation type="list" allowBlank="1" showErrorMessage="1" sqref="J282">
      <formula1>'10월'!$AB$282:$AI$282</formula1>
    </dataValidation>
    <dataValidation type="list" allowBlank="1" showErrorMessage="1" sqref="J107">
      <formula1>'10월'!$AB$107:$AI$107</formula1>
    </dataValidation>
    <dataValidation type="list" allowBlank="1" showErrorMessage="1" sqref="J371">
      <formula1>'10월'!$AB$371:$AI$371</formula1>
    </dataValidation>
    <dataValidation type="list" allowBlank="1" showErrorMessage="1" sqref="J291">
      <formula1>'10월'!$AB$291:$AI$291</formula1>
    </dataValidation>
    <dataValidation type="list" allowBlank="1" showErrorMessage="1" sqref="J443">
      <formula1>'10월'!$AB$443:$AI$443</formula1>
    </dataValidation>
    <dataValidation type="list" allowBlank="1" showErrorMessage="1" sqref="J207">
      <formula1>'10월'!$AB$207:$AI$207</formula1>
    </dataValidation>
    <dataValidation type="list" allowBlank="1" showErrorMessage="1" sqref="J216">
      <formula1>'10월'!$AB$216:$AI$216</formula1>
    </dataValidation>
    <dataValidation type="list" allowBlank="1" showErrorMessage="1" sqref="J182">
      <formula1>'10월'!$AB$182:$AI$182</formula1>
    </dataValidation>
    <dataValidation type="list" allowBlank="1" showErrorMessage="1" sqref="J334">
      <formula1>'10월'!$AB$334:$AI$334</formula1>
    </dataValidation>
    <dataValidation type="list" allowBlank="1" showErrorMessage="1" sqref="J480">
      <formula1>'10월'!$AB$480:$AI$480</formula1>
    </dataValidation>
    <dataValidation type="list" allowBlank="1" showErrorMessage="1" sqref="J339">
      <formula1>'10월'!$AB$339:$AI$339</formula1>
    </dataValidation>
    <dataValidation type="list" allowBlank="1" showErrorMessage="1" sqref="J82">
      <formula1>'10월'!$AB$82:$AI$82</formula1>
    </dataValidation>
    <dataValidation type="list" allowBlank="1" showErrorMessage="1" sqref="J448">
      <formula1>'10월'!$AB$448:$AI$448</formula1>
    </dataValidation>
    <dataValidation type="list" allowBlank="1" showErrorMessage="1" sqref="J245">
      <formula1>'10월'!$AB$245:$AI$245</formula1>
    </dataValidation>
    <dataValidation type="list" allowBlank="1" showErrorMessage="1" sqref="J136">
      <formula1>'10월'!$AB$136:$AI$136</formula1>
    </dataValidation>
    <dataValidation type="list" allowBlank="1" showErrorMessage="1" sqref="J316">
      <formula1>'10월'!$AB$316:$AI$316</formula1>
    </dataValidation>
    <dataValidation type="list" allowBlank="1" showErrorMessage="1" sqref="J74">
      <formula1>'10월'!$AB$74:$AI$74</formula1>
    </dataValidation>
    <dataValidation type="list" allowBlank="1" showErrorMessage="1" sqref="J425">
      <formula1>'10월'!$AB$425:$AI$425</formula1>
    </dataValidation>
    <dataValidation type="list" allowBlank="1" showErrorMessage="1" sqref="J428">
      <formula1>'10월'!$AB$428:$AI$428</formula1>
    </dataValidation>
    <dataValidation type="list" allowBlank="1" showErrorMessage="1" sqref="J463">
      <formula1>'10월'!$AB$463:$AI$463</formula1>
    </dataValidation>
    <dataValidation type="list" allowBlank="1" showErrorMessage="1" sqref="J354">
      <formula1>'10월'!$AB$354:$AI$354</formula1>
    </dataValidation>
    <dataValidation type="list" allowBlank="1" showErrorMessage="1" sqref="J319">
      <formula1>'10월'!$AB$319:$AI$319</formula1>
    </dataValidation>
    <dataValidation type="list" allowBlank="1" showErrorMessage="1" sqref="J118">
      <formula1>'10월'!$AB$118:$AI$118</formula1>
    </dataValidation>
    <dataValidation type="list" allowBlank="1" showErrorMessage="1" sqref="J359">
      <formula1>'10월'!$AB$359:$AI$359</formula1>
    </dataValidation>
    <dataValidation type="list" allowBlank="1" showErrorMessage="1" sqref="J468">
      <formula1>'10월'!$AB$468:$AI$468</formula1>
    </dataValidation>
    <dataValidation type="list" allowBlank="1" showErrorMessage="1" sqref="J374">
      <formula1>'10월'!$AB$374:$AI$374</formula1>
    </dataValidation>
    <dataValidation type="list" allowBlank="1" showErrorMessage="1" sqref="J265">
      <formula1>'10월'!$AB$265:$AI$265</formula1>
    </dataValidation>
    <dataValidation type="list" allowBlank="1" showErrorMessage="1" sqref="J227">
      <formula1>'10월'!$AB$227:$AI$227</formula1>
    </dataValidation>
    <dataValidation type="list" allowBlank="1" showErrorMessage="1" sqref="J156">
      <formula1>'10월'!$AB$156:$AI$156</formula1>
    </dataValidation>
    <dataValidation type="list" allowBlank="1" showErrorMessage="1" sqref="J303">
      <formula1>'10월'!$AB$303:$AI$303</formula1>
    </dataValidation>
    <dataValidation type="list" allowBlank="1" showErrorMessage="1" sqref="J336">
      <formula1>'10월'!$AB$336:$AI$336</formula1>
    </dataValidation>
    <dataValidation type="list" allowBlank="1" showErrorMessage="1" sqref="J483">
      <formula1>'10월'!$AB$483:$AI$483</formula1>
    </dataValidation>
    <dataValidation type="list" allowBlank="1" showErrorMessage="1" sqref="J67">
      <formula1>'10월'!$AB$67:$AI$67</formula1>
    </dataValidation>
    <dataValidation type="list" allowBlank="1" showErrorMessage="1" sqref="J408">
      <formula1>'10월'!$AB$408:$AI$408</formula1>
    </dataValidation>
    <dataValidation type="list" allowBlank="1" showErrorMessage="1" sqref="J445">
      <formula1>'10월'!$AB$445:$AI$445</formula1>
    </dataValidation>
    <dataValidation type="list" allowBlank="1" showErrorMessage="1" sqref="J412">
      <formula1>'10월'!$AB$412:$AI$412</formula1>
    </dataValidation>
    <dataValidation type="list" allowBlank="1" showErrorMessage="1" sqref="J79">
      <formula1>'10월'!$AB$79:$AI$79</formula1>
    </dataValidation>
    <dataValidation type="list" allowBlank="1" showErrorMessage="1" sqref="J138">
      <formula1>'10월'!$AB$138:$AI$138</formula1>
    </dataValidation>
    <dataValidation type="list" allowBlank="1" showErrorMessage="1" sqref="J105">
      <formula1>'10월'!$AB$105:$AI$105</formula1>
    </dataValidation>
    <dataValidation type="list" allowBlank="1" showErrorMessage="1" sqref="J100">
      <formula1>'10월'!$AB$100:$AI$100</formula1>
    </dataValidation>
    <dataValidation type="list" allowBlank="1" showErrorMessage="1" sqref="J379">
      <formula1>'10월'!$AB$379:$AI$379</formula1>
    </dataValidation>
    <dataValidation type="list" allowBlank="1" showErrorMessage="1" sqref="J120">
      <formula1>'10월'!$AB$120:$AI$120</formula1>
    </dataValidation>
    <dataValidation type="list" allowBlank="1" showErrorMessage="1" sqref="J356">
      <formula1>'10월'!$AB$356:$AI$356</formula1>
    </dataValidation>
    <dataValidation type="list" allowBlank="1" showErrorMessage="1" sqref="J394">
      <formula1>'10월'!$AB$394:$AI$394</formula1>
    </dataValidation>
    <dataValidation type="list" allowBlank="1" showErrorMessage="1" sqref="J247">
      <formula1>'10월'!$AB$247:$AI$247</formula1>
    </dataValidation>
    <dataValidation type="list" allowBlank="1" showErrorMessage="1" sqref="J76">
      <formula1>'10월'!$AB$76:$AI$76</formula1>
    </dataValidation>
    <dataValidation type="list" allowBlank="1" showErrorMessage="1" sqref="J300">
      <formula1>'10월'!$AB$300:$AI$300</formula1>
    </dataValidation>
    <dataValidation type="list" allowBlank="1" showErrorMessage="1" sqref="J158">
      <formula1>'10월'!$AB$158:$AI$158</formula1>
    </dataValidation>
    <dataValidation type="list" allowBlank="1" showErrorMessage="1" sqref="J176">
      <formula1>'10월'!$AB$176:$AI$176</formula1>
    </dataValidation>
    <dataValidation type="list" allowBlank="1" showErrorMessage="1" sqref="J195">
      <formula1>'10월'!$AB$195:$AI$195</formula1>
    </dataValidation>
    <dataValidation type="list" allowBlank="1" showErrorMessage="1" sqref="J465">
      <formula1>'10월'!$AB$465:$AI$465</formula1>
    </dataValidation>
    <dataValidation type="list" allowBlank="1" showErrorMessage="1" sqref="J285">
      <formula1>'10월'!$AB$285:$AI$285</formula1>
    </dataValidation>
    <dataValidation type="list" allowBlank="1" showErrorMessage="1" sqref="J102">
      <formula1>'10월'!$AB$102:$AI$102</formula1>
    </dataValidation>
    <dataValidation type="list" allowBlank="1" showErrorMessage="1" sqref="J376">
      <formula1>'10월'!$AB$376:$AI$376</formula1>
    </dataValidation>
    <dataValidation type="list" allowBlank="1" showErrorMessage="1" sqref="J140">
      <formula1>'10월'!$AB$140:$AI$140</formula1>
    </dataValidation>
    <dataValidation type="list" allowBlank="1" showErrorMessage="1" sqref="J267">
      <formula1>'10월'!$AB$267:$AI$267</formula1>
    </dataValidation>
    <dataValidation type="list" allowBlank="1" showErrorMessage="1" sqref="J69">
      <formula1>'10월'!$AB$69:$AI$69</formula1>
    </dataValidation>
    <dataValidation type="list" allowBlank="1" showErrorMessage="1" sqref="J80">
      <formula1>'10월'!$AB$80:$AI$80</formula1>
    </dataValidation>
    <dataValidation type="list" allowBlank="1" showErrorMessage="1" sqref="J196">
      <formula1>'10월'!$AB$196:$AI$196</formula1>
    </dataValidation>
    <dataValidation type="list" allowBlank="1" showErrorMessage="1" sqref="J320">
      <formula1>'10월'!$AB$320:$AI$320</formula1>
    </dataValidation>
    <dataValidation type="list" allowBlank="1" showErrorMessage="1" sqref="J178">
      <formula1>'10월'!$AB$178:$AI$178</formula1>
    </dataValidation>
    <dataValidation type="list" allowBlank="1" showErrorMessage="1" sqref="J211">
      <formula1>'10월'!$AB$211:$AI$211</formula1>
    </dataValidation>
    <dataValidation type="list" allowBlank="1" showErrorMessage="1" sqref="J485">
      <formula1>'10월'!$AB$485:$AI$485</formula1>
    </dataValidation>
    <dataValidation type="list" allowBlank="1" showErrorMessage="1" sqref="J358">
      <formula1>'10월'!$AB$358:$AI$358</formula1>
    </dataValidation>
    <dataValidation type="list" allowBlank="1" showErrorMessage="1" sqref="J373">
      <formula1>'10월'!$AB$373:$AI$373</formula1>
    </dataValidation>
    <dataValidation type="list" allowBlank="1" showErrorMessage="1" sqref="J155">
      <formula1>'10월'!$AB$155:$AI$155</formula1>
    </dataValidation>
    <dataValidation type="list" allowBlank="1" showErrorMessage="1" sqref="J165">
      <formula1>'10월'!$AB$165:$AI$165</formula1>
    </dataValidation>
    <dataValidation type="list" allowBlank="1" showErrorMessage="1" sqref="J259">
      <formula1>'10월'!$AB$259:$AI$259</formula1>
    </dataValidation>
    <dataValidation type="list" allowBlank="1" showErrorMessage="1" sqref="J254">
      <formula1>'10월'!$AB$254:$AI$254</formula1>
    </dataValidation>
    <dataValidation type="list" allowBlank="1" showErrorMessage="1" sqref="J462">
      <formula1>'10월'!$AB$462:$AI$462</formula1>
    </dataValidation>
    <dataValidation type="list" allowBlank="1" showErrorMessage="1" sqref="J477">
      <formula1>'10월'!$AB$477:$AI$477</formula1>
    </dataValidation>
    <dataValidation type="list" allowBlank="1" showErrorMessage="1" sqref="J302">
      <formula1>'10월'!$AB$302:$AI$302</formula1>
    </dataValidation>
    <dataValidation type="list" allowBlank="1" showErrorMessage="1" sqref="J160">
      <formula1>'10월'!$AB$160:$AI$160</formula1>
    </dataValidation>
    <dataValidation type="list" allowBlank="1" showErrorMessage="1" sqref="J150">
      <formula1>'10월'!$AB$150:$AI$150</formula1>
    </dataValidation>
    <dataValidation type="list" allowBlank="1" showErrorMessage="1" sqref="J190">
      <formula1>'10월'!$AB$190:$AI$190</formula1>
    </dataValidation>
    <dataValidation type="list" allowBlank="1" showErrorMessage="1" sqref="J203">
      <formula1>'10월'!$AB$203:$AI$203</formula1>
    </dataValidation>
    <dataValidation type="list" allowBlank="1" showErrorMessage="1" sqref="J472">
      <formula1>'10월'!$AB$472:$AI$472</formula1>
    </dataValidation>
    <dataValidation type="list" allowBlank="1" showErrorMessage="1" sqref="J269">
      <formula1>'10월'!$AB$269:$AI$269</formula1>
    </dataValidation>
    <dataValidation type="list" allowBlank="1" showErrorMessage="1" sqref="J213">
      <formula1>'10월'!$AB$213:$AI$213</formula1>
    </dataValidation>
    <dataValidation type="list" allowBlank="1" showErrorMessage="1" sqref="J421">
      <formula1>'10월'!$AB$421:$AI$421</formula1>
    </dataValidation>
    <dataValidation type="list" allowBlank="1" showErrorMessage="1" sqref="J388">
      <formula1>'10월'!$AB$388:$AI$388</formula1>
    </dataValidation>
    <dataValidation type="list" allowBlank="1" showErrorMessage="1" sqref="J294">
      <formula1>'10월'!$AB$294:$AI$294</formula1>
    </dataValidation>
    <dataValidation type="list" allowBlank="1" showErrorMessage="1" sqref="J487">
      <formula1>'10월'!$AB$487:$AI$487</formula1>
    </dataValidation>
    <dataValidation type="list" allowBlank="1" showErrorMessage="1" sqref="J219">
      <formula1>'10월'!$AB$219:$AI$219</formula1>
    </dataValidation>
    <dataValidation type="list" allowBlank="1" showErrorMessage="1" sqref="J426">
      <formula1>'10월'!$AB$426:$AI$426</formula1>
    </dataValidation>
    <dataValidation type="list" allowBlank="1" showErrorMessage="1" sqref="J383">
      <formula1>'10월'!$AB$383:$AI$383</formula1>
    </dataValidation>
    <dataValidation type="list" allowBlank="1" showErrorMessage="1" sqref="J398">
      <formula1>'10월'!$AB$398:$AI$398</formula1>
    </dataValidation>
    <dataValidation type="list" allowBlank="1" showErrorMessage="1" sqref="J427">
      <formula1>'10월'!$AB$427:$AI$427</formula1>
    </dataValidation>
    <dataValidation type="list" allowBlank="1" showErrorMessage="1" sqref="J332">
      <formula1>'10월'!$AB$332:$AI$332</formula1>
    </dataValidation>
    <dataValidation type="list" allowBlank="1" showErrorMessage="1" sqref="J114">
      <formula1>'10월'!$AB$114:$AI$114</formula1>
    </dataValidation>
    <dataValidation type="list" allowBlank="1" showErrorMessage="1" sqref="J284">
      <formula1>'10월'!$AB$284:$AI$284</formula1>
    </dataValidation>
    <dataValidation type="list" allowBlank="1" showErrorMessage="1" sqref="J431">
      <formula1>'10월'!$AB$431:$AI$431</formula1>
    </dataValidation>
    <dataValidation type="list" allowBlank="1" showErrorMessage="1" sqref="J342">
      <formula1>'10월'!$AB$342:$AI$342</formula1>
    </dataValidation>
    <dataValidation type="list" allowBlank="1" showErrorMessage="1" sqref="J214">
      <formula1>'10월'!$AB$214:$AI$214</formula1>
    </dataValidation>
    <dataValidation type="list" allowBlank="1" showErrorMessage="1" sqref="J389">
      <formula1>'10월'!$AB$389:$AI$389</formula1>
    </dataValidation>
    <dataValidation type="list" allowBlank="1" showErrorMessage="1" sqref="J209">
      <formula1>'10월'!$AB$209:$AI$209</formula1>
    </dataValidation>
    <dataValidation type="list" allowBlank="1" showErrorMessage="1" sqref="J119">
      <formula1>'10월'!$AB$119:$AI$119</formula1>
    </dataValidation>
    <dataValidation type="list" allowBlank="1" showErrorMessage="1" sqref="J115">
      <formula1>'10월'!$AB$115:$AI$115</formula1>
    </dataValidation>
    <dataValidation type="list" allowBlank="1" showErrorMessage="1" sqref="J124">
      <formula1>'10월'!$AB$124:$AI$124</formula1>
    </dataValidation>
    <dataValidation type="list" allowBlank="1" showErrorMessage="1" sqref="J299">
      <formula1>'10월'!$AB$299:$AI$299</formula1>
    </dataValidation>
    <dataValidation type="list" allowBlank="1" showErrorMessage="1" sqref="J488">
      <formula1>'10월'!$AB$488:$AI$488</formula1>
    </dataValidation>
    <dataValidation type="list" allowBlank="1" showErrorMessage="1" sqref="J218">
      <formula1>'10월'!$AB$218:$AI$218</formula1>
    </dataValidation>
    <dataValidation type="list" allowBlank="1" showErrorMessage="1" sqref="J308">
      <formula1>'10월'!$AB$308:$AI$308</formula1>
    </dataValidation>
    <dataValidation type="list" allowBlank="1" showErrorMessage="1" sqref="J422">
      <formula1>'10월'!$AB$422:$AI$422</formula1>
    </dataValidation>
    <dataValidation type="list" allowBlank="1" showErrorMessage="1" sqref="J290">
      <formula1>'10월'!$AB$290:$AI$290</formula1>
    </dataValidation>
    <dataValidation type="list" allowBlank="1" showErrorMessage="1" sqref="J333">
      <formula1>'10월'!$AB$333:$AI$333</formula1>
    </dataValidation>
    <dataValidation type="list" allowBlank="1" showErrorMessage="1" sqref="J125">
      <formula1>'10월'!$AB$125:$AI$125</formula1>
    </dataValidation>
    <dataValidation type="list" allowBlank="1" showErrorMessage="1" sqref="J399">
      <formula1>'10월'!$AB$399:$AI$399</formula1>
    </dataValidation>
    <dataValidation type="list" allowBlank="1" showErrorMessage="1" sqref="J243">
      <formula1>'10월'!$AB$243:$AI$243</formula1>
    </dataValidation>
    <dataValidation type="list" allowBlank="1" showErrorMessage="1" sqref="J432">
      <formula1>'10월'!$AB$432:$AI$432</formula1>
    </dataValidation>
    <dataValidation type="list" allowBlank="1" showErrorMessage="1" sqref="J89">
      <formula1>'10월'!$AB$89:$AI$89</formula1>
    </dataValidation>
    <dataValidation type="list" allowBlank="1" showErrorMessage="1" sqref="J280">
      <formula1>'10월'!$AB$280:$AI$280</formula1>
    </dataValidation>
    <dataValidation type="list" allowBlank="1" showErrorMessage="1" sqref="J208">
      <formula1>'10월'!$AB$208:$AI$208</formula1>
    </dataValidation>
    <dataValidation type="list" allowBlank="1" showErrorMessage="1" sqref="J471">
      <formula1>'10월'!$AB$471:$AI$471</formula1>
    </dataValidation>
    <dataValidation type="list" allowBlank="1" showErrorMessage="1" sqref="J343">
      <formula1>'10월'!$AB$343:$AI$343</formula1>
    </dataValidation>
    <dataValidation type="list" allowBlank="1" showErrorMessage="1" sqref="J307">
      <formula1>'10월'!$AB$307:$AI$307</formula1>
    </dataValidation>
    <dataValidation type="list" allowBlank="1" showErrorMessage="1" sqref="J372">
      <formula1>'10월'!$AB$372:$AI$372</formula1>
    </dataValidation>
    <dataValidation type="list" allowBlank="1" showErrorMessage="1" sqref="J164">
      <formula1>'10월'!$AB$164:$AI$164</formula1>
    </dataValidation>
    <dataValidation type="list" allowBlank="1" showErrorMessage="1" sqref="J88">
      <formula1>'10월'!$AB$88:$AI$88</formula1>
    </dataValidation>
    <dataValidation type="list" allowBlank="1" showErrorMessage="1" sqref="J253">
      <formula1>'10월'!$AB$253:$AI$253</formula1>
    </dataValidation>
    <dataValidation type="list" allowBlank="1" showErrorMessage="1" sqref="J461">
      <formula1>'10월'!$AB$461:$AI$461</formula1>
    </dataValidation>
    <dataValidation type="list" allowBlank="1" showErrorMessage="1" sqref="J154">
      <formula1>'10월'!$AB$154:$AI$154</formula1>
    </dataValidation>
    <dataValidation type="list" allowBlank="1" showErrorMessage="1" sqref="J244">
      <formula1>'10월'!$AB$244:$AI$244</formula1>
    </dataValidation>
    <dataValidation type="list" allowBlank="1" showErrorMessage="1" sqref="J420">
      <formula1>'10월'!$AB$420:$AI$420</formula1>
    </dataValidation>
    <dataValidation type="list" allowBlank="1" showErrorMessage="1" sqref="J438">
      <formula1>'10월'!$AB$438:$AI$438</formula1>
    </dataValidation>
    <dataValidation type="list" allowBlank="1" showErrorMessage="1" sqref="J151">
      <formula1>'10월'!$AB$151:$AI$151</formula1>
    </dataValidation>
    <dataValidation type="list" allowBlank="1" showErrorMessage="1" sqref="J169">
      <formula1>'10월'!$AB$169:$AI$169</formula1>
    </dataValidation>
    <dataValidation type="list" allowBlank="1" showErrorMessage="1" sqref="J349">
      <formula1>'10월'!$AB$349:$AI$349</formula1>
    </dataValidation>
    <dataValidation type="list" allowBlank="1" showErrorMessage="1" sqref="J344">
      <formula1>'10월'!$AB$344:$AI$344</formula1>
    </dataValidation>
    <dataValidation type="list" allowBlank="1" showErrorMessage="1" sqref="J240">
      <formula1>'10월'!$AB$240:$AI$240</formula1>
    </dataValidation>
    <dataValidation type="list" allowBlank="1" showErrorMessage="1" sqref="J255">
      <formula1>'10월'!$AB$255:$AI$255</formula1>
    </dataValidation>
    <dataValidation type="list" allowBlank="1" showErrorMessage="1" sqref="J217">
      <formula1>'10월'!$AB$217:$AI$217</formula1>
    </dataValidation>
    <dataValidation type="list" allowBlank="1" showErrorMessage="1" sqref="J382">
      <formula1>'10월'!$AB$382:$AI$382</formula1>
    </dataValidation>
    <dataValidation type="list" allowBlank="1" showErrorMessage="1" sqref="J113">
      <formula1>'10월'!$AB$113:$AI$113</formula1>
    </dataValidation>
    <dataValidation type="list" allowBlank="1" showErrorMessage="1" sqref="J387">
      <formula1>'10월'!$AB$387:$AI$387</formula1>
    </dataValidation>
    <dataValidation type="list" allowBlank="1" showErrorMessage="1" sqref="J435">
      <formula1>'10월'!$AB$435:$AI$435</formula1>
    </dataValidation>
    <dataValidation type="list" allowBlank="1" showErrorMessage="1" sqref="J298">
      <formula1>'10월'!$AB$298:$AI$298</formula1>
    </dataValidation>
    <dataValidation type="list" allowBlank="1" showErrorMessage="1" sqref="J309">
      <formula1>'10월'!$AB$309:$AI$309</formula1>
    </dataValidation>
    <dataValidation type="list" allowBlank="1" showErrorMessage="1" sqref="J331">
      <formula1>'10월'!$AB$331:$AI$331</formula1>
    </dataValidation>
    <dataValidation type="list" allowBlank="1" showErrorMessage="1" sqref="J242">
      <formula1>'10월'!$AB$242:$AI$242</formula1>
    </dataValidation>
    <dataValidation type="list" allowBlank="1" showErrorMessage="1" sqref="J128">
      <formula1>'10월'!$AB$128:$AI$128</formula1>
    </dataValidation>
    <dataValidation type="list" allowBlank="1" showErrorMessage="1" sqref="J204">
      <formula1>'10월'!$AB$204:$AI$204</formula1>
    </dataValidation>
    <dataValidation type="list" allowBlank="1" showErrorMessage="1" sqref="J478">
      <formula1>'10월'!$AB$478:$AI$478</formula1>
    </dataValidation>
    <dataValidation type="list" allowBlank="1" showErrorMessage="1" sqref="J293">
      <formula1>'10월'!$AB$293:$AI$293</formula1>
    </dataValidation>
    <dataValidation type="list" allowBlank="1" showErrorMessage="1" sqref="J346">
      <formula1>'10월'!$AB$346:$AI$346</formula1>
    </dataValidation>
    <dataValidation type="list" allowBlank="1" showErrorMessage="1" sqref="J473">
      <formula1>'10월'!$AB$473:$AI$473</formula1>
    </dataValidation>
    <dataValidation type="list" allowBlank="1" showErrorMessage="1" sqref="J166">
      <formula1>'10월'!$AB$166:$AI$166</formula1>
    </dataValidation>
    <dataValidation type="list" allowBlank="1" showErrorMessage="1" sqref="J167">
      <formula1>'10월'!$AB$167:$AI$167</formula1>
    </dataValidation>
    <dataValidation type="list" allowBlank="1" showErrorMessage="1" sqref="J436">
      <formula1>'10월'!$AB$436:$AI$436</formula1>
    </dataValidation>
    <dataValidation type="list" allowBlank="1" showErrorMessage="1" sqref="J200">
      <formula1>'10월'!$AB$200:$AI$200</formula1>
    </dataValidation>
    <dataValidation type="list" allowBlank="1" showErrorMessage="1" sqref="J129">
      <formula1>'10월'!$AB$129:$AI$129</formula1>
    </dataValidation>
    <dataValidation type="list" allowBlank="1" showErrorMessage="1" sqref="J474">
      <formula1>'10월'!$AB$474:$AI$474</formula1>
    </dataValidation>
    <dataValidation type="list" allowBlank="1" showErrorMessage="1" sqref="J295">
      <formula1>'10월'!$AB$295:$AI$295</formula1>
    </dataValidation>
    <dataValidation type="list" allowBlank="1" showErrorMessage="1" sqref="J385">
      <formula1>'10월'!$AB$385:$AI$385</formula1>
    </dataValidation>
    <dataValidation type="list" allowBlank="1" showErrorMessage="1" sqref="J111">
      <formula1>'10월'!$AB$111:$AI$111</formula1>
    </dataValidation>
    <dataValidation type="list" allowBlank="1" showErrorMessage="1" sqref="J110">
      <formula1>'10월'!$AB$110:$AI$110</formula1>
    </dataValidation>
    <dataValidation type="list" allowBlank="1" showErrorMessage="1" sqref="J347">
      <formula1>'10월'!$AB$347:$AI$347</formula1>
    </dataValidation>
    <dataValidation type="list" allowBlank="1" showErrorMessage="1" sqref="J384">
      <formula1>'10월'!$AB$384:$AI$384</formula1>
    </dataValidation>
    <dataValidation type="list" allowBlank="1" showErrorMessage="1" sqref="J257">
      <formula1>'10월'!$AB$257:$AI$257</formula1>
    </dataValidation>
    <dataValidation type="list" allowBlank="1" showErrorMessage="1" sqref="J437">
      <formula1>'10월'!$AB$437:$AI$437</formula1>
    </dataValidation>
    <dataValidation type="list" allowBlank="1" showErrorMessage="1" sqref="J168">
      <formula1>'10월'!$AB$168:$AI$168</formula1>
    </dataValidation>
    <dataValidation type="list" allowBlank="1" showErrorMessage="1" sqref="J296">
      <formula1>'10월'!$AB$296:$AI$296</formula1>
    </dataValidation>
    <dataValidation type="list" allowBlank="1" showErrorMessage="1" sqref="J258">
      <formula1>'10월'!$AB$258:$AI$258</formula1>
    </dataValidation>
    <dataValidation type="list" allowBlank="1" showErrorMessage="1" sqref="J201">
      <formula1>'10월'!$AB$201:$AI$201</formula1>
    </dataValidation>
    <dataValidation type="list" allowBlank="1" showErrorMessage="1" sqref="J475">
      <formula1>'10월'!$AB$475:$AI$475</formula1>
    </dataValidation>
    <dataValidation type="list" allowBlank="1" showErrorMessage="1" sqref="J439">
      <formula1>'10월'!$AB$439:$AI$439</formula1>
    </dataValidation>
    <dataValidation type="list" allowBlank="1" showErrorMessage="1" sqref="J348">
      <formula1>'10월'!$AB$348:$AI$348</formula1>
    </dataValidation>
    <dataValidation type="list" allowBlank="1" showErrorMessage="1" sqref="J112">
      <formula1>'10월'!$AB$112:$AI$112</formula1>
    </dataValidation>
    <dataValidation type="list" allowBlank="1" showErrorMessage="1" sqref="J386">
      <formula1>'10월'!$AB$386:$AI$386</formula1>
    </dataValidation>
    <dataValidation type="list" allowBlank="1" showErrorMessage="1" sqref="J476">
      <formula1>'10월'!$AB$476:$AI$476</formula1>
    </dataValidation>
    <dataValidation type="list" allowBlank="1" showErrorMessage="1" sqref="J202">
      <formula1>'10월'!$AB$202:$AI$202</formula1>
    </dataValidation>
    <dataValidation type="list" allowBlank="1" showErrorMessage="1" sqref="J117">
      <formula1>'10월'!$AB$117:$AI$117</formula1>
    </dataValidation>
    <dataValidation type="list" allowBlank="1" showErrorMessage="1" sqref="J188">
      <formula1>'10월'!$AB$188:$AI$188</formula1>
    </dataValidation>
    <dataValidation type="list" allowBlank="1" showErrorMessage="1" sqref="J132">
      <formula1>'10월'!$AB$132:$AI$132</formula1>
    </dataValidation>
    <dataValidation type="list" allowBlank="1" showErrorMessage="1" sqref="J85">
      <formula1>'10월'!$AB$85:$AI$85</formula1>
    </dataValidation>
    <dataValidation type="list" allowBlank="1" showErrorMessage="1" sqref="J226">
      <formula1>'10월'!$AB$226:$AI$226</formula1>
    </dataValidation>
    <dataValidation type="list" allowBlank="1" showErrorMessage="1" sqref="J221">
      <formula1>'10월'!$AB$221:$AI$221</formula1>
    </dataValidation>
    <dataValidation type="list" allowBlank="1" showErrorMessage="1" sqref="J444">
      <formula1>'10월'!$AB$444:$AI$444</formula1>
    </dataValidation>
    <dataValidation type="list" allowBlank="1" showErrorMessage="1" sqref="J409">
      <formula1>'10월'!$AB$409:$AI$409</formula1>
    </dataValidation>
    <dataValidation type="list" allowBlank="1" showErrorMessage="1" sqref="J335">
      <formula1>'10월'!$AB$335:$AI$335</formula1>
    </dataValidation>
    <dataValidation type="list" allowBlank="1" showErrorMessage="1" sqref="J330">
      <formula1>'10월'!$AB$330:$AI$330</formula1>
    </dataValidation>
    <dataValidation type="list" allowBlank="1" showErrorMessage="1" sqref="J292">
      <formula1>'10월'!$AB$292:$AI$292</formula1>
    </dataValidation>
    <dataValidation type="list" allowBlank="1" showErrorMessage="1" sqref="J297">
      <formula1>'10월'!$AB$297:$AI$297</formula1>
    </dataValidation>
    <dataValidation type="list" allowBlank="1" showErrorMessage="1" sqref="J246">
      <formula1>'10월'!$AB$246:$AI$246</formula1>
    </dataValidation>
    <dataValidation type="list" allowBlank="1" showErrorMessage="1" sqref="J152">
      <formula1>'10월'!$AB$152:$AI$152</formula1>
    </dataValidation>
    <dataValidation type="list" allowBlank="1" showErrorMessage="1" sqref="J355">
      <formula1>'10월'!$AB$355:$AI$355</formula1>
    </dataValidation>
    <dataValidation type="list" allowBlank="1" showErrorMessage="1" sqref="J137">
      <formula1>'10월'!$AB$137:$AI$137</formula1>
    </dataValidation>
    <dataValidation type="list" allowBlank="1" showErrorMessage="1" sqref="J261">
      <formula1>'10월'!$AB$261:$AI$261</formula1>
    </dataValidation>
    <dataValidation type="list" allowBlank="1" showErrorMessage="1" sqref="J71">
      <formula1>'10월'!$AB$71:$AI$71</formula1>
    </dataValidation>
    <dataValidation type="list" allowBlank="1" showErrorMessage="1" sqref="J241">
      <formula1>'10월'!$AB$241:$AI$241</formula1>
    </dataValidation>
    <dataValidation type="list" allowBlank="1" showErrorMessage="1" sqref="J350">
      <formula1>'10월'!$AB$350:$AI$350</formula1>
    </dataValidation>
    <dataValidation type="list" allowBlank="1" showErrorMessage="1" sqref="J157">
      <formula1>'10월'!$AB$157:$AI$157</formula1>
    </dataValidation>
    <dataValidation type="list" allowBlank="1" showErrorMessage="1" sqref="J464">
      <formula1>'10월'!$AB$464:$AI$464</formula1>
    </dataValidation>
    <dataValidation type="list" allowBlank="1" showErrorMessage="1" sqref="J469">
      <formula1>'10월'!$AB$469:$AI$469</formula1>
    </dataValidation>
    <dataValidation type="list" allowBlank="1" showErrorMessage="1" sqref="J361">
      <formula1>'10월'!$AB$361:$AI$361</formula1>
    </dataValidation>
    <dataValidation type="list" allowBlank="1" showErrorMessage="1" sqref="J281">
      <formula1>'10월'!$AB$281:$AI$281</formula1>
    </dataValidation>
    <dataValidation type="list" allowBlank="1" showErrorMessage="1" sqref="J304">
      <formula1>'10월'!$AB$304:$AI$304</formula1>
    </dataValidation>
    <dataValidation type="list" allowBlank="1" showErrorMessage="1" sqref="J172">
      <formula1>'10월'!$AB$172:$AI$172</formula1>
    </dataValidation>
    <dataValidation type="list" allowBlank="1" showErrorMessage="1" sqref="J470">
      <formula1>'10월'!$AB$470:$AI$470</formula1>
    </dataValidation>
    <dataValidation type="list" allowBlank="1" showErrorMessage="1" sqref="J143">
      <formula1>'10월'!$AB$143:$AI$143</formula1>
    </dataValidation>
    <dataValidation type="list" allowBlank="1" showErrorMessage="1" sqref="J413">
      <formula1>'10월'!$AB$413:$AI$413</formula1>
    </dataValidation>
    <dataValidation type="list" allowBlank="1" showErrorMessage="1" sqref="J252">
      <formula1>'10월'!$AB$252:$AI$252</formula1>
    </dataValidation>
    <dataValidation type="list" allowBlank="1" showErrorMessage="1" sqref="J106">
      <formula1>'10월'!$AB$106:$AI$106</formula1>
    </dataValidation>
    <dataValidation type="list" allowBlank="1" showErrorMessage="1" sqref="J489">
      <formula1>'10월'!$AB$489:$AI$489</formula1>
    </dataValidation>
    <dataValidation type="list" allowBlank="1" showErrorMessage="1" sqref="J404">
      <formula1>'10월'!$AB$404:$AI$404</formula1>
    </dataValidation>
    <dataValidation type="list" allowBlank="1" showErrorMessage="1" sqref="J370">
      <formula1>'10월'!$AB$370:$AI$370</formula1>
    </dataValidation>
    <dataValidation type="list" allowBlank="1" showErrorMessage="1" sqref="J324">
      <formula1>'10월'!$AB$324:$AI$324</formula1>
    </dataValidation>
    <dataValidation type="list" allowBlank="1" showErrorMessage="1" sqref="J215">
      <formula1>'10월'!$AB$215:$AI$215</formula1>
    </dataValidation>
    <dataValidation type="list" allowBlank="1" showErrorMessage="1" sqref="J87">
      <formula1>'10월'!$AB$87:$AI$87</formula1>
    </dataValidation>
    <dataValidation type="list" allowBlank="1" showErrorMessage="1" sqref="J433">
      <formula1>'10월'!$AB$433:$AI$433</formula1>
    </dataValidation>
    <dataValidation type="list" allowBlank="1" showErrorMessage="1" sqref="J183">
      <formula1>'10월'!$AB$183:$AI$183</formula1>
    </dataValidation>
    <dataValidation type="list" allowBlank="1" showErrorMessage="1" sqref="J206">
      <formula1>'10월'!$AB$206:$AI$206</formula1>
    </dataValidation>
    <dataValidation type="list" allowBlank="1" showErrorMessage="1" sqref="J490">
      <formula1>'10월'!$AB$490:$AI$490</formula1>
    </dataValidation>
    <dataValidation type="list" allowBlank="1" showErrorMessage="1" sqref="J192">
      <formula1>'10월'!$AB$192:$AI$192</formula1>
    </dataValidation>
    <dataValidation type="list" allowBlank="1" showErrorMessage="1" sqref="J108">
      <formula1>'10월'!$AB$108:$AI$108</formula1>
    </dataValidation>
    <dataValidation type="list" allowBlank="1" showErrorMessage="1" sqref="J126">
      <formula1>'10월'!$AB$126:$AI$126</formula1>
    </dataValidation>
    <dataValidation type="list" allowBlank="1" showErrorMessage="1" sqref="J315">
      <formula1>'10월'!$AB$315:$AI$315</formula1>
    </dataValidation>
    <dataValidation type="list" allowBlank="1" showErrorMessage="1" sqref="J163">
      <formula1>'10월'!$AB$163:$AI$163</formula1>
    </dataValidation>
    <dataValidation type="list" allowBlank="1" showErrorMessage="1" sqref="J235">
      <formula1>'10월'!$AB$235:$AI$235</formula1>
    </dataValidation>
    <dataValidation type="list" allowBlank="1" showErrorMessage="1" sqref="J381">
      <formula1>'10월'!$AB$381:$AI$381</formula1>
    </dataValidation>
    <dataValidation type="list" allowBlank="1" showErrorMessage="1" sqref="J272">
      <formula1>'10월'!$AB$272:$AI$272</formula1>
    </dataValidation>
    <dataValidation type="list" allowBlank="1" showErrorMessage="1" sqref="J424">
      <formula1>'10월'!$AB$424:$AI$424</formula1>
    </dataValidation>
    <dataValidation type="list" allowBlank="1" showErrorMessage="1" sqref="J390">
      <formula1>'10월'!$AB$390:$AI$390</formula1>
    </dataValidation>
    <dataValidation type="list" allowBlank="1" showErrorMessage="1" sqref="J306">
      <formula1>'10월'!$AB$306:$AI$306</formula1>
    </dataValidation>
    <dataValidation type="list" allowBlank="1" showErrorMessage="1" sqref="J392">
      <formula1>'10월'!$AB$392:$AI$392</formula1>
    </dataValidation>
    <dataValidation type="list" allowBlank="1" showErrorMessage="1" sqref="J212">
      <formula1>'10월'!$AB$212:$AI$212</formula1>
    </dataValidation>
    <dataValidation type="list" allowBlank="1" showErrorMessage="1" sqref="J250">
      <formula1>'10월'!$AB$250:$AI$250</formula1>
    </dataValidation>
    <dataValidation type="list" allowBlank="1" showErrorMessage="1" sqref="J283">
      <formula1>'10월'!$AB$283:$AI$283</formula1>
    </dataValidation>
    <dataValidation type="list" allowBlank="1" showErrorMessage="1" sqref="J486">
      <formula1>'10월'!$AB$486:$AI$486</formula1>
    </dataValidation>
    <dataValidation type="list" allowBlank="1" showErrorMessage="1" sqref="J103">
      <formula1>'10월'!$AB$103:$AI$103</formula1>
    </dataValidation>
    <dataValidation type="list" allowBlank="1" showErrorMessage="1" sqref="J377">
      <formula1>'10월'!$AB$377:$AI$377</formula1>
    </dataValidation>
    <dataValidation type="list" allowBlank="1" showErrorMessage="1" sqref="J430">
      <formula1>'10월'!$AB$430:$AI$430</formula1>
    </dataValidation>
    <dataValidation type="list" allowBlank="1" showErrorMessage="1" sqref="J481">
      <formula1>'10월'!$AB$481:$AI$481</formula1>
    </dataValidation>
    <dataValidation type="list" allowBlank="1" showErrorMessage="1" sqref="J288">
      <formula1>'10월'!$AB$288:$AI$288</formula1>
    </dataValidation>
    <dataValidation type="list" allowBlank="1" showErrorMessage="1" sqref="J141">
      <formula1>'10월'!$AB$141:$AI$141</formula1>
    </dataValidation>
    <dataValidation type="list" allowBlank="1" showErrorMessage="1" sqref="J321">
      <formula1>'10월'!$AB$321:$AI$321</formula1>
    </dataValidation>
    <dataValidation type="list" allowBlank="1" showErrorMessage="1" sqref="J179">
      <formula1>'10월'!$AB$179:$AI$179</formula1>
    </dataValidation>
    <dataValidation type="list" allowBlank="1" showErrorMessage="1" sqref="J174">
      <formula1>'10월'!$AB$174:$AI$174</formula1>
    </dataValidation>
    <dataValidation type="list" allowBlank="1" showErrorMessage="1" sqref="J232">
      <formula1>'10월'!$AB$232:$AI$232</formula1>
    </dataValidation>
    <dataValidation type="list" allowBlank="1" showErrorMessage="1" sqref="J341">
      <formula1>'10월'!$AB$341:$AI$341</formula1>
    </dataValidation>
    <dataValidation type="list" allowBlank="1" showErrorMessage="1" sqref="J66">
      <formula1>'10월'!$AB$66:$AI$66</formula1>
    </dataValidation>
    <dataValidation type="list" allowBlank="1" showErrorMessage="1" sqref="J450">
      <formula1>'10월'!$AB$450:$AI$450</formula1>
    </dataValidation>
    <dataValidation type="list" allowBlank="1" showErrorMessage="1" sqref="J123">
      <formula1>'10월'!$AB$123:$AI$123</formula1>
    </dataValidation>
    <dataValidation type="list" allowBlank="1" showErrorMessage="1" sqref="J270">
      <formula1>'10월'!$AB$270:$AI$270</formula1>
    </dataValidation>
    <dataValidation type="list" allowBlank="1" showErrorMessage="1" sqref="J397">
      <formula1>'10월'!$AB$397:$AI$397</formula1>
    </dataValidation>
    <dataValidation type="list" allowBlank="1" showErrorMessage="1" sqref="J194">
      <formula1>'10월'!$AB$194:$AI$194</formula1>
    </dataValidation>
    <dataValidation type="list" allowBlank="1" showErrorMessage="1" sqref="J161">
      <formula1>'10월'!$AB$161:$AI$161</formula1>
    </dataValidation>
    <dataValidation type="list" allowBlank="1" showErrorMessage="1" sqref="J90">
      <formula1>'10월'!$AB$90:$AI$90</formula1>
    </dataValidation>
    <dataValidation type="list" allowBlank="1" showErrorMessage="1" sqref="J199">
      <formula1>'10월'!$AB$199:$AI$199</formula1>
    </dataValidation>
    <dataValidation type="list" allowBlank="1" showErrorMessage="1" sqref="J375">
      <formula1>'10월'!$AB$375:$AI$375</formula1>
    </dataValidation>
    <dataValidation type="list" allowBlank="1" showErrorMessage="1" sqref="J228">
      <formula1>'10월'!$AB$228:$AI$228</formula1>
    </dataValidation>
    <dataValidation type="list" allowBlank="1" showErrorMessage="1" sqref="J484">
      <formula1>'10월'!$AB$484:$AI$484</formula1>
    </dataValidation>
    <dataValidation type="list" allowBlank="1" showErrorMessage="1" sqref="J73">
      <formula1>'10월'!$AB$73:$AI$73</formula1>
    </dataValidation>
    <dataValidation type="list" allowBlank="1" showErrorMessage="1" sqref="J266">
      <formula1>'10월'!$AB$266:$AI$266</formula1>
    </dataValidation>
    <dataValidation type="list" allowBlank="1" showErrorMessage="1" sqref="J337">
      <formula1>'10월'!$AB$337:$AI$337</formula1>
    </dataValidation>
    <dataValidation type="list" allowBlank="1" showErrorMessage="1" sqref="J446">
      <formula1>'10월'!$AB$446:$AI$446</formula1>
    </dataValidation>
    <dataValidation type="list" allowBlank="1" showErrorMessage="1" sqref="J83">
      <formula1>'10월'!$AB$83:$AI$83</formula1>
    </dataValidation>
    <dataValidation type="list" allowBlank="1" showErrorMessage="1" sqref="J177">
      <formula1>'10월'!$AB$177:$AI$177</formula1>
    </dataValidation>
    <dataValidation type="list" allowBlank="1" showErrorMessage="1" sqref="J210">
      <formula1>'10월'!$AB$210:$AI$210</formula1>
    </dataValidation>
    <dataValidation type="list" allowBlank="1" showErrorMessage="1" sqref="J139">
      <formula1>'10월'!$AB$139:$AI$139</formula1>
    </dataValidation>
    <dataValidation type="list" allowBlank="1" showErrorMessage="1" sqref="J248">
      <formula1>'10월'!$AB$248:$AI$248</formula1>
    </dataValidation>
    <dataValidation type="list" allowBlank="1" showErrorMessage="1" sqref="J101">
      <formula1>'10월'!$AB$101:$AI$101</formula1>
    </dataValidation>
    <dataValidation type="list" allowBlank="1" showErrorMessage="1" sqref="J68">
      <formula1>'10월'!$AB$68:$AI$68</formula1>
    </dataValidation>
    <dataValidation type="list" allowBlank="1" showErrorMessage="1" sqref="J449">
      <formula1>'10월'!$AB$449:$AI$449</formula1>
    </dataValidation>
    <dataValidation type="list" allowBlank="1" showErrorMessage="1" sqref="J75">
      <formula1>'10월'!$AB$75:$AI$75</formula1>
    </dataValidation>
    <dataValidation type="list" allowBlank="1" showErrorMessage="1" sqref="J357">
      <formula1>'10월'!$AB$357:$AI$357</formula1>
    </dataValidation>
    <dataValidation type="list" allowBlank="1" showErrorMessage="1" sqref="J338">
      <formula1>'10월'!$AB$338:$AI$338</formula1>
    </dataValidation>
    <dataValidation type="list" allowBlank="1" showErrorMessage="1" sqref="J466">
      <formula1>'10월'!$AB$466:$AI$466</formula1>
    </dataValidation>
    <dataValidation type="list" allowBlank="1" showErrorMessage="1" sqref="J230">
      <formula1>'10월'!$AB$230:$AI$230</formula1>
    </dataValidation>
    <dataValidation type="list" allowBlank="1" showErrorMessage="1" sqref="J447">
      <formula1>'10월'!$AB$447:$AI$447</formula1>
    </dataValidation>
    <dataValidation type="list" allowBlank="1" showErrorMessage="1" sqref="J197">
      <formula1>'10월'!$AB$197:$AI$197</formula1>
    </dataValidation>
    <dataValidation type="list" allowBlank="1" showErrorMessage="1" sqref="J159">
      <formula1>'10월'!$AB$159:$AI$159</formula1>
    </dataValidation>
    <dataValidation type="list" allowBlank="1" showErrorMessage="1" sqref="J286">
      <formula1>'10월'!$AB$286:$AI$286</formula1>
    </dataValidation>
    <dataValidation type="list" allowBlank="1" showErrorMessage="1" sqref="J410">
      <formula1>'10월'!$AB$410:$AI$410</formula1>
    </dataValidation>
    <dataValidation type="list" allowBlank="1" showErrorMessage="1" sqref="J268">
      <formula1>'10월'!$AB$268:$AI$268</formula1>
    </dataValidation>
    <dataValidation type="list" allowBlank="1" showErrorMessage="1" sqref="J249">
      <formula1>'10월'!$AB$249:$AI$249</formula1>
    </dataValidation>
    <dataValidation type="list" allowBlank="1" showErrorMessage="1" sqref="J81">
      <formula1>'10월'!$AB$81:$AI$81</formula1>
    </dataValidation>
    <dataValidation type="list" allowBlank="1" showErrorMessage="1" sqref="J429">
      <formula1>'10월'!$AB$429:$AI$429</formula1>
    </dataValidation>
    <dataValidation type="list" allowBlank="1" showErrorMessage="1" sqref="J121">
      <formula1>'10월'!$AB$121:$AI$121</formula1>
    </dataValidation>
    <dataValidation type="list" allowBlank="1" showErrorMessage="1" sqref="J395">
      <formula1>'10월'!$AB$395:$AI$395</formula1>
    </dataValidation>
    <dataValidation type="list" allowBlank="1" showErrorMessage="1" sqref="J301">
      <formula1>'10월'!$AB$301:$AI$301</formula1>
    </dataValidation>
    <dataValidation type="list" allowBlank="1" showErrorMessage="1" sqref="J264">
      <formula1>'10월'!$AB$264:$AI$264</formula1>
    </dataValidation>
    <dataValidation type="list" allowBlank="1" showErrorMessage="1" sqref="J170">
      <formula1>'10월'!$AB$170:$AI$170</formula1>
    </dataValidation>
    <dataValidation type="list" allowBlank="1" showErrorMessage="1" sqref="J500">
      <formula1>'10월'!$AB$500:$AI$500</formula1>
    </dataValidation>
    <dataValidation type="list" allowBlank="1" showErrorMessage="1" sqref="J64">
      <formula1>'10월'!$AB$64:$AI$64</formula1>
    </dataValidation>
    <dataValidation type="list" allowBlank="1" showErrorMessage="1" sqref="J482">
      <formula1>'10월'!$AB$482:$AI$482</formula1>
    </dataValidation>
    <dataValidation type="list" allowBlank="1" showErrorMessage="1" sqref="J401">
      <formula1>'10월'!$AB$401:$AI$401</formula1>
    </dataValidation>
    <dataValidation type="list" allowBlank="1" showErrorMessage="1" sqref="J274">
      <formula1>'10월'!$AB$274:$AI$274</formula1>
    </dataValidation>
    <dataValidation type="list" allowBlank="1" showErrorMessage="1" sqref="J467">
      <formula1>'10월'!$AB$467:$AI$467</formula1>
    </dataValidation>
    <dataValidation type="list" allowBlank="1" showErrorMessage="1" sqref="J411">
      <formula1>'10월'!$AB$411:$AI$411</formula1>
    </dataValidation>
    <dataValidation type="list" allowBlank="1" showErrorMessage="1" sqref="J368">
      <formula1>'10월'!$AB$368:$AI$368</formula1>
    </dataValidation>
    <dataValidation type="list" allowBlank="1" showErrorMessage="1" sqref="J363">
      <formula1>'10월'!$AB$363:$AI$363</formula1>
    </dataValidation>
    <dataValidation type="list" allowBlank="1" showErrorMessage="1" sqref="J77">
      <formula1>'10월'!$AB$77:$AI$77</formula1>
    </dataValidation>
    <dataValidation type="list" allowBlank="1" showErrorMessage="1" sqref="J185">
      <formula1>'10월'!$AB$185:$AI$185</formula1>
    </dataValidation>
    <dataValidation type="list" allowBlank="1" showErrorMessage="1" sqref="J229">
      <formula1>'10월'!$AB$229:$AI$229</formula1>
    </dataValidation>
    <dataValidation type="list" allowBlank="1" showErrorMessage="1" sqref="J393">
      <formula1>'10월'!$AB$393:$AI$393</formula1>
    </dataValidation>
    <dataValidation type="list" allowBlank="1" showErrorMessage="1" sqref="J104">
      <formula1>'10월'!$AB$104:$AI$104</formula1>
    </dataValidation>
    <dataValidation type="list" allowBlank="1" showErrorMessage="1" sqref="L62:L500">
      <formula1>'설정시트'!$D$23:$N$23</formula1>
    </dataValidation>
    <dataValidation type="list" allowBlank="1" showErrorMessage="1" sqref="J78">
      <formula1>'10월'!$AB$78:$AI$78</formula1>
    </dataValidation>
    <dataValidation type="list" allowBlank="1" showErrorMessage="1" sqref="J378">
      <formula1>'10월'!$AB$378:$AI$378</formula1>
    </dataValidation>
    <dataValidation type="list" allowBlank="1" showErrorMessage="1" sqref="J312">
      <formula1>'10월'!$AB$312:$AI$312</formula1>
    </dataValidation>
    <dataValidation type="list" allowBlank="1" showErrorMessage="1" sqref="J328">
      <formula1>'10월'!$AB$328:$AI$328</formula1>
    </dataValidation>
    <dataValidation type="list" allowBlank="1" showErrorMessage="1" sqref="J279">
      <formula1>'10월'!$AB$279:$AI$279</formula1>
    </dataValidation>
    <dataValidation type="list" allowBlank="1" showErrorMessage="1" sqref="J223">
      <formula1>'10월'!$AB$223:$AI$223</formula1>
    </dataValidation>
    <dataValidation type="list" allowBlank="1" showErrorMessage="1" sqref="J180 J191">
      <formula1>'10월'!$AB$180:$AI$180</formula1>
    </dataValidation>
    <dataValidation type="list" allowBlank="1" showErrorMessage="1" sqref="J175">
      <formula1>'10월'!$AB$175:$AI$175</formula1>
    </dataValidation>
    <dataValidation type="list" allowBlank="1" showErrorMessage="1" sqref="J318">
      <formula1>'10월'!$AB$318:$AI$318</formula1>
    </dataValidation>
    <dataValidation type="list" allowBlank="1" showErrorMessage="1" sqref="J327">
      <formula1>'10월'!$AB$327:$AI$327</formula1>
    </dataValidation>
    <dataValidation type="list" allowBlank="1" showErrorMessage="1" sqref="J322">
      <formula1>'10월'!$AB$322:$AI$322</formula1>
    </dataValidation>
    <dataValidation type="list" allowBlank="1" showErrorMessage="1" sqref="J497">
      <formula1>'10월'!$AB$497:$AI$497</formula1>
    </dataValidation>
    <dataValidation type="list" allowBlank="1" showErrorMessage="1" sqref="J492">
      <formula1>'10월'!$AB$492:$AI$492</formula1>
    </dataValidation>
    <dataValidation type="list" allowBlank="1" showErrorMessage="1" sqref="J289">
      <formula1>'10월'!$AB$289:$AI$289</formula1>
    </dataValidation>
    <dataValidation type="list" allowBlank="1" showErrorMessage="1" sqref="J91">
      <formula1>'10월'!$AB$91:$AI$91</formula1>
    </dataValidation>
    <dataValidation type="list" allowBlank="1" showErrorMessage="1" sqref="J417">
      <formula1>'10월'!$AB$417:$AI$417</formula1>
    </dataValidation>
    <dataValidation type="list" allowBlank="1" showErrorMessage="1" sqref="J134">
      <formula1>'10월'!$AB$134:$AI$134</formula1>
    </dataValidation>
    <dataValidation type="list" allowBlank="1" showErrorMessage="1" sqref="J323">
      <formula1>'10월'!$AB$323:$AI$323</formula1>
    </dataValidation>
    <dataValidation type="list" allowBlank="1" showErrorMessage="1" sqref="J94">
      <formula1>'10월'!$AB$94:$AI$94</formula1>
    </dataValidation>
    <dataValidation type="list" allowBlank="1" showErrorMessage="1" sqref="J451">
      <formula1>'10월'!$AB$451:$AI$451</formula1>
    </dataValidation>
    <dataValidation type="list" allowBlank="1" showErrorMessage="1" sqref="J441">
      <formula1>'10월'!$AB$441:$AI$441</formula1>
    </dataValidation>
    <dataValidation type="list" allowBlank="1" showErrorMessage="1" sqref="J233">
      <formula1>'10월'!$AB$233:$AI$233</formula1>
    </dataValidation>
    <dataValidation type="list" allowBlank="1" showErrorMessage="1" sqref="J352">
      <formula1>'10월'!$AB$352:$AI$352</formula1>
    </dataValidation>
    <dataValidation type="list" allowBlank="1" showErrorMessage="1" sqref="J144">
      <formula1>'10월'!$AB$144:$AI$144</formula1>
    </dataValidation>
    <dataValidation type="list" allowBlank="1" showErrorMessage="1" sqref="J62">
      <formula1>'10월'!$AB$62:$AI$62</formula1>
    </dataValidation>
    <dataValidation type="list" allowBlank="1" showErrorMessage="1" sqref="J181">
      <formula1>'10월'!$AB$181:$AI$181</formula1>
    </dataValidation>
    <dataValidation type="list" allowBlank="1" showErrorMessage="1" sqref="J317">
      <formula1>'10월'!$AB$317:$AI$317</formula1>
    </dataValidation>
    <dataValidation type="list" allowBlank="1" showErrorMessage="1" sqref="J407">
      <formula1>'10월'!$AB$407:$AI$407</formula1>
    </dataValidation>
    <dataValidation type="list" allowBlank="1" showErrorMessage="1" sqref="J109">
      <formula1>'10월'!$AB$109:$AI$109</formula1>
    </dataValidation>
    <dataValidation type="list" allowBlank="1" showErrorMessage="1" sqref="J65">
      <formula1>'10월'!$AB$65:$AI$65</formula1>
    </dataValidation>
    <dataValidation type="list" allowBlank="1" showErrorMessage="1" sqref="J224">
      <formula1>'10월'!$AB$224:$AI$224</formula1>
    </dataValidation>
    <dataValidation type="list" allowBlank="1" showErrorMessage="1" sqref="J498">
      <formula1>'10월'!$AB$498:$AI$498</formula1>
    </dataValidation>
    <dataValidation type="list" allowBlank="1" showErrorMessage="1" sqref="J416">
      <formula1>'10월'!$AB$416:$AI$416</formula1>
    </dataValidation>
    <dataValidation type="list" allowBlank="1" showErrorMessage="1" sqref="J135">
      <formula1>'10월'!$AB$135:$AI$135</formula1>
    </dataValidation>
    <dataValidation type="list" allowBlank="1" showErrorMessage="1" sqref="J263">
      <formula1>'10월'!$AB$263:$AI$263</formula1>
    </dataValidation>
    <dataValidation type="list" allowBlank="1" showErrorMessage="1" sqref="J234">
      <formula1>'10월'!$AB$234:$AI$234</formula1>
    </dataValidation>
    <dataValidation type="list" allowBlank="1" showErrorMessage="1" sqref="J442">
      <formula1>'10월'!$AB$442:$AI$442</formula1>
    </dataValidation>
    <dataValidation type="list" allowBlank="1" showErrorMessage="1" sqref="J92">
      <formula1>'10월'!$AB$92:$AI$92</formula1>
    </dataValidation>
    <dataValidation type="list" allowBlank="1" showErrorMessage="1" sqref="J406">
      <formula1>'10월'!$AB$406:$AI$406</formula1>
    </dataValidation>
    <dataValidation type="list" allowBlank="1" showErrorMessage="1" sqref="J145">
      <formula1>'10월'!$AB$145:$AI$145</formula1>
    </dataValidation>
    <dataValidation type="list" allowBlank="1" showErrorMessage="1" sqref="J353">
      <formula1>'10월'!$AB$353:$AI$353</formula1>
    </dataValidation>
    <dataValidation type="list" allowBlank="1" showErrorMessage="1" sqref="J93">
      <formula1>'10월'!$AB$93:$AI$93</formula1>
    </dataValidation>
    <dataValidation type="list" allowBlank="1" showErrorMessage="1" sqref="J63">
      <formula1>'10월'!$AB$63:$AI$63</formula1>
    </dataValidation>
    <dataValidation type="list" allowBlank="1" showErrorMessage="1" sqref="J362">
      <formula1>'10월'!$AB$362:$AI$362</formula1>
    </dataValidation>
    <dataValidation type="list" allowBlank="1" showErrorMessage="1" sqref="J452">
      <formula1>'10월'!$AB$452:$AI$452</formula1>
    </dataValidation>
    <dataValidation type="list" allowBlank="1" showErrorMessage="1" sqref="J453">
      <formula1>'10월'!$AB$453:$AI$453</formula1>
    </dataValidation>
    <dataValidation type="list" allowBlank="1" showErrorMessage="1" sqref="J278">
      <formula1>'10월'!$AB$278:$AI$278</formula1>
    </dataValidation>
    <dataValidation type="list" allowBlank="1" showErrorMessage="1" sqref="J415">
      <formula1>'10월'!$AB$415:$AI$415</formula1>
    </dataValidation>
    <dataValidation type="list" allowBlank="1" showErrorMessage="1" sqref="J405">
      <formula1>'10월'!$AB$405:$AI$405</formula1>
    </dataValidation>
    <dataValidation type="list" allowBlank="1" showErrorMessage="1" sqref="J491">
      <formula1>'10월'!$AB$491:$AI$491</formula1>
    </dataValidation>
    <dataValidation type="list" allowBlank="1" showErrorMessage="1" sqref="J184">
      <formula1>'10월'!$AB$184:$AI$184</formula1>
    </dataValidation>
    <dataValidation type="list" allowBlank="1" showErrorMessage="1" sqref="J311">
      <formula1>'10월'!$AB$311:$AI$311</formula1>
    </dataValidation>
    <dataValidation type="list" allowBlank="1" showErrorMessage="1" sqref="J222">
      <formula1>'10월'!$AB$222:$AI$222</formula1>
    </dataValidation>
    <dataValidation type="list" allowBlank="1" showErrorMessage="1" sqref="J329">
      <formula1>'10월'!$AB$329:$AI$329</formula1>
    </dataValidation>
    <dataValidation type="list" allowBlank="1" showErrorMessage="1" sqref="J95">
      <formula1>'10월'!$AB$95:$AI$95</formula1>
    </dataValidation>
    <dataValidation type="list" allowBlank="1" showErrorMessage="1" sqref="J496">
      <formula1>'10월'!$AB$496:$AI$496</formula1>
    </dataValidation>
    <dataValidation type="list" allowBlank="1" showErrorMessage="1" sqref="J273">
      <formula1>'10월'!$AB$273:$AI$273</formula1>
    </dataValidation>
    <dataValidation type="list" allowBlank="1" showErrorMessage="1" sqref="J458">
      <formula1>'10월'!$AB$458:$AI$458</formula1>
    </dataValidation>
    <dataValidation type="list" allowBlank="1" showErrorMessage="1" sqref="J146">
      <formula1>'10월'!$AB$146:$AI$146</formula1>
    </dataValidation>
    <dataValidation type="list" allowBlank="1" showErrorMessage="1" sqref="J326">
      <formula1>'10월'!$AB$326:$AI$326</formula1>
    </dataValidation>
    <dataValidation type="list" allowBlank="1" showErrorMessage="1" sqref="J96">
      <formula1>'10월'!$AB$96:$AI$96</formula1>
    </dataValidation>
    <dataValidation type="list" allowBlank="1" showErrorMessage="1" sqref="J402">
      <formula1>'10월'!$AB$402:$AI$402</formula1>
    </dataValidation>
    <dataValidation type="list" allowBlank="1" showErrorMessage="1" sqref="J171">
      <formula1>'10월'!$AB$171:$AI$171</formula1>
    </dataValidation>
    <dataValidation type="list" allowBlank="1" showErrorMessage="1" sqref="J418">
      <formula1>'10월'!$AB$418:$AI$418</formula1>
    </dataValidation>
    <dataValidation type="list" allowBlank="1" showErrorMessage="1" sqref="J369">
      <formula1>'10월'!$AB$369:$AI$369</formula1>
    </dataValidation>
    <dataValidation type="list" allowBlank="1" showErrorMessage="1" sqref="J275">
      <formula1>'10월'!$AB$275:$AI$275</formula1>
    </dataValidation>
    <dataValidation type="list" allowBlank="1" showErrorMessage="1" sqref="J364">
      <formula1>'10월'!$AB$364:$AI$364</formula1>
    </dataValidation>
    <dataValidation type="list" allowBlank="1" showErrorMessage="1" sqref="J189">
      <formula1>'10월'!$AB$189:$AI$189</formula1>
    </dataValidation>
    <dataValidation type="list" allowBlank="1" showErrorMessage="1" sqref="J237">
      <formula1>'10월'!$AB$237:$AI$237</formula1>
    </dataValidation>
    <dataValidation type="list" allowBlank="1" showErrorMessage="1" sqref="J133">
      <formula1>'10월'!$AB$133:$AI$133</formula1>
    </dataValidation>
    <dataValidation type="list" allowBlank="1" showErrorMessage="1" sqref="J260">
      <formula1>'10월'!$AB$260:$AI$260</formula1>
    </dataValidation>
    <dataValidation type="list" allowBlank="1" showErrorMessage="1" sqref="J313">
      <formula1>'10월'!$AB$313:$AI$313</formula1>
    </dataValidation>
    <dataValidation type="list" allowBlank="1" showErrorMessage="1" sqref="J440">
      <formula1>'10월'!$AB$440:$AI$440</formula1>
    </dataValidation>
    <dataValidation type="list" allowBlank="1" showErrorMessage="1" sqref="J186">
      <formula1>'10월'!$AB$186:$AI$186</formula1>
    </dataValidation>
    <dataValidation type="list" allowBlank="1" showErrorMessage="1" sqref="J455">
      <formula1>'10월'!$AB$455:$AI$455</formula1>
    </dataValidation>
    <dataValidation type="list" allowBlank="1" showErrorMessage="1" sqref="J97">
      <formula1>'10월'!$AB$97:$AI$97</formula1>
    </dataValidation>
    <dataValidation type="list" allowBlank="1" showErrorMessage="1" sqref="J148">
      <formula1>'10월'!$AB$148:$AI$148</formula1>
    </dataValidation>
    <dataValidation type="list" allowBlank="1" showErrorMessage="1" sqref="J366">
      <formula1>'10월'!$AB$366:$AI$366</formula1>
    </dataValidation>
    <dataValidation type="list" allowBlank="1" showErrorMessage="1" sqref="J238">
      <formula1>'10월'!$AB$238:$AI$238</formula1>
    </dataValidation>
    <dataValidation type="list" allowBlank="1" showErrorMessage="1" sqref="J456">
      <formula1>'10월'!$AB$456:$AI$456</formula1>
    </dataValidation>
    <dataValidation type="list" allowBlank="1" showErrorMessage="1" sqref="J276">
      <formula1>'10월'!$AB$276:$AI$276</formula1>
    </dataValidation>
    <dataValidation type="list" allowBlank="1" showErrorMessage="1" sqref="J493">
      <formula1>'10월'!$AB$493:$AI$493</formula1>
    </dataValidation>
    <dataValidation type="list" allowBlank="1" showErrorMessage="1" sqref="J149">
      <formula1>'10월'!$AB$149:$AI$149</formula1>
    </dataValidation>
    <dataValidation type="list" allowBlank="1" showErrorMessage="1" sqref="J99">
      <formula1>'10월'!$AB$99:$AI$99</formula1>
    </dataValidation>
    <dataValidation type="list" allowBlank="1" showErrorMessage="1" sqref="J310">
      <formula1>'10월'!$AB$310:$AI$310</formula1>
    </dataValidation>
    <dataValidation type="list" allowBlank="1" showErrorMessage="1" sqref="J400">
      <formula1>'10월'!$AB$400:$AI$400</formula1>
    </dataValidation>
    <dataValidation type="list" allowBlank="1" showErrorMessage="1" sqref="J239">
      <formula1>'10월'!$AB$239:$AI$239</formula1>
    </dataValidation>
    <dataValidation type="list" allowBlank="1" showErrorMessage="1" sqref="J131">
      <formula1>'10월'!$AB$131:$AI$131</formula1>
    </dataValidation>
    <dataValidation type="list" allowBlank="1" showErrorMessage="1" sqref="J495">
      <formula1>'10월'!$AB$495:$AI$495</formula1>
    </dataValidation>
    <dataValidation type="list" allowBlank="1" showErrorMessage="1" sqref="J130">
      <formula1>'10월'!$AB$130:$AI$130</formula1>
    </dataValidation>
    <dataValidation type="list" allowBlank="1" showErrorMessage="1" sqref="J220">
      <formula1>'10월'!$AB$220:$AI$220</formula1>
    </dataValidation>
    <dataValidation type="list" allowBlank="1" showErrorMessage="1" sqref="J494">
      <formula1>'10월'!$AB$494:$AI$494</formula1>
    </dataValidation>
    <dataValidation type="list" allowBlank="1" showErrorMessage="1" sqref="I62:I500">
      <formula1>'설정시트'!$C$7:$C$20</formula1>
    </dataValidation>
    <dataValidation type="list" allowBlank="1" showErrorMessage="1" sqref="J187">
      <formula1>'10월'!$AB$187:$AI$187</formula1>
    </dataValidation>
    <dataValidation type="list" allowBlank="1" showErrorMessage="1" sqref="J277">
      <formula1>'10월'!$AB$277:$AI$277</formula1>
    </dataValidation>
    <dataValidation type="list" allowBlank="1" showErrorMessage="1" sqref="J367">
      <formula1>'10월'!$AB$367:$AI$367</formula1>
    </dataValidation>
    <dataValidation type="list" allowBlank="1" showErrorMessage="1" sqref="J457">
      <formula1>'10월'!$AB$457:$AI$457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11.0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45956</v>
      </c>
      <c r="S9" s="117">
        <f t="shared" ref="S9:X9" si="1">R9 + 1</f>
        <v>45957</v>
      </c>
      <c r="T9" s="118">
        <f t="shared" si="1"/>
        <v>45958</v>
      </c>
      <c r="U9" s="118">
        <f t="shared" si="1"/>
        <v>45959</v>
      </c>
      <c r="V9" s="118">
        <f t="shared" si="1"/>
        <v>45960</v>
      </c>
      <c r="W9" s="118">
        <f t="shared" si="1"/>
        <v>45961</v>
      </c>
      <c r="X9" s="119">
        <f t="shared" si="1"/>
        <v>45962</v>
      </c>
      <c r="Y9" s="120"/>
      <c r="AB9" s="121" t="str">
        <f>$H$25</f>
        <v>🍪고정비</v>
      </c>
      <c r="AC9" s="122">
        <f>$K$31</f>
        <v>764579</v>
      </c>
      <c r="AD9" s="123">
        <f t="shared" ref="AD9:AD20" si="4">_xlfn.RANK.EQ(AC9,$AB$9:$AC$20,0) + ROW(AB1)/10000</f>
        <v>2.0001</v>
      </c>
      <c r="AE9" s="123">
        <f t="shared" ref="AE9:AE20" si="5">SMALL($AD$9:$AD$20, ROW(AB1))</f>
        <v>1.0012</v>
      </c>
      <c r="AF9" s="123" t="str">
        <f t="shared" ref="AF9:AF20" si="6">INDEX($AB$9:$AB$20,MATCH(AE9,$AD$9:$AD$20,0))</f>
        <v>🐻 이벤트성</v>
      </c>
      <c r="AG9" s="122">
        <f t="shared" ref="AG9:AG20" si="7">INDEX($AC$9:$AC$20,MATCH(AE9,$AD$9:$AD$20,0))</f>
        <v>2799738</v>
      </c>
    </row>
    <row r="10">
      <c r="E10" s="114" t="s">
        <v>55</v>
      </c>
      <c r="F10" s="115">
        <f t="shared" si="2"/>
        <v>810829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0</v>
      </c>
      <c r="V10" s="126">
        <f t="shared" si="3"/>
        <v>0</v>
      </c>
      <c r="W10" s="126">
        <f t="shared" si="3"/>
        <v>0</v>
      </c>
      <c r="X10" s="126">
        <f t="shared" si="3"/>
        <v>498589</v>
      </c>
      <c r="Y10" s="126">
        <f>SUM(R10:X10)</f>
        <v>498589</v>
      </c>
      <c r="AB10" s="121" t="str">
        <f>$H$33</f>
        <v>🐻고정비</v>
      </c>
      <c r="AC10" s="122">
        <f>$K$39</f>
        <v>507325</v>
      </c>
      <c r="AD10" s="123">
        <f t="shared" si="4"/>
        <v>4.0002</v>
      </c>
      <c r="AE10" s="123">
        <f t="shared" si="5"/>
        <v>2.0001</v>
      </c>
      <c r="AF10" s="123" t="str">
        <f t="shared" si="6"/>
        <v>🍪고정비</v>
      </c>
      <c r="AG10" s="122">
        <f t="shared" si="7"/>
        <v>764579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45963</v>
      </c>
      <c r="S11" s="128">
        <f t="shared" si="8"/>
        <v>45964</v>
      </c>
      <c r="T11" s="117">
        <f t="shared" si="8"/>
        <v>45965</v>
      </c>
      <c r="U11" s="117">
        <f t="shared" si="8"/>
        <v>45966</v>
      </c>
      <c r="V11" s="118">
        <f t="shared" si="8"/>
        <v>45967</v>
      </c>
      <c r="W11" s="129">
        <f t="shared" si="8"/>
        <v>45968</v>
      </c>
      <c r="X11" s="130">
        <f t="shared" si="8"/>
        <v>45969</v>
      </c>
      <c r="Y11" s="131"/>
      <c r="AB11" s="121" t="str">
        <f>$H$41</f>
        <v>🍪생필품</v>
      </c>
      <c r="AC11" s="122">
        <f>$K$47</f>
        <v>0</v>
      </c>
      <c r="AD11" s="123">
        <f t="shared" si="4"/>
        <v>11.0003</v>
      </c>
      <c r="AE11" s="123">
        <f t="shared" si="5"/>
        <v>3.0007</v>
      </c>
      <c r="AF11" s="123" t="str">
        <f t="shared" si="6"/>
        <v>🍪여가비</v>
      </c>
      <c r="AG11" s="122">
        <f t="shared" si="7"/>
        <v>588208</v>
      </c>
    </row>
    <row r="12">
      <c r="C12" s="132" t="s">
        <v>136</v>
      </c>
      <c r="D12" s="133">
        <f>F33</f>
        <v>15418790</v>
      </c>
      <c r="E12" s="114" t="s">
        <v>57</v>
      </c>
      <c r="F12" s="115">
        <f t="shared" si="2"/>
        <v>0</v>
      </c>
      <c r="R12" s="134">
        <f t="shared" ref="R12:X12" si="9">SUMIFS($K$62:$K$500,$H$62:$H$500,R11,$I$62:$I$500,"&lt;&gt;수입",$I$62:$I$500,"&lt;&gt;저축")</f>
        <v>8700</v>
      </c>
      <c r="S12" s="135">
        <f t="shared" si="9"/>
        <v>253500</v>
      </c>
      <c r="T12" s="136">
        <f t="shared" si="9"/>
        <v>11000</v>
      </c>
      <c r="U12" s="136">
        <f t="shared" si="9"/>
        <v>13000</v>
      </c>
      <c r="V12" s="134">
        <f t="shared" si="9"/>
        <v>5500</v>
      </c>
      <c r="W12" s="137">
        <f t="shared" si="9"/>
        <v>42500</v>
      </c>
      <c r="X12" s="137">
        <f t="shared" si="9"/>
        <v>33500</v>
      </c>
      <c r="Y12" s="137">
        <f>SUM(R12:X12)</f>
        <v>367700</v>
      </c>
      <c r="AB12" s="121" t="str">
        <f>$H$49</f>
        <v>🐻생필품</v>
      </c>
      <c r="AC12" s="122">
        <f>$K$55</f>
        <v>25890</v>
      </c>
      <c r="AD12" s="123">
        <f t="shared" si="4"/>
        <v>10.0004</v>
      </c>
      <c r="AE12" s="123">
        <f t="shared" si="5"/>
        <v>4.0002</v>
      </c>
      <c r="AF12" s="123" t="str">
        <f t="shared" si="6"/>
        <v>🐻고정비</v>
      </c>
      <c r="AG12" s="122">
        <f t="shared" si="7"/>
        <v>507325</v>
      </c>
    </row>
    <row r="13">
      <c r="C13" s="46"/>
      <c r="D13" s="138"/>
      <c r="E13" s="114" t="s">
        <v>58</v>
      </c>
      <c r="F13" s="115">
        <f t="shared" si="2"/>
        <v>0</v>
      </c>
      <c r="I13" s="94"/>
      <c r="J13" s="94"/>
      <c r="R13" s="127">
        <f t="shared" ref="R13:X13" si="10">R11+7</f>
        <v>45970</v>
      </c>
      <c r="S13" s="128">
        <f t="shared" si="10"/>
        <v>45971</v>
      </c>
      <c r="T13" s="117">
        <f t="shared" si="10"/>
        <v>45972</v>
      </c>
      <c r="U13" s="117">
        <f t="shared" si="10"/>
        <v>45973</v>
      </c>
      <c r="V13" s="118">
        <f t="shared" si="10"/>
        <v>45974</v>
      </c>
      <c r="W13" s="129">
        <f t="shared" si="10"/>
        <v>45975</v>
      </c>
      <c r="X13" s="130">
        <f t="shared" si="10"/>
        <v>45976</v>
      </c>
      <c r="Y13" s="131"/>
      <c r="AB13" s="121" t="str">
        <f>$M$25</f>
        <v>🍪식비</v>
      </c>
      <c r="AC13" s="122">
        <f>$P$31</f>
        <v>295555</v>
      </c>
      <c r="AD13" s="123">
        <f t="shared" si="4"/>
        <v>8.0005</v>
      </c>
      <c r="AE13" s="123">
        <f t="shared" si="5"/>
        <v>5.001</v>
      </c>
      <c r="AF13" s="123" t="str">
        <f t="shared" si="6"/>
        <v>🐻기타</v>
      </c>
      <c r="AG13" s="122">
        <f t="shared" si="7"/>
        <v>491000</v>
      </c>
    </row>
    <row r="14">
      <c r="C14" s="132" t="s">
        <v>137</v>
      </c>
      <c r="D14" s="133">
        <f>SUM($K$31+$K$39+$K$47+$K$55+$P$31+$P$39+$P$47+$P$55+X31+X39+X47+X55)</f>
        <v>6415837</v>
      </c>
      <c r="E14" s="114" t="s">
        <v>59</v>
      </c>
      <c r="F14" s="115">
        <f t="shared" si="2"/>
        <v>100490</v>
      </c>
      <c r="I14" s="139"/>
      <c r="J14" s="94"/>
      <c r="R14" s="134">
        <f t="shared" ref="R14:X14" si="11">SUMIFS($K$62:$K$500,$H$62:$H$500,R13,$I$62:$I$500,"&lt;&gt;수입",$I$62:$I$500,"&lt;&gt;저축")</f>
        <v>154480</v>
      </c>
      <c r="S14" s="135">
        <f t="shared" si="11"/>
        <v>148890</v>
      </c>
      <c r="T14" s="136">
        <f t="shared" si="11"/>
        <v>1381730</v>
      </c>
      <c r="U14" s="136">
        <f t="shared" si="11"/>
        <v>0</v>
      </c>
      <c r="V14" s="134">
        <f t="shared" si="11"/>
        <v>1373738</v>
      </c>
      <c r="W14" s="137">
        <f t="shared" si="11"/>
        <v>120100</v>
      </c>
      <c r="X14" s="137">
        <f t="shared" si="11"/>
        <v>149640</v>
      </c>
      <c r="Y14" s="137">
        <f>SUM(R14:X14)</f>
        <v>3328578</v>
      </c>
      <c r="AB14" s="121" t="str">
        <f>$M$33</f>
        <v>🐻식비</v>
      </c>
      <c r="AC14" s="122">
        <f>$P$39</f>
        <v>486720</v>
      </c>
      <c r="AD14" s="123">
        <f t="shared" si="4"/>
        <v>6.0006</v>
      </c>
      <c r="AE14" s="123">
        <f t="shared" si="5"/>
        <v>6.0006</v>
      </c>
      <c r="AF14" s="123" t="str">
        <f t="shared" si="6"/>
        <v>🐻식비</v>
      </c>
      <c r="AG14" s="122">
        <f t="shared" si="7"/>
        <v>486720</v>
      </c>
    </row>
    <row r="15">
      <c r="C15" s="46"/>
      <c r="D15" s="138"/>
      <c r="E15" s="114" t="s">
        <v>60</v>
      </c>
      <c r="F15" s="115">
        <f t="shared" si="2"/>
        <v>1250845</v>
      </c>
      <c r="I15" s="139"/>
      <c r="J15" s="94"/>
      <c r="R15" s="127">
        <f t="shared" ref="R15:X15" si="12">R13+7</f>
        <v>45977</v>
      </c>
      <c r="S15" s="128">
        <f t="shared" si="12"/>
        <v>45978</v>
      </c>
      <c r="T15" s="117">
        <f t="shared" si="12"/>
        <v>45979</v>
      </c>
      <c r="U15" s="117">
        <f t="shared" si="12"/>
        <v>45980</v>
      </c>
      <c r="V15" s="118">
        <f t="shared" si="12"/>
        <v>45981</v>
      </c>
      <c r="W15" s="129">
        <f t="shared" si="12"/>
        <v>45982</v>
      </c>
      <c r="X15" s="130">
        <f t="shared" si="12"/>
        <v>45983</v>
      </c>
      <c r="Y15" s="131"/>
      <c r="AB15" s="121" t="str">
        <f>$M$41</f>
        <v>🍪여가비</v>
      </c>
      <c r="AC15" s="122">
        <f>$P$47</f>
        <v>588208</v>
      </c>
      <c r="AD15" s="123">
        <f t="shared" si="4"/>
        <v>3.0007</v>
      </c>
      <c r="AE15" s="123">
        <f t="shared" si="5"/>
        <v>7.0011</v>
      </c>
      <c r="AF15" s="123" t="str">
        <f t="shared" si="6"/>
        <v>🍪이벤트성</v>
      </c>
      <c r="AG15" s="122">
        <f t="shared" si="7"/>
        <v>406822</v>
      </c>
    </row>
    <row r="16">
      <c r="C16" s="132" t="s">
        <v>138</v>
      </c>
      <c r="D16" s="133">
        <f>F43</f>
        <v>100000</v>
      </c>
      <c r="E16" s="114" t="s">
        <v>61</v>
      </c>
      <c r="F16" s="115">
        <f t="shared" si="2"/>
        <v>304275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120000</v>
      </c>
      <c r="S16" s="135">
        <f t="shared" si="13"/>
        <v>435455</v>
      </c>
      <c r="T16" s="136">
        <f t="shared" si="13"/>
        <v>5200</v>
      </c>
      <c r="U16" s="136">
        <f t="shared" si="13"/>
        <v>40000</v>
      </c>
      <c r="V16" s="134">
        <f t="shared" si="13"/>
        <v>47780</v>
      </c>
      <c r="W16" s="137">
        <f t="shared" si="13"/>
        <v>173900</v>
      </c>
      <c r="X16" s="137">
        <f t="shared" si="13"/>
        <v>0</v>
      </c>
      <c r="Y16" s="137">
        <f>SUM(R16:X16)</f>
        <v>822335</v>
      </c>
      <c r="AB16" s="121" t="str">
        <f>$M$49</f>
        <v>🐻여가비</v>
      </c>
      <c r="AC16" s="122">
        <f>$P$55</f>
        <v>0</v>
      </c>
      <c r="AD16" s="123">
        <f t="shared" si="4"/>
        <v>11.0008</v>
      </c>
      <c r="AE16" s="123">
        <f t="shared" si="5"/>
        <v>8.0005</v>
      </c>
      <c r="AF16" s="123" t="str">
        <f t="shared" si="6"/>
        <v>🍪식비</v>
      </c>
      <c r="AG16" s="122">
        <f t="shared" si="7"/>
        <v>295555</v>
      </c>
    </row>
    <row r="17">
      <c r="C17" s="46"/>
      <c r="D17" s="138"/>
      <c r="E17" s="114" t="s">
        <v>62</v>
      </c>
      <c r="F17" s="115">
        <f t="shared" si="2"/>
        <v>180000</v>
      </c>
      <c r="H17" s="142"/>
      <c r="I17" s="143"/>
      <c r="J17" s="144"/>
      <c r="K17" s="145"/>
      <c r="R17" s="127">
        <f t="shared" ref="R17:X17" si="14">R15+7</f>
        <v>45984</v>
      </c>
      <c r="S17" s="128">
        <f t="shared" si="14"/>
        <v>45985</v>
      </c>
      <c r="T17" s="117">
        <f t="shared" si="14"/>
        <v>45986</v>
      </c>
      <c r="U17" s="117">
        <f t="shared" si="14"/>
        <v>45987</v>
      </c>
      <c r="V17" s="118">
        <f t="shared" si="14"/>
        <v>45988</v>
      </c>
      <c r="W17" s="129">
        <f t="shared" si="14"/>
        <v>45989</v>
      </c>
      <c r="X17" s="130">
        <f t="shared" si="14"/>
        <v>45990</v>
      </c>
      <c r="Y17" s="131"/>
      <c r="AB17" s="121" t="str">
        <f>$R$25</f>
        <v>🍪기타</v>
      </c>
      <c r="AC17" s="122">
        <f>$X$31</f>
        <v>50000</v>
      </c>
      <c r="AD17" s="123">
        <f t="shared" si="4"/>
        <v>9.0009</v>
      </c>
      <c r="AE17" s="123">
        <f t="shared" si="5"/>
        <v>9.0009</v>
      </c>
      <c r="AF17" s="123" t="str">
        <f t="shared" si="6"/>
        <v>🍪기타</v>
      </c>
      <c r="AG17" s="122">
        <f t="shared" si="7"/>
        <v>50000</v>
      </c>
    </row>
    <row r="18">
      <c r="C18" s="146" t="s">
        <v>140</v>
      </c>
      <c r="D18" s="147">
        <f>D12-D14-D16</f>
        <v>8902953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679071</v>
      </c>
      <c r="S18" s="148">
        <f t="shared" si="15"/>
        <v>277054</v>
      </c>
      <c r="T18" s="149">
        <f t="shared" si="15"/>
        <v>536995</v>
      </c>
      <c r="U18" s="149">
        <f t="shared" si="15"/>
        <v>59515</v>
      </c>
      <c r="V18" s="126">
        <f t="shared" si="15"/>
        <v>0</v>
      </c>
      <c r="W18" s="150">
        <f t="shared" si="15"/>
        <v>0</v>
      </c>
      <c r="X18" s="150">
        <f t="shared" si="15"/>
        <v>0</v>
      </c>
      <c r="Y18" s="150">
        <f>SUM(R18:X18)</f>
        <v>1552635</v>
      </c>
      <c r="AB18" s="121" t="str">
        <f>$R$33</f>
        <v>🐻기타</v>
      </c>
      <c r="AC18" s="122">
        <f>$X$39</f>
        <v>491000</v>
      </c>
      <c r="AD18" s="123">
        <f t="shared" si="4"/>
        <v>5.001</v>
      </c>
      <c r="AE18" s="123">
        <f t="shared" si="5"/>
        <v>10.0004</v>
      </c>
      <c r="AF18" s="123" t="str">
        <f t="shared" si="6"/>
        <v>🐻생필품</v>
      </c>
      <c r="AG18" s="122">
        <f t="shared" si="7"/>
        <v>25890</v>
      </c>
    </row>
    <row r="19">
      <c r="C19" s="151" t="s">
        <v>141</v>
      </c>
      <c r="D19" s="152">
        <f>(D16+D18)/D12</f>
        <v>0.58389491</v>
      </c>
      <c r="E19" s="114" t="s">
        <v>64</v>
      </c>
      <c r="F19" s="115">
        <f t="shared" si="2"/>
        <v>3923398</v>
      </c>
      <c r="H19" s="142"/>
      <c r="I19" s="143"/>
      <c r="J19" s="144"/>
      <c r="K19" s="145"/>
      <c r="R19" s="153">
        <f t="shared" ref="R19:X19" si="16">R17+7</f>
        <v>45991</v>
      </c>
      <c r="S19" s="154">
        <f t="shared" si="16"/>
        <v>45992</v>
      </c>
      <c r="T19" s="155">
        <f t="shared" si="16"/>
        <v>45993</v>
      </c>
      <c r="U19" s="155">
        <f t="shared" si="16"/>
        <v>45994</v>
      </c>
      <c r="V19" s="156">
        <f t="shared" si="16"/>
        <v>45995</v>
      </c>
      <c r="W19" s="157">
        <f t="shared" si="16"/>
        <v>45996</v>
      </c>
      <c r="X19" s="158">
        <f t="shared" si="16"/>
        <v>45997</v>
      </c>
      <c r="Y19" s="159"/>
      <c r="AB19" s="121" t="str">
        <f>$R$41</f>
        <v>🍪이벤트성</v>
      </c>
      <c r="AC19" s="122">
        <f>$X$47</f>
        <v>406822</v>
      </c>
      <c r="AD19" s="123">
        <f t="shared" si="4"/>
        <v>7.0011</v>
      </c>
      <c r="AE19" s="123">
        <f t="shared" si="5"/>
        <v>11.0003</v>
      </c>
      <c r="AF19" s="123" t="str">
        <f t="shared" si="6"/>
        <v>🍪생필품</v>
      </c>
      <c r="AG19" s="122">
        <f t="shared" si="7"/>
        <v>0</v>
      </c>
    </row>
    <row r="20">
      <c r="C20" s="160" t="s">
        <v>142</v>
      </c>
      <c r="D20" s="161">
        <f>D18/D12</f>
        <v>0.5774093168</v>
      </c>
      <c r="E20" s="162" t="s">
        <v>65</v>
      </c>
      <c r="F20" s="163">
        <f>SUM($F$9:$F$19)</f>
        <v>6569837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2799738</v>
      </c>
      <c r="AD20" s="123">
        <f t="shared" si="4"/>
        <v>1.0012</v>
      </c>
      <c r="AE20" s="123">
        <f t="shared" si="5"/>
        <v>11.0008</v>
      </c>
      <c r="AF20" s="123" t="str">
        <f t="shared" si="6"/>
        <v>🐻여가비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3312520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400000</v>
      </c>
      <c r="M26" s="45"/>
      <c r="N26" s="41" t="s">
        <v>28</v>
      </c>
      <c r="O26" s="179"/>
      <c r="P26" s="115">
        <f t="shared" si="20"/>
        <v>98000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0</v>
      </c>
      <c r="Y26" s="145"/>
    </row>
    <row r="27">
      <c r="C27" s="45"/>
      <c r="D27" s="41" t="s">
        <v>6</v>
      </c>
      <c r="E27" s="179"/>
      <c r="F27" s="115">
        <f t="shared" si="18"/>
        <v>4399920</v>
      </c>
      <c r="H27" s="45"/>
      <c r="I27" s="41" t="s">
        <v>17</v>
      </c>
      <c r="J27" s="179"/>
      <c r="K27" s="115">
        <f t="shared" si="19"/>
        <v>130454</v>
      </c>
      <c r="M27" s="45"/>
      <c r="N27" s="41" t="s">
        <v>29</v>
      </c>
      <c r="O27" s="179"/>
      <c r="P27" s="115">
        <f t="shared" si="20"/>
        <v>80055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1305450</v>
      </c>
      <c r="H28" s="45"/>
      <c r="I28" s="41" t="s">
        <v>18</v>
      </c>
      <c r="J28" s="179"/>
      <c r="K28" s="115">
        <f t="shared" si="19"/>
        <v>43750</v>
      </c>
      <c r="M28" s="45"/>
      <c r="N28" s="41" t="s">
        <v>30</v>
      </c>
      <c r="O28" s="179"/>
      <c r="P28" s="115">
        <f t="shared" si="20"/>
        <v>117500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0</v>
      </c>
      <c r="Y28" s="145"/>
    </row>
    <row r="29">
      <c r="C29" s="45"/>
      <c r="D29" s="41" t="s">
        <v>8</v>
      </c>
      <c r="E29" s="179"/>
      <c r="F29" s="115">
        <f t="shared" si="18"/>
        <v>6400900</v>
      </c>
      <c r="H29" s="45"/>
      <c r="I29" s="41" t="s">
        <v>19</v>
      </c>
      <c r="J29" s="179"/>
      <c r="K29" s="115">
        <f t="shared" si="19"/>
        <v>190375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50000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764579</v>
      </c>
      <c r="M31" s="187" t="str">
        <f>IF(M25=0,"","총"&amp;M25)</f>
        <v>총🍪식비</v>
      </c>
      <c r="N31" s="188"/>
      <c r="O31" s="175"/>
      <c r="P31" s="189">
        <f>SUM(P25:P30)</f>
        <v>295555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50000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764579</v>
      </c>
      <c r="M32" s="184"/>
      <c r="N32" s="191"/>
      <c r="O32" s="185"/>
      <c r="P32" s="193">
        <f>P31-O25</f>
        <v>295555</v>
      </c>
      <c r="R32" s="184"/>
      <c r="S32" s="191"/>
      <c r="T32" s="191"/>
      <c r="U32" s="191"/>
      <c r="V32" s="191"/>
      <c r="W32" s="185"/>
      <c r="X32" s="194">
        <f>X31-V25</f>
        <v>50000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15418790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231810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285080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45000</v>
      </c>
      <c r="Y33" s="145"/>
    </row>
    <row r="34">
      <c r="C34" s="184"/>
      <c r="D34" s="191"/>
      <c r="E34" s="185"/>
      <c r="F34" s="195">
        <f>F33-E25</f>
        <v>15418790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438100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45040</v>
      </c>
      <c r="M35" s="45"/>
      <c r="N35" s="41" t="s">
        <v>29</v>
      </c>
      <c r="O35" s="179"/>
      <c r="P35" s="115">
        <f t="shared" si="23"/>
        <v>50000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100475</v>
      </c>
      <c r="M36" s="45"/>
      <c r="N36" s="41" t="s">
        <v>30</v>
      </c>
      <c r="O36" s="179"/>
      <c r="P36" s="115">
        <f t="shared" si="23"/>
        <v>151640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7900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130000</v>
      </c>
      <c r="M37" s="45"/>
      <c r="N37" s="41" t="s">
        <v>8</v>
      </c>
      <c r="O37" s="179"/>
      <c r="P37" s="115">
        <f t="shared" si="23"/>
        <v>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0</v>
      </c>
      <c r="Y37" s="145"/>
    </row>
    <row r="38">
      <c r="C38" s="45"/>
      <c r="D38" s="41" t="s">
        <v>13</v>
      </c>
      <c r="E38" s="179"/>
      <c r="F38" s="115">
        <f t="shared" si="25"/>
        <v>100000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507325</v>
      </c>
      <c r="M39" s="187" t="str">
        <f>IF(M33=0,"","총"&amp;M33)</f>
        <v>총🐻식비</v>
      </c>
      <c r="N39" s="188"/>
      <c r="O39" s="175"/>
      <c r="P39" s="189">
        <f>SUM(P33:P38)</f>
        <v>486720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491000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507325</v>
      </c>
      <c r="M40" s="184"/>
      <c r="N40" s="191"/>
      <c r="O40" s="185"/>
      <c r="P40" s="193">
        <f>P39-O33</f>
        <v>486720</v>
      </c>
      <c r="R40" s="184"/>
      <c r="S40" s="191"/>
      <c r="T40" s="191"/>
      <c r="U40" s="191"/>
      <c r="V40" s="191"/>
      <c r="W40" s="185"/>
      <c r="X40" s="194">
        <f>X39-V33</f>
        <v>491000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559328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0</v>
      </c>
      <c r="M42" s="45"/>
      <c r="N42" s="41" t="s">
        <v>34</v>
      </c>
      <c r="O42" s="179"/>
      <c r="P42" s="115">
        <f t="shared" si="27"/>
        <v>1900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100000</v>
      </c>
      <c r="H43" s="45"/>
      <c r="I43" s="41" t="s">
        <v>8</v>
      </c>
      <c r="J43" s="179"/>
      <c r="K43" s="115">
        <f t="shared" si="26"/>
        <v>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100000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5000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59343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21980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347479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0</v>
      </c>
      <c r="M47" s="187" t="str">
        <f>IF(M41=0,"","총"&amp;M41)</f>
        <v>총🍪여가비</v>
      </c>
      <c r="N47" s="188"/>
      <c r="O47" s="175"/>
      <c r="P47" s="189">
        <f>SUM(P41:P46)</f>
        <v>588208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406822</v>
      </c>
      <c r="Y47" s="145"/>
    </row>
    <row r="48">
      <c r="H48" s="184"/>
      <c r="I48" s="191"/>
      <c r="J48" s="185"/>
      <c r="K48" s="193">
        <f>K47-J41</f>
        <v>0</v>
      </c>
      <c r="M48" s="184"/>
      <c r="N48" s="191"/>
      <c r="O48" s="185"/>
      <c r="P48" s="193">
        <f>P47-O41</f>
        <v>588208</v>
      </c>
      <c r="R48" s="184"/>
      <c r="S48" s="191"/>
      <c r="T48" s="191"/>
      <c r="U48" s="191"/>
      <c r="V48" s="191"/>
      <c r="W48" s="185"/>
      <c r="X48" s="194">
        <f>X47-V41</f>
        <v>406822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50000</v>
      </c>
      <c r="Y49" s="145"/>
    </row>
    <row r="50">
      <c r="H50" s="45"/>
      <c r="I50" s="41" t="s">
        <v>24</v>
      </c>
      <c r="J50" s="179"/>
      <c r="K50" s="115">
        <f t="shared" si="29"/>
        <v>25890</v>
      </c>
      <c r="M50" s="45"/>
      <c r="N50" s="41" t="s">
        <v>34</v>
      </c>
      <c r="O50" s="179"/>
      <c r="P50" s="115">
        <f t="shared" si="30"/>
        <v>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0</v>
      </c>
      <c r="Y50" s="145"/>
    </row>
    <row r="51">
      <c r="H51" s="45"/>
      <c r="I51" s="41" t="s">
        <v>8</v>
      </c>
      <c r="J51" s="179"/>
      <c r="K51" s="115">
        <f t="shared" si="29"/>
        <v>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2651138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98600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25890</v>
      </c>
      <c r="M55" s="187" t="str">
        <f>IF(M49=0,"","총"&amp;M49)</f>
        <v>총🐻여가비</v>
      </c>
      <c r="N55" s="188"/>
      <c r="O55" s="175"/>
      <c r="P55" s="189">
        <f>SUM(P49:P54)</f>
        <v>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2799738</v>
      </c>
      <c r="Y55" s="145"/>
    </row>
    <row r="56">
      <c r="H56" s="196"/>
      <c r="I56" s="197"/>
      <c r="J56" s="198"/>
      <c r="K56" s="200">
        <f>K55-J49</f>
        <v>25890</v>
      </c>
      <c r="M56" s="196"/>
      <c r="N56" s="197"/>
      <c r="O56" s="198"/>
      <c r="P56" s="200">
        <f>P55-O49</f>
        <v>0</v>
      </c>
      <c r="R56" s="196"/>
      <c r="S56" s="197"/>
      <c r="T56" s="197"/>
      <c r="U56" s="197"/>
      <c r="V56" s="197"/>
      <c r="W56" s="198"/>
      <c r="X56" s="201">
        <f>X55-V49</f>
        <v>2799738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-6415837</v>
      </c>
      <c r="Y61" s="8"/>
    </row>
    <row r="62">
      <c r="H62" s="208">
        <v>45962.0</v>
      </c>
      <c r="I62" s="209" t="s">
        <v>21</v>
      </c>
      <c r="J62" s="209" t="s">
        <v>18</v>
      </c>
      <c r="K62" s="210">
        <v>9900.0</v>
      </c>
      <c r="L62" s="211" t="s">
        <v>61</v>
      </c>
      <c r="M62" s="143"/>
      <c r="N62" s="211" t="s">
        <v>953</v>
      </c>
      <c r="O62" s="212"/>
      <c r="P62" s="212"/>
      <c r="Q62" s="143"/>
      <c r="R62" s="213"/>
      <c r="S62" s="212"/>
      <c r="T62" s="145"/>
      <c r="AB62" s="214" t="str">
        <f>IFERROR(__xludf.DUMMYFUNCTION("FILTER('설정시트'!$D$7:$L$20,'설정시트'!$C$7:$C$20=I62)"),"관리비")</f>
        <v>관리비</v>
      </c>
      <c r="AC62" s="214" t="str">
        <f>IFERROR(__xludf.DUMMYFUNCTION("""COMPUTED_VALUE"""),"대출이자")</f>
        <v>대출이자</v>
      </c>
      <c r="AD62" s="214" t="str">
        <f>IFERROR(__xludf.DUMMYFUNCTION("""COMPUTED_VALUE"""),"통신비")</f>
        <v>통신비</v>
      </c>
      <c r="AE62" s="214" t="str">
        <f>IFERROR(__xludf.DUMMYFUNCTION("""COMPUTED_VALUE"""),"보험료")</f>
        <v>보험료</v>
      </c>
      <c r="AF62" s="214" t="str">
        <f>IFERROR(__xludf.DUMMYFUNCTION("""COMPUTED_VALUE"""),"곗돈")</f>
        <v>곗돈</v>
      </c>
      <c r="AG62" s="214"/>
      <c r="AH62" s="214"/>
      <c r="AI62" s="214"/>
      <c r="AJ62" s="215"/>
    </row>
    <row r="63">
      <c r="H63" s="208">
        <v>45962.0</v>
      </c>
      <c r="I63" s="209" t="s">
        <v>45</v>
      </c>
      <c r="J63" s="209" t="s">
        <v>43</v>
      </c>
      <c r="K63" s="210">
        <v>3400.0</v>
      </c>
      <c r="L63" s="211" t="s">
        <v>64</v>
      </c>
      <c r="M63" s="143"/>
      <c r="N63" s="211" t="s">
        <v>954</v>
      </c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IFERROR(__xludf.DUMMYFUNCTION("FILTER('설정시트'!$D$7:$L$20,'설정시트'!$C$7:$C$20=I63)"),"약국")</f>
        <v>약국</v>
      </c>
      <c r="AC63" s="214" t="str">
        <f>IFERROR(__xludf.DUMMYFUNCTION("""COMPUTED_VALUE"""),"병원비")</f>
        <v>병원비</v>
      </c>
      <c r="AD63" s="214" t="str">
        <f>IFERROR(__xludf.DUMMYFUNCTION("""COMPUTED_VALUE"""),"영양제")</f>
        <v>영양제</v>
      </c>
      <c r="AE63" s="214" t="str">
        <f>IFERROR(__xludf.DUMMYFUNCTION("""COMPUTED_VALUE"""),"교통비")</f>
        <v>교통비</v>
      </c>
      <c r="AF63" s="214" t="str">
        <f>IFERROR(__xludf.DUMMYFUNCTION("""COMPUTED_VALUE"""),"주유비")</f>
        <v>주유비</v>
      </c>
      <c r="AG63" s="214"/>
      <c r="AH63" s="214" t="str">
        <f>IFERROR(__xludf.DUMMYFUNCTION("""COMPUTED_VALUE"""),"기타")</f>
        <v>기타</v>
      </c>
      <c r="AI63" s="214"/>
      <c r="AJ63" s="215"/>
    </row>
    <row r="64">
      <c r="H64" s="208">
        <v>45962.0</v>
      </c>
      <c r="I64" s="209" t="s">
        <v>31</v>
      </c>
      <c r="J64" s="209" t="s">
        <v>27</v>
      </c>
      <c r="K64" s="210">
        <v>147810.0</v>
      </c>
      <c r="L64" s="211" t="s">
        <v>64</v>
      </c>
      <c r="M64" s="143"/>
      <c r="N64" s="211" t="s">
        <v>864</v>
      </c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IFERROR(__xludf.DUMMYFUNCTION("FILTER('설정시트'!$D$7:$L$20,'설정시트'!$C$7:$C$20=I64)"),"식재료비")</f>
        <v>식재료비</v>
      </c>
      <c r="AC64" s="214" t="str">
        <f>IFERROR(__xludf.DUMMYFUNCTION("""COMPUTED_VALUE"""),"회사점심")</f>
        <v>회사점심</v>
      </c>
      <c r="AD64" s="214" t="str">
        <f>IFERROR(__xludf.DUMMYFUNCTION("""COMPUTED_VALUE"""),"간식/카페")</f>
        <v>간식/카페</v>
      </c>
      <c r="AE64" s="214" t="str">
        <f>IFERROR(__xludf.DUMMYFUNCTION("""COMPUTED_VALUE"""),"외식/배달")</f>
        <v>외식/배달</v>
      </c>
      <c r="AF64" s="214" t="str">
        <f>IFERROR(__xludf.DUMMYFUNCTION("""COMPUTED_VALUE"""),"기타")</f>
        <v>기타</v>
      </c>
      <c r="AG64" s="214"/>
      <c r="AH64" s="214"/>
      <c r="AI64" s="214"/>
      <c r="AJ64" s="215"/>
    </row>
    <row r="65">
      <c r="H65" s="208">
        <v>45962.0</v>
      </c>
      <c r="I65" s="209" t="s">
        <v>31</v>
      </c>
      <c r="J65" s="209" t="s">
        <v>29</v>
      </c>
      <c r="K65" s="210">
        <v>13000.0</v>
      </c>
      <c r="L65" s="211" t="s">
        <v>64</v>
      </c>
      <c r="M65" s="143"/>
      <c r="N65" s="211" t="s">
        <v>955</v>
      </c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IFERROR(__xludf.DUMMYFUNCTION("FILTER('설정시트'!$D$7:$L$20,'설정시트'!$C$7:$C$20=I65)"),"식재료비")</f>
        <v>식재료비</v>
      </c>
      <c r="AC65" s="214" t="str">
        <f>IFERROR(__xludf.DUMMYFUNCTION("""COMPUTED_VALUE"""),"회사점심")</f>
        <v>회사점심</v>
      </c>
      <c r="AD65" s="214" t="str">
        <f>IFERROR(__xludf.DUMMYFUNCTION("""COMPUTED_VALUE"""),"간식/카페")</f>
        <v>간식/카페</v>
      </c>
      <c r="AE65" s="214" t="str">
        <f>IFERROR(__xludf.DUMMYFUNCTION("""COMPUTED_VALUE"""),"외식/배달")</f>
        <v>외식/배달</v>
      </c>
      <c r="AF65" s="214" t="str">
        <f>IFERROR(__xludf.DUMMYFUNCTION("""COMPUTED_VALUE"""),"기타")</f>
        <v>기타</v>
      </c>
      <c r="AG65" s="214"/>
      <c r="AH65" s="214"/>
      <c r="AI65" s="214"/>
      <c r="AJ65" s="215"/>
    </row>
    <row r="66">
      <c r="H66" s="208">
        <v>45962.0</v>
      </c>
      <c r="I66" s="209" t="s">
        <v>45</v>
      </c>
      <c r="J66" s="209" t="s">
        <v>41</v>
      </c>
      <c r="K66" s="210">
        <v>27000.0</v>
      </c>
      <c r="L66" s="211" t="s">
        <v>64</v>
      </c>
      <c r="M66" s="143"/>
      <c r="N66" s="211" t="s">
        <v>956</v>
      </c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IFERROR(__xludf.DUMMYFUNCTION("FILTER('설정시트'!$D$7:$L$20,'설정시트'!$C$7:$C$20=I66)"),"약국")</f>
        <v>약국</v>
      </c>
      <c r="AC66" s="214" t="str">
        <f>IFERROR(__xludf.DUMMYFUNCTION("""COMPUTED_VALUE"""),"병원비")</f>
        <v>병원비</v>
      </c>
      <c r="AD66" s="214" t="str">
        <f>IFERROR(__xludf.DUMMYFUNCTION("""COMPUTED_VALUE"""),"영양제")</f>
        <v>영양제</v>
      </c>
      <c r="AE66" s="214" t="str">
        <f>IFERROR(__xludf.DUMMYFUNCTION("""COMPUTED_VALUE"""),"교통비")</f>
        <v>교통비</v>
      </c>
      <c r="AF66" s="214" t="str">
        <f>IFERROR(__xludf.DUMMYFUNCTION("""COMPUTED_VALUE"""),"주유비")</f>
        <v>주유비</v>
      </c>
      <c r="AG66" s="214"/>
      <c r="AH66" s="214" t="str">
        <f>IFERROR(__xludf.DUMMYFUNCTION("""COMPUTED_VALUE"""),"기타")</f>
        <v>기타</v>
      </c>
      <c r="AI66" s="214"/>
      <c r="AJ66" s="215"/>
    </row>
    <row r="67">
      <c r="H67" s="208">
        <v>45962.0</v>
      </c>
      <c r="I67" s="209" t="s">
        <v>46</v>
      </c>
      <c r="J67" s="209" t="s">
        <v>51</v>
      </c>
      <c r="K67" s="210">
        <v>297479.0</v>
      </c>
      <c r="L67" s="211" t="s">
        <v>60</v>
      </c>
      <c r="M67" s="143"/>
      <c r="N67" s="211" t="s">
        <v>957</v>
      </c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IFERROR(__xludf.DUMMYFUNCTION("FILTER('설정시트'!$D$7:$L$20,'설정시트'!$C$7:$C$20=I67)"),"축의/부의금")</f>
        <v>축의/부의금</v>
      </c>
      <c r="AC67" s="214" t="str">
        <f>IFERROR(__xludf.DUMMYFUNCTION("""COMPUTED_VALUE"""),"생신/생일선물")</f>
        <v>생신/생일선물</v>
      </c>
      <c r="AD67" s="214" t="str">
        <f>IFERROR(__xludf.DUMMYFUNCTION("""COMPUTED_VALUE"""),"명절/어버이날")</f>
        <v>명절/어버이날</v>
      </c>
      <c r="AE67" s="214" t="str">
        <f>IFERROR(__xludf.DUMMYFUNCTION("""COMPUTED_VALUE"""),"여행")</f>
        <v>여행</v>
      </c>
      <c r="AF67" s="214" t="str">
        <f>IFERROR(__xludf.DUMMYFUNCTION("""COMPUTED_VALUE"""),"기타")</f>
        <v>기타</v>
      </c>
      <c r="AG67" s="214" t="str">
        <f>IFERROR(__xludf.DUMMYFUNCTION("""COMPUTED_VALUE"""),"출산")</f>
        <v>출산</v>
      </c>
      <c r="AH67" s="214"/>
      <c r="AI67" s="214"/>
      <c r="AJ67" s="215"/>
    </row>
    <row r="68">
      <c r="H68" s="208">
        <v>45963.0</v>
      </c>
      <c r="I68" s="209" t="s">
        <v>25</v>
      </c>
      <c r="J68" s="209" t="s">
        <v>24</v>
      </c>
      <c r="K68" s="210">
        <v>2000.0</v>
      </c>
      <c r="L68" s="211" t="s">
        <v>61</v>
      </c>
      <c r="M68" s="143"/>
      <c r="N68" s="211" t="s">
        <v>229</v>
      </c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IFERROR(__xludf.DUMMYFUNCTION("FILTER('설정시트'!$D$7:$L$20,'설정시트'!$C$7:$C$20=I68)"),"주방/욕실")</f>
        <v>주방/욕실</v>
      </c>
      <c r="AC68" s="214" t="str">
        <f>IFERROR(__xludf.DUMMYFUNCTION("""COMPUTED_VALUE"""),"소모품")</f>
        <v>소모품</v>
      </c>
      <c r="AD68" s="214" t="str">
        <f>IFERROR(__xludf.DUMMYFUNCTION("""COMPUTED_VALUE"""),"기타")</f>
        <v>기타</v>
      </c>
      <c r="AE68" s="214"/>
      <c r="AF68" s="214"/>
      <c r="AG68" s="214"/>
      <c r="AH68" s="214"/>
      <c r="AI68" s="214"/>
      <c r="AJ68" s="215"/>
    </row>
    <row r="69">
      <c r="H69" s="208">
        <v>45963.0</v>
      </c>
      <c r="I69" s="209" t="s">
        <v>45</v>
      </c>
      <c r="J69" s="209" t="s">
        <v>8</v>
      </c>
      <c r="K69" s="210">
        <v>3000.0</v>
      </c>
      <c r="L69" s="211" t="s">
        <v>61</v>
      </c>
      <c r="M69" s="143"/>
      <c r="N69" s="213"/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IFERROR(__xludf.DUMMYFUNCTION("FILTER('설정시트'!$D$7:$L$20,'설정시트'!$C$7:$C$20=I69)"),"약국")</f>
        <v>약국</v>
      </c>
      <c r="AC69" s="214" t="str">
        <f>IFERROR(__xludf.DUMMYFUNCTION("""COMPUTED_VALUE"""),"병원비")</f>
        <v>병원비</v>
      </c>
      <c r="AD69" s="214" t="str">
        <f>IFERROR(__xludf.DUMMYFUNCTION("""COMPUTED_VALUE"""),"영양제")</f>
        <v>영양제</v>
      </c>
      <c r="AE69" s="214" t="str">
        <f>IFERROR(__xludf.DUMMYFUNCTION("""COMPUTED_VALUE"""),"교통비")</f>
        <v>교통비</v>
      </c>
      <c r="AF69" s="214" t="str">
        <f>IFERROR(__xludf.DUMMYFUNCTION("""COMPUTED_VALUE"""),"주유비")</f>
        <v>주유비</v>
      </c>
      <c r="AG69" s="214"/>
      <c r="AH69" s="214" t="str">
        <f>IFERROR(__xludf.DUMMYFUNCTION("""COMPUTED_VALUE"""),"기타")</f>
        <v>기타</v>
      </c>
      <c r="AI69" s="214"/>
      <c r="AJ69" s="215"/>
    </row>
    <row r="70">
      <c r="H70" s="208">
        <v>45963.0</v>
      </c>
      <c r="I70" s="209" t="s">
        <v>45</v>
      </c>
      <c r="J70" s="209" t="s">
        <v>43</v>
      </c>
      <c r="K70" s="210">
        <v>1800.0</v>
      </c>
      <c r="L70" s="211" t="s">
        <v>64</v>
      </c>
      <c r="M70" s="143"/>
      <c r="N70" s="211" t="s">
        <v>958</v>
      </c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IFERROR(__xludf.DUMMYFUNCTION("FILTER('설정시트'!$D$7:$L$20,'설정시트'!$C$7:$C$20=I70)"),"약국")</f>
        <v>약국</v>
      </c>
      <c r="AC70" s="214" t="str">
        <f>IFERROR(__xludf.DUMMYFUNCTION("""COMPUTED_VALUE"""),"병원비")</f>
        <v>병원비</v>
      </c>
      <c r="AD70" s="214" t="str">
        <f>IFERROR(__xludf.DUMMYFUNCTION("""COMPUTED_VALUE"""),"영양제")</f>
        <v>영양제</v>
      </c>
      <c r="AE70" s="214" t="str">
        <f>IFERROR(__xludf.DUMMYFUNCTION("""COMPUTED_VALUE"""),"교통비")</f>
        <v>교통비</v>
      </c>
      <c r="AF70" s="214" t="str">
        <f>IFERROR(__xludf.DUMMYFUNCTION("""COMPUTED_VALUE"""),"주유비")</f>
        <v>주유비</v>
      </c>
      <c r="AG70" s="214"/>
      <c r="AH70" s="214" t="str">
        <f>IFERROR(__xludf.DUMMYFUNCTION("""COMPUTED_VALUE"""),"기타")</f>
        <v>기타</v>
      </c>
      <c r="AI70" s="214"/>
      <c r="AJ70" s="215"/>
    </row>
    <row r="71">
      <c r="H71" s="208">
        <v>45963.0</v>
      </c>
      <c r="I71" s="209" t="s">
        <v>32</v>
      </c>
      <c r="J71" s="209" t="s">
        <v>34</v>
      </c>
      <c r="K71" s="210">
        <v>1900.0</v>
      </c>
      <c r="L71" s="211" t="s">
        <v>60</v>
      </c>
      <c r="M71" s="143"/>
      <c r="N71" s="211" t="s">
        <v>959</v>
      </c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IFERROR(__xludf.DUMMYFUNCTION("FILTER('설정시트'!$D$7:$L$20,'설정시트'!$C$7:$C$20=I71)"),"의류/잡화")</f>
        <v>의류/잡화</v>
      </c>
      <c r="AC71" s="214" t="str">
        <f>IFERROR(__xludf.DUMMYFUNCTION("""COMPUTED_VALUE"""),"OTT")</f>
        <v>OTT</v>
      </c>
      <c r="AD71" s="214" t="str">
        <f>IFERROR(__xludf.DUMMYFUNCTION("""COMPUTED_VALUE"""),"문화생활")</f>
        <v>문화생활</v>
      </c>
      <c r="AE71" s="214" t="str">
        <f>IFERROR(__xludf.DUMMYFUNCTION("""COMPUTED_VALUE"""),"자기계발")</f>
        <v>자기계발</v>
      </c>
      <c r="AF71" s="214" t="str">
        <f>IFERROR(__xludf.DUMMYFUNCTION("""COMPUTED_VALUE"""),"미용")</f>
        <v>미용</v>
      </c>
      <c r="AG71" s="214"/>
      <c r="AH71" s="214" t="str">
        <f>IFERROR(__xludf.DUMMYFUNCTION("""COMPUTED_VALUE"""),"기타")</f>
        <v>기타</v>
      </c>
      <c r="AI71" s="214"/>
      <c r="AJ71" s="215"/>
    </row>
    <row r="72">
      <c r="H72" s="208">
        <v>45964.0</v>
      </c>
      <c r="I72" s="209" t="s">
        <v>45</v>
      </c>
      <c r="J72" s="209" t="s">
        <v>43</v>
      </c>
      <c r="K72" s="210">
        <v>2700.0</v>
      </c>
      <c r="L72" s="211" t="s">
        <v>61</v>
      </c>
      <c r="M72" s="143"/>
      <c r="N72" s="211" t="s">
        <v>717</v>
      </c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IFERROR(__xludf.DUMMYFUNCTION("FILTER('설정시트'!$D$7:$L$20,'설정시트'!$C$7:$C$20=I72)"),"약국")</f>
        <v>약국</v>
      </c>
      <c r="AC72" s="214" t="str">
        <f>IFERROR(__xludf.DUMMYFUNCTION("""COMPUTED_VALUE"""),"병원비")</f>
        <v>병원비</v>
      </c>
      <c r="AD72" s="214" t="str">
        <f>IFERROR(__xludf.DUMMYFUNCTION("""COMPUTED_VALUE"""),"영양제")</f>
        <v>영양제</v>
      </c>
      <c r="AE72" s="214" t="str">
        <f>IFERROR(__xludf.DUMMYFUNCTION("""COMPUTED_VALUE"""),"교통비")</f>
        <v>교통비</v>
      </c>
      <c r="AF72" s="214" t="str">
        <f>IFERROR(__xludf.DUMMYFUNCTION("""COMPUTED_VALUE"""),"주유비")</f>
        <v>주유비</v>
      </c>
      <c r="AG72" s="214"/>
      <c r="AH72" s="214" t="str">
        <f>IFERROR(__xludf.DUMMYFUNCTION("""COMPUTED_VALUE"""),"기타")</f>
        <v>기타</v>
      </c>
      <c r="AI72" s="214"/>
      <c r="AJ72" s="215"/>
    </row>
    <row r="73">
      <c r="H73" s="208">
        <v>45964.0</v>
      </c>
      <c r="I73" s="209" t="s">
        <v>21</v>
      </c>
      <c r="J73" s="209" t="s">
        <v>20</v>
      </c>
      <c r="K73" s="210">
        <v>10000.0</v>
      </c>
      <c r="L73" s="211" t="s">
        <v>62</v>
      </c>
      <c r="M73" s="143"/>
      <c r="N73" s="211" t="s">
        <v>419</v>
      </c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IFERROR(__xludf.DUMMYFUNCTION("FILTER('설정시트'!$D$7:$L$20,'설정시트'!$C$7:$C$20=I73)"),"관리비")</f>
        <v>관리비</v>
      </c>
      <c r="AC73" s="214" t="str">
        <f>IFERROR(__xludf.DUMMYFUNCTION("""COMPUTED_VALUE"""),"대출이자")</f>
        <v>대출이자</v>
      </c>
      <c r="AD73" s="214" t="str">
        <f>IFERROR(__xludf.DUMMYFUNCTION("""COMPUTED_VALUE"""),"통신비")</f>
        <v>통신비</v>
      </c>
      <c r="AE73" s="214" t="str">
        <f>IFERROR(__xludf.DUMMYFUNCTION("""COMPUTED_VALUE"""),"보험료")</f>
        <v>보험료</v>
      </c>
      <c r="AF73" s="214" t="str">
        <f>IFERROR(__xludf.DUMMYFUNCTION("""COMPUTED_VALUE"""),"곗돈")</f>
        <v>곗돈</v>
      </c>
      <c r="AG73" s="214"/>
      <c r="AH73" s="214"/>
      <c r="AI73" s="214"/>
      <c r="AJ73" s="215"/>
    </row>
    <row r="74">
      <c r="H74" s="208">
        <v>45964.0</v>
      </c>
      <c r="I74" s="209" t="s">
        <v>45</v>
      </c>
      <c r="J74" s="209" t="s">
        <v>41</v>
      </c>
      <c r="K74" s="210">
        <v>173900.0</v>
      </c>
      <c r="L74" s="211" t="s">
        <v>64</v>
      </c>
      <c r="M74" s="143"/>
      <c r="N74" s="211" t="s">
        <v>845</v>
      </c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IFERROR(__xludf.DUMMYFUNCTION("FILTER('설정시트'!$D$7:$L$20,'설정시트'!$C$7:$C$20=I74)"),"약국")</f>
        <v>약국</v>
      </c>
      <c r="AC74" s="214" t="str">
        <f>IFERROR(__xludf.DUMMYFUNCTION("""COMPUTED_VALUE"""),"병원비")</f>
        <v>병원비</v>
      </c>
      <c r="AD74" s="214" t="str">
        <f>IFERROR(__xludf.DUMMYFUNCTION("""COMPUTED_VALUE"""),"영양제")</f>
        <v>영양제</v>
      </c>
      <c r="AE74" s="214" t="str">
        <f>IFERROR(__xludf.DUMMYFUNCTION("""COMPUTED_VALUE"""),"교통비")</f>
        <v>교통비</v>
      </c>
      <c r="AF74" s="214" t="str">
        <f>IFERROR(__xludf.DUMMYFUNCTION("""COMPUTED_VALUE"""),"주유비")</f>
        <v>주유비</v>
      </c>
      <c r="AG74" s="214"/>
      <c r="AH74" s="214" t="str">
        <f>IFERROR(__xludf.DUMMYFUNCTION("""COMPUTED_VALUE"""),"기타")</f>
        <v>기타</v>
      </c>
      <c r="AI74" s="214"/>
      <c r="AJ74" s="215"/>
    </row>
    <row r="75">
      <c r="H75" s="208">
        <v>45964.0</v>
      </c>
      <c r="I75" s="209" t="s">
        <v>45</v>
      </c>
      <c r="J75" s="209" t="s">
        <v>40</v>
      </c>
      <c r="K75" s="210">
        <v>45000.0</v>
      </c>
      <c r="L75" s="211" t="s">
        <v>64</v>
      </c>
      <c r="M75" s="143"/>
      <c r="N75" s="211" t="s">
        <v>960</v>
      </c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IFERROR(__xludf.DUMMYFUNCTION("FILTER('설정시트'!$D$7:$L$20,'설정시트'!$C$7:$C$20=I75)"),"약국")</f>
        <v>약국</v>
      </c>
      <c r="AC75" s="214" t="str">
        <f>IFERROR(__xludf.DUMMYFUNCTION("""COMPUTED_VALUE"""),"병원비")</f>
        <v>병원비</v>
      </c>
      <c r="AD75" s="214" t="str">
        <f>IFERROR(__xludf.DUMMYFUNCTION("""COMPUTED_VALUE"""),"영양제")</f>
        <v>영양제</v>
      </c>
      <c r="AE75" s="214" t="str">
        <f>IFERROR(__xludf.DUMMYFUNCTION("""COMPUTED_VALUE"""),"교통비")</f>
        <v>교통비</v>
      </c>
      <c r="AF75" s="214" t="str">
        <f>IFERROR(__xludf.DUMMYFUNCTION("""COMPUTED_VALUE"""),"주유비")</f>
        <v>주유비</v>
      </c>
      <c r="AG75" s="214"/>
      <c r="AH75" s="214" t="str">
        <f>IFERROR(__xludf.DUMMYFUNCTION("""COMPUTED_VALUE"""),"기타")</f>
        <v>기타</v>
      </c>
      <c r="AI75" s="214"/>
      <c r="AJ75" s="215"/>
    </row>
    <row r="76">
      <c r="H76" s="208">
        <v>45964.0</v>
      </c>
      <c r="I76" s="233" t="s">
        <v>26</v>
      </c>
      <c r="J76" s="233" t="s">
        <v>29</v>
      </c>
      <c r="K76" s="210">
        <v>11000.0</v>
      </c>
      <c r="L76" s="211" t="s">
        <v>60</v>
      </c>
      <c r="M76" s="143"/>
      <c r="N76" s="211" t="s">
        <v>961</v>
      </c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IFERROR(__xludf.DUMMYFUNCTION("FILTER('설정시트'!$D$7:$L$20,'설정시트'!$C$7:$C$20=I76)"),"식재료비")</f>
        <v>식재료비</v>
      </c>
      <c r="AC76" s="214" t="str">
        <f>IFERROR(__xludf.DUMMYFUNCTION("""COMPUTED_VALUE"""),"회사점심")</f>
        <v>회사점심</v>
      </c>
      <c r="AD76" s="214" t="str">
        <f>IFERROR(__xludf.DUMMYFUNCTION("""COMPUTED_VALUE"""),"간식/카페")</f>
        <v>간식/카페</v>
      </c>
      <c r="AE76" s="214" t="str">
        <f>IFERROR(__xludf.DUMMYFUNCTION("""COMPUTED_VALUE"""),"외식/배달")</f>
        <v>외식/배달</v>
      </c>
      <c r="AF76" s="214" t="str">
        <f>IFERROR(__xludf.DUMMYFUNCTION("""COMPUTED_VALUE"""),"기타")</f>
        <v>기타</v>
      </c>
      <c r="AG76" s="214"/>
      <c r="AH76" s="214"/>
      <c r="AI76" s="214"/>
      <c r="AJ76" s="215"/>
    </row>
    <row r="77">
      <c r="H77" s="208">
        <v>45964.0</v>
      </c>
      <c r="I77" s="209" t="s">
        <v>26</v>
      </c>
      <c r="J77" s="209" t="s">
        <v>28</v>
      </c>
      <c r="K77" s="210">
        <v>10900.0</v>
      </c>
      <c r="L77" s="211" t="s">
        <v>60</v>
      </c>
      <c r="M77" s="143"/>
      <c r="N77" s="211" t="s">
        <v>962</v>
      </c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IFERROR(__xludf.DUMMYFUNCTION("FILTER('설정시트'!$D$7:$L$20,'설정시트'!$C$7:$C$20=I77)"),"식재료비")</f>
        <v>식재료비</v>
      </c>
      <c r="AC77" s="214" t="str">
        <f>IFERROR(__xludf.DUMMYFUNCTION("""COMPUTED_VALUE"""),"회사점심")</f>
        <v>회사점심</v>
      </c>
      <c r="AD77" s="214" t="str">
        <f>IFERROR(__xludf.DUMMYFUNCTION("""COMPUTED_VALUE"""),"간식/카페")</f>
        <v>간식/카페</v>
      </c>
      <c r="AE77" s="214" t="str">
        <f>IFERROR(__xludf.DUMMYFUNCTION("""COMPUTED_VALUE"""),"외식/배달")</f>
        <v>외식/배달</v>
      </c>
      <c r="AF77" s="214" t="str">
        <f>IFERROR(__xludf.DUMMYFUNCTION("""COMPUTED_VALUE"""),"기타")</f>
        <v>기타</v>
      </c>
      <c r="AG77" s="214"/>
      <c r="AH77" s="214"/>
      <c r="AI77" s="214"/>
      <c r="AJ77" s="215"/>
    </row>
    <row r="78">
      <c r="H78" s="208">
        <v>45965.0</v>
      </c>
      <c r="I78" s="209" t="s">
        <v>3</v>
      </c>
      <c r="J78" s="209" t="s">
        <v>8</v>
      </c>
      <c r="K78" s="210">
        <f>163900+37000</f>
        <v>200900</v>
      </c>
      <c r="L78" s="211"/>
      <c r="M78" s="143"/>
      <c r="N78" s="211" t="s">
        <v>815</v>
      </c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IFERROR(__xludf.DUMMYFUNCTION("FILTER('설정시트'!$D$7:$L$20,'설정시트'!$C$7:$C$20=I78)"),"🍪 월급")</f>
        <v>🍪 월급</v>
      </c>
      <c r="AC78" s="214" t="str">
        <f>IFERROR(__xludf.DUMMYFUNCTION("""COMPUTED_VALUE"""),"🍪 부수입")</f>
        <v>🍪 부수입</v>
      </c>
      <c r="AD78" s="214" t="str">
        <f>IFERROR(__xludf.DUMMYFUNCTION("""COMPUTED_VALUE"""),"🐻 월급")</f>
        <v>🐻 월급</v>
      </c>
      <c r="AE78" s="214" t="str">
        <f>IFERROR(__xludf.DUMMYFUNCTION("""COMPUTED_VALUE"""),"🐻 부수입")</f>
        <v>🐻 부수입</v>
      </c>
      <c r="AF78" s="214" t="str">
        <f>IFERROR(__xludf.DUMMYFUNCTION("""COMPUTED_VALUE"""),"기타")</f>
        <v>기타</v>
      </c>
      <c r="AG78" s="214"/>
      <c r="AH78" s="214"/>
      <c r="AI78" s="214"/>
      <c r="AJ78" s="215"/>
    </row>
    <row r="79">
      <c r="H79" s="208">
        <v>45965.0</v>
      </c>
      <c r="I79" s="209" t="s">
        <v>3</v>
      </c>
      <c r="J79" s="209" t="s">
        <v>8</v>
      </c>
      <c r="K79" s="210">
        <f>465000*3</f>
        <v>1395000</v>
      </c>
      <c r="L79" s="211"/>
      <c r="M79" s="143"/>
      <c r="N79" s="211" t="s">
        <v>963</v>
      </c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IFERROR(__xludf.DUMMYFUNCTION("FILTER('설정시트'!$D$7:$L$20,'설정시트'!$C$7:$C$20=I79)"),"🍪 월급")</f>
        <v>🍪 월급</v>
      </c>
      <c r="AC79" s="214" t="str">
        <f>IFERROR(__xludf.DUMMYFUNCTION("""COMPUTED_VALUE"""),"🍪 부수입")</f>
        <v>🍪 부수입</v>
      </c>
      <c r="AD79" s="214" t="str">
        <f>IFERROR(__xludf.DUMMYFUNCTION("""COMPUTED_VALUE"""),"🐻 월급")</f>
        <v>🐻 월급</v>
      </c>
      <c r="AE79" s="214" t="str">
        <f>IFERROR(__xludf.DUMMYFUNCTION("""COMPUTED_VALUE"""),"🐻 부수입")</f>
        <v>🐻 부수입</v>
      </c>
      <c r="AF79" s="214" t="str">
        <f>IFERROR(__xludf.DUMMYFUNCTION("""COMPUTED_VALUE"""),"기타")</f>
        <v>기타</v>
      </c>
      <c r="AG79" s="214"/>
      <c r="AH79" s="214"/>
      <c r="AI79" s="214"/>
      <c r="AJ79" s="215"/>
    </row>
    <row r="80">
      <c r="H80" s="208">
        <v>45965.0</v>
      </c>
      <c r="I80" s="209" t="s">
        <v>26</v>
      </c>
      <c r="J80" s="209" t="s">
        <v>28</v>
      </c>
      <c r="K80" s="210">
        <v>11000.0</v>
      </c>
      <c r="L80" s="211" t="s">
        <v>60</v>
      </c>
      <c r="M80" s="143"/>
      <c r="N80" s="211" t="s">
        <v>964</v>
      </c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IFERROR(__xludf.DUMMYFUNCTION("FILTER('설정시트'!$D$7:$L$20,'설정시트'!$C$7:$C$20=I80)"),"식재료비")</f>
        <v>식재료비</v>
      </c>
      <c r="AC80" s="214" t="str">
        <f>IFERROR(__xludf.DUMMYFUNCTION("""COMPUTED_VALUE"""),"회사점심")</f>
        <v>회사점심</v>
      </c>
      <c r="AD80" s="214" t="str">
        <f>IFERROR(__xludf.DUMMYFUNCTION("""COMPUTED_VALUE"""),"간식/카페")</f>
        <v>간식/카페</v>
      </c>
      <c r="AE80" s="214" t="str">
        <f>IFERROR(__xludf.DUMMYFUNCTION("""COMPUTED_VALUE"""),"외식/배달")</f>
        <v>외식/배달</v>
      </c>
      <c r="AF80" s="214" t="str">
        <f>IFERROR(__xludf.DUMMYFUNCTION("""COMPUTED_VALUE"""),"기타")</f>
        <v>기타</v>
      </c>
      <c r="AG80" s="214"/>
      <c r="AH80" s="214"/>
      <c r="AI80" s="214"/>
      <c r="AJ80" s="215"/>
    </row>
    <row r="81">
      <c r="H81" s="208">
        <v>45965.0</v>
      </c>
      <c r="I81" s="209" t="s">
        <v>3</v>
      </c>
      <c r="J81" s="209" t="s">
        <v>8</v>
      </c>
      <c r="K81" s="210">
        <f>465000*5</f>
        <v>2325000</v>
      </c>
      <c r="L81" s="211"/>
      <c r="M81" s="143"/>
      <c r="N81" s="211" t="s">
        <v>965</v>
      </c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IFERROR(__xludf.DUMMYFUNCTION("FILTER('설정시트'!$D$7:$L$20,'설정시트'!$C$7:$C$20=I81)"),"🍪 월급")</f>
        <v>🍪 월급</v>
      </c>
      <c r="AC81" s="214" t="str">
        <f>IFERROR(__xludf.DUMMYFUNCTION("""COMPUTED_VALUE"""),"🍪 부수입")</f>
        <v>🍪 부수입</v>
      </c>
      <c r="AD81" s="214" t="str">
        <f>IFERROR(__xludf.DUMMYFUNCTION("""COMPUTED_VALUE"""),"🐻 월급")</f>
        <v>🐻 월급</v>
      </c>
      <c r="AE81" s="214" t="str">
        <f>IFERROR(__xludf.DUMMYFUNCTION("""COMPUTED_VALUE"""),"🐻 부수입")</f>
        <v>🐻 부수입</v>
      </c>
      <c r="AF81" s="214" t="str">
        <f>IFERROR(__xludf.DUMMYFUNCTION("""COMPUTED_VALUE"""),"기타")</f>
        <v>기타</v>
      </c>
      <c r="AG81" s="214"/>
      <c r="AH81" s="214"/>
      <c r="AI81" s="214"/>
      <c r="AJ81" s="215"/>
    </row>
    <row r="82">
      <c r="H82" s="208">
        <v>45965.0</v>
      </c>
      <c r="I82" s="209" t="s">
        <v>3</v>
      </c>
      <c r="J82" s="209" t="s">
        <v>8</v>
      </c>
      <c r="K82" s="210">
        <v>2080000.0</v>
      </c>
      <c r="L82" s="211"/>
      <c r="M82" s="143"/>
      <c r="N82" s="211" t="s">
        <v>966</v>
      </c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IFERROR(__xludf.DUMMYFUNCTION("FILTER('설정시트'!$D$7:$L$20,'설정시트'!$C$7:$C$20=I82)"),"🍪 월급")</f>
        <v>🍪 월급</v>
      </c>
      <c r="AC82" s="214" t="str">
        <f>IFERROR(__xludf.DUMMYFUNCTION("""COMPUTED_VALUE"""),"🍪 부수입")</f>
        <v>🍪 부수입</v>
      </c>
      <c r="AD82" s="214" t="str">
        <f>IFERROR(__xludf.DUMMYFUNCTION("""COMPUTED_VALUE"""),"🐻 월급")</f>
        <v>🐻 월급</v>
      </c>
      <c r="AE82" s="214" t="str">
        <f>IFERROR(__xludf.DUMMYFUNCTION("""COMPUTED_VALUE"""),"🐻 부수입")</f>
        <v>🐻 부수입</v>
      </c>
      <c r="AF82" s="214" t="str">
        <f>IFERROR(__xludf.DUMMYFUNCTION("""COMPUTED_VALUE"""),"기타")</f>
        <v>기타</v>
      </c>
      <c r="AG82" s="214"/>
      <c r="AH82" s="214"/>
      <c r="AI82" s="214"/>
      <c r="AJ82" s="215"/>
    </row>
    <row r="83">
      <c r="H83" s="208">
        <v>45965.0</v>
      </c>
      <c r="I83" s="209" t="s">
        <v>3</v>
      </c>
      <c r="J83" s="209" t="s">
        <v>8</v>
      </c>
      <c r="K83" s="210">
        <v>400000.0</v>
      </c>
      <c r="L83" s="211"/>
      <c r="M83" s="143"/>
      <c r="N83" s="211" t="s">
        <v>967</v>
      </c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IFERROR(__xludf.DUMMYFUNCTION("FILTER('설정시트'!$D$7:$L$20,'설정시트'!$C$7:$C$20=I83)"),"🍪 월급")</f>
        <v>🍪 월급</v>
      </c>
      <c r="AC83" s="214" t="str">
        <f>IFERROR(__xludf.DUMMYFUNCTION("""COMPUTED_VALUE"""),"🍪 부수입")</f>
        <v>🍪 부수입</v>
      </c>
      <c r="AD83" s="214" t="str">
        <f>IFERROR(__xludf.DUMMYFUNCTION("""COMPUTED_VALUE"""),"🐻 월급")</f>
        <v>🐻 월급</v>
      </c>
      <c r="AE83" s="214" t="str">
        <f>IFERROR(__xludf.DUMMYFUNCTION("""COMPUTED_VALUE"""),"🐻 부수입")</f>
        <v>🐻 부수입</v>
      </c>
      <c r="AF83" s="214" t="str">
        <f>IFERROR(__xludf.DUMMYFUNCTION("""COMPUTED_VALUE"""),"기타")</f>
        <v>기타</v>
      </c>
      <c r="AG83" s="214"/>
      <c r="AH83" s="214"/>
      <c r="AI83" s="214"/>
      <c r="AJ83" s="215"/>
    </row>
    <row r="84">
      <c r="H84" s="208">
        <v>45966.0</v>
      </c>
      <c r="I84" s="209" t="s">
        <v>3</v>
      </c>
      <c r="J84" s="209" t="s">
        <v>6</v>
      </c>
      <c r="K84" s="210">
        <v>4399920.0</v>
      </c>
      <c r="L84" s="211"/>
      <c r="M84" s="143"/>
      <c r="N84" s="211" t="s">
        <v>929</v>
      </c>
      <c r="O84" s="212"/>
      <c r="P84" s="212"/>
      <c r="Q84" s="143"/>
      <c r="R84" s="211"/>
      <c r="S84" s="212"/>
      <c r="T84" s="145"/>
      <c r="AB84" s="214" t="str">
        <f>IFERROR(__xludf.DUMMYFUNCTION("FILTER('설정시트'!$D$7:$L$20,'설정시트'!$C$7:$C$20=I84)"),"🍪 월급")</f>
        <v>🍪 월급</v>
      </c>
      <c r="AC84" s="214" t="str">
        <f>IFERROR(__xludf.DUMMYFUNCTION("""COMPUTED_VALUE"""),"🍪 부수입")</f>
        <v>🍪 부수입</v>
      </c>
      <c r="AD84" s="214" t="str">
        <f>IFERROR(__xludf.DUMMYFUNCTION("""COMPUTED_VALUE"""),"🐻 월급")</f>
        <v>🐻 월급</v>
      </c>
      <c r="AE84" s="214" t="str">
        <f>IFERROR(__xludf.DUMMYFUNCTION("""COMPUTED_VALUE"""),"🐻 부수입")</f>
        <v>🐻 부수입</v>
      </c>
      <c r="AF84" s="214" t="str">
        <f>IFERROR(__xludf.DUMMYFUNCTION("""COMPUTED_VALUE"""),"기타")</f>
        <v>기타</v>
      </c>
      <c r="AG84" s="214"/>
      <c r="AH84" s="214"/>
      <c r="AI84" s="214"/>
      <c r="AJ84" s="215"/>
    </row>
    <row r="85">
      <c r="H85" s="208">
        <v>45966.0</v>
      </c>
      <c r="I85" s="233" t="s">
        <v>26</v>
      </c>
      <c r="J85" s="233" t="s">
        <v>29</v>
      </c>
      <c r="K85" s="210">
        <v>13000.0</v>
      </c>
      <c r="L85" s="211" t="s">
        <v>60</v>
      </c>
      <c r="M85" s="143"/>
      <c r="N85" s="211" t="s">
        <v>968</v>
      </c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IFERROR(__xludf.DUMMYFUNCTION("FILTER('설정시트'!$D$7:$L$20,'설정시트'!$C$7:$C$20=I85)"),"식재료비")</f>
        <v>식재료비</v>
      </c>
      <c r="AC85" s="214" t="str">
        <f>IFERROR(__xludf.DUMMYFUNCTION("""COMPUTED_VALUE"""),"회사점심")</f>
        <v>회사점심</v>
      </c>
      <c r="AD85" s="214" t="str">
        <f>IFERROR(__xludf.DUMMYFUNCTION("""COMPUTED_VALUE"""),"간식/카페")</f>
        <v>간식/카페</v>
      </c>
      <c r="AE85" s="214" t="str">
        <f>IFERROR(__xludf.DUMMYFUNCTION("""COMPUTED_VALUE"""),"외식/배달")</f>
        <v>외식/배달</v>
      </c>
      <c r="AF85" s="214" t="str">
        <f>IFERROR(__xludf.DUMMYFUNCTION("""COMPUTED_VALUE"""),"기타")</f>
        <v>기타</v>
      </c>
      <c r="AG85" s="214"/>
      <c r="AH85" s="214"/>
      <c r="AI85" s="214"/>
      <c r="AJ85" s="215"/>
    </row>
    <row r="86">
      <c r="H86" s="208">
        <v>45967.0</v>
      </c>
      <c r="I86" s="209" t="s">
        <v>26</v>
      </c>
      <c r="J86" s="209" t="s">
        <v>28</v>
      </c>
      <c r="K86" s="216">
        <v>5500.0</v>
      </c>
      <c r="L86" s="211" t="s">
        <v>60</v>
      </c>
      <c r="M86" s="143"/>
      <c r="N86" s="211" t="s">
        <v>969</v>
      </c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IFERROR(__xludf.DUMMYFUNCTION("FILTER('설정시트'!$D$7:$L$20,'설정시트'!$C$7:$C$20=I86)"),"식재료비")</f>
        <v>식재료비</v>
      </c>
      <c r="AC86" s="214" t="str">
        <f>IFERROR(__xludf.DUMMYFUNCTION("""COMPUTED_VALUE"""),"회사점심")</f>
        <v>회사점심</v>
      </c>
      <c r="AD86" s="214" t="str">
        <f>IFERROR(__xludf.DUMMYFUNCTION("""COMPUTED_VALUE"""),"간식/카페")</f>
        <v>간식/카페</v>
      </c>
      <c r="AE86" s="214" t="str">
        <f>IFERROR(__xludf.DUMMYFUNCTION("""COMPUTED_VALUE"""),"외식/배달")</f>
        <v>외식/배달</v>
      </c>
      <c r="AF86" s="214" t="str">
        <f>IFERROR(__xludf.DUMMYFUNCTION("""COMPUTED_VALUE"""),"기타")</f>
        <v>기타</v>
      </c>
      <c r="AG86" s="214"/>
      <c r="AH86" s="214"/>
      <c r="AI86" s="214"/>
      <c r="AJ86" s="215"/>
    </row>
    <row r="87">
      <c r="H87" s="208">
        <v>45968.0</v>
      </c>
      <c r="I87" s="209" t="s">
        <v>21</v>
      </c>
      <c r="J87" s="209" t="s">
        <v>18</v>
      </c>
      <c r="K87" s="210">
        <v>3300.0</v>
      </c>
      <c r="L87" s="211" t="s">
        <v>61</v>
      </c>
      <c r="M87" s="143"/>
      <c r="N87" s="211" t="s">
        <v>310</v>
      </c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IFERROR(__xludf.DUMMYFUNCTION("FILTER('설정시트'!$D$7:$L$20,'설정시트'!$C$7:$C$20=I87)"),"관리비")</f>
        <v>관리비</v>
      </c>
      <c r="AC87" s="214" t="str">
        <f>IFERROR(__xludf.DUMMYFUNCTION("""COMPUTED_VALUE"""),"대출이자")</f>
        <v>대출이자</v>
      </c>
      <c r="AD87" s="214" t="str">
        <f>IFERROR(__xludf.DUMMYFUNCTION("""COMPUTED_VALUE"""),"통신비")</f>
        <v>통신비</v>
      </c>
      <c r="AE87" s="214" t="str">
        <f>IFERROR(__xludf.DUMMYFUNCTION("""COMPUTED_VALUE"""),"보험료")</f>
        <v>보험료</v>
      </c>
      <c r="AF87" s="214" t="str">
        <f>IFERROR(__xludf.DUMMYFUNCTION("""COMPUTED_VALUE"""),"곗돈")</f>
        <v>곗돈</v>
      </c>
      <c r="AG87" s="214"/>
      <c r="AH87" s="214"/>
      <c r="AI87" s="214"/>
      <c r="AJ87" s="215"/>
    </row>
    <row r="88">
      <c r="H88" s="208">
        <v>45968.0</v>
      </c>
      <c r="I88" s="209" t="s">
        <v>45</v>
      </c>
      <c r="J88" s="209" t="s">
        <v>41</v>
      </c>
      <c r="K88" s="210">
        <v>12400.0</v>
      </c>
      <c r="L88" s="211" t="s">
        <v>64</v>
      </c>
      <c r="M88" s="143"/>
      <c r="N88" s="211" t="s">
        <v>956</v>
      </c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IFERROR(__xludf.DUMMYFUNCTION("FILTER('설정시트'!$D$7:$L$20,'설정시트'!$C$7:$C$20=I88)"),"약국")</f>
        <v>약국</v>
      </c>
      <c r="AC88" s="214" t="str">
        <f>IFERROR(__xludf.DUMMYFUNCTION("""COMPUTED_VALUE"""),"병원비")</f>
        <v>병원비</v>
      </c>
      <c r="AD88" s="214" t="str">
        <f>IFERROR(__xludf.DUMMYFUNCTION("""COMPUTED_VALUE"""),"영양제")</f>
        <v>영양제</v>
      </c>
      <c r="AE88" s="214" t="str">
        <f>IFERROR(__xludf.DUMMYFUNCTION("""COMPUTED_VALUE"""),"교통비")</f>
        <v>교통비</v>
      </c>
      <c r="AF88" s="214" t="str">
        <f>IFERROR(__xludf.DUMMYFUNCTION("""COMPUTED_VALUE"""),"주유비")</f>
        <v>주유비</v>
      </c>
      <c r="AG88" s="214"/>
      <c r="AH88" s="214" t="str">
        <f>IFERROR(__xludf.DUMMYFUNCTION("""COMPUTED_VALUE"""),"기타")</f>
        <v>기타</v>
      </c>
      <c r="AI88" s="214"/>
      <c r="AJ88" s="215"/>
    </row>
    <row r="89">
      <c r="H89" s="208">
        <v>45968.0</v>
      </c>
      <c r="I89" s="209" t="s">
        <v>31</v>
      </c>
      <c r="J89" s="209" t="s">
        <v>30</v>
      </c>
      <c r="K89" s="210">
        <v>22000.0</v>
      </c>
      <c r="L89" s="211" t="s">
        <v>64</v>
      </c>
      <c r="M89" s="143"/>
      <c r="N89" s="211" t="s">
        <v>970</v>
      </c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IFERROR(__xludf.DUMMYFUNCTION("FILTER('설정시트'!$D$7:$L$20,'설정시트'!$C$7:$C$20=I89)"),"식재료비")</f>
        <v>식재료비</v>
      </c>
      <c r="AC89" s="214" t="str">
        <f>IFERROR(__xludf.DUMMYFUNCTION("""COMPUTED_VALUE"""),"회사점심")</f>
        <v>회사점심</v>
      </c>
      <c r="AD89" s="214" t="str">
        <f>IFERROR(__xludf.DUMMYFUNCTION("""COMPUTED_VALUE"""),"간식/카페")</f>
        <v>간식/카페</v>
      </c>
      <c r="AE89" s="214" t="str">
        <f>IFERROR(__xludf.DUMMYFUNCTION("""COMPUTED_VALUE"""),"외식/배달")</f>
        <v>외식/배달</v>
      </c>
      <c r="AF89" s="214" t="str">
        <f>IFERROR(__xludf.DUMMYFUNCTION("""COMPUTED_VALUE"""),"기타")</f>
        <v>기타</v>
      </c>
      <c r="AG89" s="214"/>
      <c r="AH89" s="214"/>
      <c r="AI89" s="214"/>
      <c r="AJ89" s="215"/>
    </row>
    <row r="90">
      <c r="H90" s="208">
        <v>45968.0</v>
      </c>
      <c r="I90" s="209" t="s">
        <v>26</v>
      </c>
      <c r="J90" s="209" t="s">
        <v>29</v>
      </c>
      <c r="K90" s="210">
        <v>4800.0</v>
      </c>
      <c r="L90" s="211" t="s">
        <v>64</v>
      </c>
      <c r="M90" s="143"/>
      <c r="N90" s="211" t="s">
        <v>971</v>
      </c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IFERROR(__xludf.DUMMYFUNCTION("FILTER('설정시트'!$D$7:$L$20,'설정시트'!$C$7:$C$20=I90)"),"식재료비")</f>
        <v>식재료비</v>
      </c>
      <c r="AC90" s="214" t="str">
        <f>IFERROR(__xludf.DUMMYFUNCTION("""COMPUTED_VALUE"""),"회사점심")</f>
        <v>회사점심</v>
      </c>
      <c r="AD90" s="214" t="str">
        <f>IFERROR(__xludf.DUMMYFUNCTION("""COMPUTED_VALUE"""),"간식/카페")</f>
        <v>간식/카페</v>
      </c>
      <c r="AE90" s="214" t="str">
        <f>IFERROR(__xludf.DUMMYFUNCTION("""COMPUTED_VALUE"""),"외식/배달")</f>
        <v>외식/배달</v>
      </c>
      <c r="AF90" s="214" t="str">
        <f>IFERROR(__xludf.DUMMYFUNCTION("""COMPUTED_VALUE"""),"기타")</f>
        <v>기타</v>
      </c>
      <c r="AG90" s="214"/>
      <c r="AH90" s="214"/>
      <c r="AI90" s="214"/>
      <c r="AJ90" s="215"/>
    </row>
    <row r="91">
      <c r="H91" s="208">
        <v>45969.0</v>
      </c>
      <c r="I91" s="209" t="s">
        <v>31</v>
      </c>
      <c r="J91" s="209" t="s">
        <v>30</v>
      </c>
      <c r="K91" s="210">
        <v>27000.0</v>
      </c>
      <c r="L91" s="211" t="s">
        <v>64</v>
      </c>
      <c r="M91" s="143"/>
      <c r="N91" s="211" t="s">
        <v>972</v>
      </c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IFERROR(__xludf.DUMMYFUNCTION("FILTER('설정시트'!$D$7:$L$20,'설정시트'!$C$7:$C$20=I91)"),"식재료비")</f>
        <v>식재료비</v>
      </c>
      <c r="AC91" s="214" t="str">
        <f>IFERROR(__xludf.DUMMYFUNCTION("""COMPUTED_VALUE"""),"회사점심")</f>
        <v>회사점심</v>
      </c>
      <c r="AD91" s="214" t="str">
        <f>IFERROR(__xludf.DUMMYFUNCTION("""COMPUTED_VALUE"""),"간식/카페")</f>
        <v>간식/카페</v>
      </c>
      <c r="AE91" s="214" t="str">
        <f>IFERROR(__xludf.DUMMYFUNCTION("""COMPUTED_VALUE"""),"외식/배달")</f>
        <v>외식/배달</v>
      </c>
      <c r="AF91" s="214" t="str">
        <f>IFERROR(__xludf.DUMMYFUNCTION("""COMPUTED_VALUE"""),"기타")</f>
        <v>기타</v>
      </c>
      <c r="AG91" s="214"/>
      <c r="AH91" s="214"/>
      <c r="AI91" s="214"/>
      <c r="AJ91" s="215"/>
    </row>
    <row r="92">
      <c r="H92" s="208">
        <v>45969.0</v>
      </c>
      <c r="I92" s="209" t="s">
        <v>31</v>
      </c>
      <c r="J92" s="209" t="s">
        <v>29</v>
      </c>
      <c r="K92" s="210">
        <v>6500.0</v>
      </c>
      <c r="L92" s="211" t="s">
        <v>64</v>
      </c>
      <c r="M92" s="143"/>
      <c r="N92" s="211" t="s">
        <v>973</v>
      </c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IFERROR(__xludf.DUMMYFUNCTION("FILTER('설정시트'!$D$7:$L$20,'설정시트'!$C$7:$C$20=I92)"),"식재료비")</f>
        <v>식재료비</v>
      </c>
      <c r="AC92" s="214" t="str">
        <f>IFERROR(__xludf.DUMMYFUNCTION("""COMPUTED_VALUE"""),"회사점심")</f>
        <v>회사점심</v>
      </c>
      <c r="AD92" s="214" t="str">
        <f>IFERROR(__xludf.DUMMYFUNCTION("""COMPUTED_VALUE"""),"간식/카페")</f>
        <v>간식/카페</v>
      </c>
      <c r="AE92" s="214" t="str">
        <f>IFERROR(__xludf.DUMMYFUNCTION("""COMPUTED_VALUE"""),"외식/배달")</f>
        <v>외식/배달</v>
      </c>
      <c r="AF92" s="214" t="str">
        <f>IFERROR(__xludf.DUMMYFUNCTION("""COMPUTED_VALUE"""),"기타")</f>
        <v>기타</v>
      </c>
      <c r="AG92" s="214"/>
      <c r="AH92" s="214"/>
      <c r="AI92" s="214"/>
      <c r="AJ92" s="215"/>
    </row>
    <row r="93">
      <c r="H93" s="208">
        <v>45970.0</v>
      </c>
      <c r="I93" s="209" t="s">
        <v>31</v>
      </c>
      <c r="J93" s="209" t="s">
        <v>27</v>
      </c>
      <c r="K93" s="210">
        <v>100940.0</v>
      </c>
      <c r="L93" s="211" t="s">
        <v>64</v>
      </c>
      <c r="M93" s="143"/>
      <c r="N93" s="211" t="s">
        <v>864</v>
      </c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IFERROR(__xludf.DUMMYFUNCTION("FILTER('설정시트'!$D$7:$L$20,'설정시트'!$C$7:$C$20=I93)"),"식재료비")</f>
        <v>식재료비</v>
      </c>
      <c r="AC93" s="214" t="str">
        <f>IFERROR(__xludf.DUMMYFUNCTION("""COMPUTED_VALUE"""),"회사점심")</f>
        <v>회사점심</v>
      </c>
      <c r="AD93" s="214" t="str">
        <f>IFERROR(__xludf.DUMMYFUNCTION("""COMPUTED_VALUE"""),"간식/카페")</f>
        <v>간식/카페</v>
      </c>
      <c r="AE93" s="214" t="str">
        <f>IFERROR(__xludf.DUMMYFUNCTION("""COMPUTED_VALUE"""),"외식/배달")</f>
        <v>외식/배달</v>
      </c>
      <c r="AF93" s="214" t="str">
        <f>IFERROR(__xludf.DUMMYFUNCTION("""COMPUTED_VALUE"""),"기타")</f>
        <v>기타</v>
      </c>
      <c r="AG93" s="214"/>
      <c r="AH93" s="214"/>
      <c r="AI93" s="214"/>
      <c r="AJ93" s="215"/>
    </row>
    <row r="94">
      <c r="H94" s="208">
        <v>45970.0</v>
      </c>
      <c r="I94" s="209" t="s">
        <v>31</v>
      </c>
      <c r="J94" s="209" t="s">
        <v>29</v>
      </c>
      <c r="K94" s="210">
        <v>1500.0</v>
      </c>
      <c r="L94" s="211" t="s">
        <v>64</v>
      </c>
      <c r="M94" s="143"/>
      <c r="N94" s="211" t="s">
        <v>974</v>
      </c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IFERROR(__xludf.DUMMYFUNCTION("FILTER('설정시트'!$D$7:$L$20,'설정시트'!$C$7:$C$20=I94)"),"식재료비")</f>
        <v>식재료비</v>
      </c>
      <c r="AC94" s="214" t="str">
        <f>IFERROR(__xludf.DUMMYFUNCTION("""COMPUTED_VALUE"""),"회사점심")</f>
        <v>회사점심</v>
      </c>
      <c r="AD94" s="214" t="str">
        <f>IFERROR(__xludf.DUMMYFUNCTION("""COMPUTED_VALUE"""),"간식/카페")</f>
        <v>간식/카페</v>
      </c>
      <c r="AE94" s="214" t="str">
        <f>IFERROR(__xludf.DUMMYFUNCTION("""COMPUTED_VALUE"""),"외식/배달")</f>
        <v>외식/배달</v>
      </c>
      <c r="AF94" s="214" t="str">
        <f>IFERROR(__xludf.DUMMYFUNCTION("""COMPUTED_VALUE"""),"기타")</f>
        <v>기타</v>
      </c>
      <c r="AG94" s="214"/>
      <c r="AH94" s="214"/>
      <c r="AI94" s="214"/>
      <c r="AJ94" s="215"/>
    </row>
    <row r="95">
      <c r="H95" s="208">
        <v>45970.0</v>
      </c>
      <c r="I95" s="209" t="s">
        <v>31</v>
      </c>
      <c r="J95" s="209" t="s">
        <v>30</v>
      </c>
      <c r="K95" s="210">
        <v>31840.0</v>
      </c>
      <c r="L95" s="211" t="s">
        <v>64</v>
      </c>
      <c r="M95" s="143"/>
      <c r="N95" s="211" t="s">
        <v>975</v>
      </c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IFERROR(__xludf.DUMMYFUNCTION("FILTER('설정시트'!$D$7:$L$20,'설정시트'!$C$7:$C$20=I95)"),"식재료비")</f>
        <v>식재료비</v>
      </c>
      <c r="AC95" s="214" t="str">
        <f>IFERROR(__xludf.DUMMYFUNCTION("""COMPUTED_VALUE"""),"회사점심")</f>
        <v>회사점심</v>
      </c>
      <c r="AD95" s="214" t="str">
        <f>IFERROR(__xludf.DUMMYFUNCTION("""COMPUTED_VALUE"""),"간식/카페")</f>
        <v>간식/카페</v>
      </c>
      <c r="AE95" s="214" t="str">
        <f>IFERROR(__xludf.DUMMYFUNCTION("""COMPUTED_VALUE"""),"외식/배달")</f>
        <v>외식/배달</v>
      </c>
      <c r="AF95" s="214" t="str">
        <f>IFERROR(__xludf.DUMMYFUNCTION("""COMPUTED_VALUE"""),"기타")</f>
        <v>기타</v>
      </c>
      <c r="AG95" s="214"/>
      <c r="AH95" s="214"/>
      <c r="AI95" s="214"/>
      <c r="AJ95" s="215"/>
    </row>
    <row r="96">
      <c r="H96" s="208">
        <v>45970.0</v>
      </c>
      <c r="I96" s="209" t="s">
        <v>31</v>
      </c>
      <c r="J96" s="209" t="s">
        <v>29</v>
      </c>
      <c r="K96" s="210">
        <v>20200.0</v>
      </c>
      <c r="L96" s="211" t="s">
        <v>64</v>
      </c>
      <c r="M96" s="143"/>
      <c r="N96" s="211" t="s">
        <v>976</v>
      </c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IFERROR(__xludf.DUMMYFUNCTION("FILTER('설정시트'!$D$7:$L$20,'설정시트'!$C$7:$C$20=I96)"),"식재료비")</f>
        <v>식재료비</v>
      </c>
      <c r="AC96" s="214" t="str">
        <f>IFERROR(__xludf.DUMMYFUNCTION("""COMPUTED_VALUE"""),"회사점심")</f>
        <v>회사점심</v>
      </c>
      <c r="AD96" s="214" t="str">
        <f>IFERROR(__xludf.DUMMYFUNCTION("""COMPUTED_VALUE"""),"간식/카페")</f>
        <v>간식/카페</v>
      </c>
      <c r="AE96" s="214" t="str">
        <f>IFERROR(__xludf.DUMMYFUNCTION("""COMPUTED_VALUE"""),"외식/배달")</f>
        <v>외식/배달</v>
      </c>
      <c r="AF96" s="214" t="str">
        <f>IFERROR(__xludf.DUMMYFUNCTION("""COMPUTED_VALUE"""),"기타")</f>
        <v>기타</v>
      </c>
      <c r="AG96" s="214"/>
      <c r="AH96" s="214"/>
      <c r="AI96" s="214"/>
      <c r="AJ96" s="215"/>
    </row>
    <row r="97">
      <c r="H97" s="208">
        <v>45971.0</v>
      </c>
      <c r="I97" s="209" t="s">
        <v>21</v>
      </c>
      <c r="J97" s="209" t="s">
        <v>20</v>
      </c>
      <c r="K97" s="210">
        <v>100000.0</v>
      </c>
      <c r="L97" s="211" t="s">
        <v>62</v>
      </c>
      <c r="M97" s="143"/>
      <c r="N97" s="211" t="s">
        <v>322</v>
      </c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IFERROR(__xludf.DUMMYFUNCTION("FILTER('설정시트'!$D$7:$L$20,'설정시트'!$C$7:$C$20=I97)"),"관리비")</f>
        <v>관리비</v>
      </c>
      <c r="AC97" s="214" t="str">
        <f>IFERROR(__xludf.DUMMYFUNCTION("""COMPUTED_VALUE"""),"대출이자")</f>
        <v>대출이자</v>
      </c>
      <c r="AD97" s="214" t="str">
        <f>IFERROR(__xludf.DUMMYFUNCTION("""COMPUTED_VALUE"""),"통신비")</f>
        <v>통신비</v>
      </c>
      <c r="AE97" s="214" t="str">
        <f>IFERROR(__xludf.DUMMYFUNCTION("""COMPUTED_VALUE"""),"보험료")</f>
        <v>보험료</v>
      </c>
      <c r="AF97" s="214" t="str">
        <f>IFERROR(__xludf.DUMMYFUNCTION("""COMPUTED_VALUE"""),"곗돈")</f>
        <v>곗돈</v>
      </c>
      <c r="AG97" s="214"/>
      <c r="AH97" s="214"/>
      <c r="AI97" s="214"/>
      <c r="AJ97" s="215"/>
    </row>
    <row r="98">
      <c r="H98" s="208">
        <v>45971.0</v>
      </c>
      <c r="I98" s="209" t="s">
        <v>21</v>
      </c>
      <c r="J98" s="209" t="s">
        <v>15</v>
      </c>
      <c r="K98" s="210">
        <f>43200-30000</f>
        <v>13200</v>
      </c>
      <c r="L98" s="211" t="s">
        <v>64</v>
      </c>
      <c r="M98" s="143"/>
      <c r="N98" s="211" t="s">
        <v>880</v>
      </c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IFERROR(__xludf.DUMMYFUNCTION("FILTER('설정시트'!$D$7:$L$20,'설정시트'!$C$7:$C$20=I98)"),"관리비")</f>
        <v>관리비</v>
      </c>
      <c r="AC98" s="214" t="str">
        <f>IFERROR(__xludf.DUMMYFUNCTION("""COMPUTED_VALUE"""),"대출이자")</f>
        <v>대출이자</v>
      </c>
      <c r="AD98" s="214" t="str">
        <f>IFERROR(__xludf.DUMMYFUNCTION("""COMPUTED_VALUE"""),"통신비")</f>
        <v>통신비</v>
      </c>
      <c r="AE98" s="214" t="str">
        <f>IFERROR(__xludf.DUMMYFUNCTION("""COMPUTED_VALUE"""),"보험료")</f>
        <v>보험료</v>
      </c>
      <c r="AF98" s="214" t="str">
        <f>IFERROR(__xludf.DUMMYFUNCTION("""COMPUTED_VALUE"""),"곗돈")</f>
        <v>곗돈</v>
      </c>
      <c r="AG98" s="214"/>
      <c r="AH98" s="214"/>
      <c r="AI98" s="214"/>
      <c r="AJ98" s="215"/>
    </row>
    <row r="99">
      <c r="H99" s="208">
        <v>45971.0</v>
      </c>
      <c r="I99" s="209" t="s">
        <v>21</v>
      </c>
      <c r="J99" s="209" t="s">
        <v>18</v>
      </c>
      <c r="K99" s="210">
        <v>31840.0</v>
      </c>
      <c r="L99" s="211" t="s">
        <v>64</v>
      </c>
      <c r="M99" s="143"/>
      <c r="N99" s="211" t="s">
        <v>977</v>
      </c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IFERROR(__xludf.DUMMYFUNCTION("FILTER('설정시트'!$D$7:$L$20,'설정시트'!$C$7:$C$20=I99)"),"관리비")</f>
        <v>관리비</v>
      </c>
      <c r="AC99" s="214" t="str">
        <f>IFERROR(__xludf.DUMMYFUNCTION("""COMPUTED_VALUE"""),"대출이자")</f>
        <v>대출이자</v>
      </c>
      <c r="AD99" s="214" t="str">
        <f>IFERROR(__xludf.DUMMYFUNCTION("""COMPUTED_VALUE"""),"통신비")</f>
        <v>통신비</v>
      </c>
      <c r="AE99" s="214" t="str">
        <f>IFERROR(__xludf.DUMMYFUNCTION("""COMPUTED_VALUE"""),"보험료")</f>
        <v>보험료</v>
      </c>
      <c r="AF99" s="214" t="str">
        <f>IFERROR(__xludf.DUMMYFUNCTION("""COMPUTED_VALUE"""),"곗돈")</f>
        <v>곗돈</v>
      </c>
      <c r="AG99" s="214"/>
      <c r="AH99" s="214"/>
      <c r="AI99" s="214"/>
      <c r="AJ99" s="215"/>
    </row>
    <row r="100">
      <c r="H100" s="208">
        <v>45971.0</v>
      </c>
      <c r="I100" s="209" t="s">
        <v>26</v>
      </c>
      <c r="J100" s="209" t="s">
        <v>29</v>
      </c>
      <c r="K100" s="216">
        <v>3850.0</v>
      </c>
      <c r="L100" s="211" t="s">
        <v>60</v>
      </c>
      <c r="M100" s="143"/>
      <c r="N100" s="211" t="s">
        <v>281</v>
      </c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IFERROR(__xludf.DUMMYFUNCTION("FILTER('설정시트'!$D$7:$L$20,'설정시트'!$C$7:$C$20=I100)"),"식재료비")</f>
        <v>식재료비</v>
      </c>
      <c r="AC100" s="214" t="str">
        <f>IFERROR(__xludf.DUMMYFUNCTION("""COMPUTED_VALUE"""),"회사점심")</f>
        <v>회사점심</v>
      </c>
      <c r="AD100" s="214" t="str">
        <f>IFERROR(__xludf.DUMMYFUNCTION("""COMPUTED_VALUE"""),"간식/카페")</f>
        <v>간식/카페</v>
      </c>
      <c r="AE100" s="214" t="str">
        <f>IFERROR(__xludf.DUMMYFUNCTION("""COMPUTED_VALUE"""),"외식/배달")</f>
        <v>외식/배달</v>
      </c>
      <c r="AF100" s="214" t="str">
        <f>IFERROR(__xludf.DUMMYFUNCTION("""COMPUTED_VALUE"""),"기타")</f>
        <v>기타</v>
      </c>
      <c r="AG100" s="214"/>
      <c r="AH100" s="214"/>
      <c r="AI100" s="214"/>
      <c r="AJ100" s="215"/>
    </row>
    <row r="101">
      <c r="H101" s="208">
        <v>45972.0</v>
      </c>
      <c r="I101" s="209" t="s">
        <v>52</v>
      </c>
      <c r="J101" s="209" t="s">
        <v>50</v>
      </c>
      <c r="K101" s="210">
        <v>1300200.0</v>
      </c>
      <c r="L101" s="211" t="s">
        <v>64</v>
      </c>
      <c r="M101" s="143"/>
      <c r="N101" s="211" t="s">
        <v>978</v>
      </c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IFERROR(__xludf.DUMMYFUNCTION("FILTER('설정시트'!$D$7:$L$20,'설정시트'!$C$7:$C$20=I101)"),"축의/부의금")</f>
        <v>축의/부의금</v>
      </c>
      <c r="AC101" s="214" t="str">
        <f>IFERROR(__xludf.DUMMYFUNCTION("""COMPUTED_VALUE"""),"생신/생일선물")</f>
        <v>생신/생일선물</v>
      </c>
      <c r="AD101" s="214" t="str">
        <f>IFERROR(__xludf.DUMMYFUNCTION("""COMPUTED_VALUE"""),"명절/어버이날")</f>
        <v>명절/어버이날</v>
      </c>
      <c r="AE101" s="214" t="str">
        <f>IFERROR(__xludf.DUMMYFUNCTION("""COMPUTED_VALUE"""),"여행")</f>
        <v>여행</v>
      </c>
      <c r="AF101" s="214" t="str">
        <f>IFERROR(__xludf.DUMMYFUNCTION("""COMPUTED_VALUE"""),"기타")</f>
        <v>기타</v>
      </c>
      <c r="AG101" s="214" t="str">
        <f>IFERROR(__xludf.DUMMYFUNCTION("""COMPUTED_VALUE"""),"출산")</f>
        <v>출산</v>
      </c>
      <c r="AH101" s="214"/>
      <c r="AI101" s="214"/>
      <c r="AJ101" s="215"/>
    </row>
    <row r="102">
      <c r="H102" s="208">
        <v>45972.0</v>
      </c>
      <c r="I102" s="209" t="s">
        <v>31</v>
      </c>
      <c r="J102" s="209" t="s">
        <v>30</v>
      </c>
      <c r="K102" s="210">
        <v>35800.0</v>
      </c>
      <c r="L102" s="211" t="s">
        <v>64</v>
      </c>
      <c r="M102" s="143"/>
      <c r="N102" s="211" t="s">
        <v>979</v>
      </c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IFERROR(__xludf.DUMMYFUNCTION("FILTER('설정시트'!$D$7:$L$20,'설정시트'!$C$7:$C$20=I102)"),"식재료비")</f>
        <v>식재료비</v>
      </c>
      <c r="AC102" s="214" t="str">
        <f>IFERROR(__xludf.DUMMYFUNCTION("""COMPUTED_VALUE"""),"회사점심")</f>
        <v>회사점심</v>
      </c>
      <c r="AD102" s="214" t="str">
        <f>IFERROR(__xludf.DUMMYFUNCTION("""COMPUTED_VALUE"""),"간식/카페")</f>
        <v>간식/카페</v>
      </c>
      <c r="AE102" s="214" t="str">
        <f>IFERROR(__xludf.DUMMYFUNCTION("""COMPUTED_VALUE"""),"외식/배달")</f>
        <v>외식/배달</v>
      </c>
      <c r="AF102" s="214" t="str">
        <f>IFERROR(__xludf.DUMMYFUNCTION("""COMPUTED_VALUE"""),"기타")</f>
        <v>기타</v>
      </c>
      <c r="AG102" s="214"/>
      <c r="AH102" s="214"/>
      <c r="AI102" s="214"/>
      <c r="AJ102" s="215"/>
    </row>
    <row r="103">
      <c r="H103" s="208">
        <v>45972.0</v>
      </c>
      <c r="I103" s="209" t="s">
        <v>31</v>
      </c>
      <c r="J103" s="209" t="s">
        <v>27</v>
      </c>
      <c r="K103" s="210">
        <v>36330.0</v>
      </c>
      <c r="L103" s="211" t="s">
        <v>64</v>
      </c>
      <c r="M103" s="143"/>
      <c r="N103" s="211" t="s">
        <v>980</v>
      </c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IFERROR(__xludf.DUMMYFUNCTION("FILTER('설정시트'!$D$7:$L$20,'설정시트'!$C$7:$C$20=I103)"),"식재료비")</f>
        <v>식재료비</v>
      </c>
      <c r="AC103" s="214" t="str">
        <f>IFERROR(__xludf.DUMMYFUNCTION("""COMPUTED_VALUE"""),"회사점심")</f>
        <v>회사점심</v>
      </c>
      <c r="AD103" s="214" t="str">
        <f>IFERROR(__xludf.DUMMYFUNCTION("""COMPUTED_VALUE"""),"간식/카페")</f>
        <v>간식/카페</v>
      </c>
      <c r="AE103" s="214" t="str">
        <f>IFERROR(__xludf.DUMMYFUNCTION("""COMPUTED_VALUE"""),"외식/배달")</f>
        <v>외식/배달</v>
      </c>
      <c r="AF103" s="214" t="str">
        <f>IFERROR(__xludf.DUMMYFUNCTION("""COMPUTED_VALUE"""),"기타")</f>
        <v>기타</v>
      </c>
      <c r="AG103" s="214"/>
      <c r="AH103" s="214"/>
      <c r="AI103" s="214"/>
      <c r="AJ103" s="215"/>
    </row>
    <row r="104">
      <c r="H104" s="208">
        <v>45972.0</v>
      </c>
      <c r="I104" s="209" t="s">
        <v>26</v>
      </c>
      <c r="J104" s="209" t="s">
        <v>28</v>
      </c>
      <c r="K104" s="216">
        <v>9400.0</v>
      </c>
      <c r="L104" s="211" t="s">
        <v>60</v>
      </c>
      <c r="M104" s="143"/>
      <c r="N104" s="211" t="s">
        <v>981</v>
      </c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IFERROR(__xludf.DUMMYFUNCTION("FILTER('설정시트'!$D$7:$L$20,'설정시트'!$C$7:$C$20=I104)"),"식재료비")</f>
        <v>식재료비</v>
      </c>
      <c r="AC104" s="214" t="str">
        <f>IFERROR(__xludf.DUMMYFUNCTION("""COMPUTED_VALUE"""),"회사점심")</f>
        <v>회사점심</v>
      </c>
      <c r="AD104" s="214" t="str">
        <f>IFERROR(__xludf.DUMMYFUNCTION("""COMPUTED_VALUE"""),"간식/카페")</f>
        <v>간식/카페</v>
      </c>
      <c r="AE104" s="214" t="str">
        <f>IFERROR(__xludf.DUMMYFUNCTION("""COMPUTED_VALUE"""),"외식/배달")</f>
        <v>외식/배달</v>
      </c>
      <c r="AF104" s="214" t="str">
        <f>IFERROR(__xludf.DUMMYFUNCTION("""COMPUTED_VALUE"""),"기타")</f>
        <v>기타</v>
      </c>
      <c r="AG104" s="214"/>
      <c r="AH104" s="214"/>
      <c r="AI104" s="214"/>
      <c r="AJ104" s="215"/>
    </row>
    <row r="105">
      <c r="H105" s="208">
        <v>45974.0</v>
      </c>
      <c r="I105" s="209" t="s">
        <v>52</v>
      </c>
      <c r="J105" s="209" t="s">
        <v>50</v>
      </c>
      <c r="K105" s="216">
        <v>1350938.0</v>
      </c>
      <c r="L105" s="211" t="s">
        <v>64</v>
      </c>
      <c r="M105" s="143"/>
      <c r="N105" s="211" t="s">
        <v>982</v>
      </c>
      <c r="O105" s="212"/>
      <c r="P105" s="212"/>
      <c r="Q105" s="143"/>
      <c r="R105" s="211" t="s">
        <v>983</v>
      </c>
      <c r="S105" s="212"/>
      <c r="T105" s="145"/>
      <c r="AB105" s="214" t="str">
        <f>IFERROR(__xludf.DUMMYFUNCTION("FILTER('설정시트'!$D$7:$L$20,'설정시트'!$C$7:$C$20=I105)"),"축의/부의금")</f>
        <v>축의/부의금</v>
      </c>
      <c r="AC105" s="214" t="str">
        <f>IFERROR(__xludf.DUMMYFUNCTION("""COMPUTED_VALUE"""),"생신/생일선물")</f>
        <v>생신/생일선물</v>
      </c>
      <c r="AD105" s="214" t="str">
        <f>IFERROR(__xludf.DUMMYFUNCTION("""COMPUTED_VALUE"""),"명절/어버이날")</f>
        <v>명절/어버이날</v>
      </c>
      <c r="AE105" s="214" t="str">
        <f>IFERROR(__xludf.DUMMYFUNCTION("""COMPUTED_VALUE"""),"여행")</f>
        <v>여행</v>
      </c>
      <c r="AF105" s="214" t="str">
        <f>IFERROR(__xludf.DUMMYFUNCTION("""COMPUTED_VALUE"""),"기타")</f>
        <v>기타</v>
      </c>
      <c r="AG105" s="214" t="str">
        <f>IFERROR(__xludf.DUMMYFUNCTION("""COMPUTED_VALUE"""),"출산")</f>
        <v>출산</v>
      </c>
      <c r="AH105" s="214"/>
      <c r="AI105" s="214"/>
      <c r="AJ105" s="215"/>
    </row>
    <row r="106">
      <c r="H106" s="208">
        <v>45974.0</v>
      </c>
      <c r="I106" s="209" t="s">
        <v>26</v>
      </c>
      <c r="J106" s="209" t="s">
        <v>28</v>
      </c>
      <c r="K106" s="210">
        <v>22800.0</v>
      </c>
      <c r="L106" s="211" t="s">
        <v>64</v>
      </c>
      <c r="M106" s="143"/>
      <c r="N106" s="211" t="s">
        <v>984</v>
      </c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IFERROR(__xludf.DUMMYFUNCTION("FILTER('설정시트'!$D$7:$L$20,'설정시트'!$C$7:$C$20=I106)"),"식재료비")</f>
        <v>식재료비</v>
      </c>
      <c r="AC106" s="214" t="str">
        <f>IFERROR(__xludf.DUMMYFUNCTION("""COMPUTED_VALUE"""),"회사점심")</f>
        <v>회사점심</v>
      </c>
      <c r="AD106" s="214" t="str">
        <f>IFERROR(__xludf.DUMMYFUNCTION("""COMPUTED_VALUE"""),"간식/카페")</f>
        <v>간식/카페</v>
      </c>
      <c r="AE106" s="214" t="str">
        <f>IFERROR(__xludf.DUMMYFUNCTION("""COMPUTED_VALUE"""),"외식/배달")</f>
        <v>외식/배달</v>
      </c>
      <c r="AF106" s="214" t="str">
        <f>IFERROR(__xludf.DUMMYFUNCTION("""COMPUTED_VALUE"""),"기타")</f>
        <v>기타</v>
      </c>
      <c r="AG106" s="214"/>
      <c r="AH106" s="214"/>
      <c r="AI106" s="214"/>
      <c r="AJ106" s="215"/>
    </row>
    <row r="107">
      <c r="H107" s="208">
        <v>45975.0</v>
      </c>
      <c r="I107" s="209" t="s">
        <v>45</v>
      </c>
      <c r="J107" s="209" t="s">
        <v>41</v>
      </c>
      <c r="K107" s="210">
        <v>12400.0</v>
      </c>
      <c r="L107" s="211" t="s">
        <v>64</v>
      </c>
      <c r="M107" s="143"/>
      <c r="N107" s="211" t="s">
        <v>956</v>
      </c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IFERROR(__xludf.DUMMYFUNCTION("FILTER('설정시트'!$D$7:$L$20,'설정시트'!$C$7:$C$20=I107)"),"약국")</f>
        <v>약국</v>
      </c>
      <c r="AC107" s="214" t="str">
        <f>IFERROR(__xludf.DUMMYFUNCTION("""COMPUTED_VALUE"""),"병원비")</f>
        <v>병원비</v>
      </c>
      <c r="AD107" s="214" t="str">
        <f>IFERROR(__xludf.DUMMYFUNCTION("""COMPUTED_VALUE"""),"영양제")</f>
        <v>영양제</v>
      </c>
      <c r="AE107" s="214" t="str">
        <f>IFERROR(__xludf.DUMMYFUNCTION("""COMPUTED_VALUE"""),"교통비")</f>
        <v>교통비</v>
      </c>
      <c r="AF107" s="214" t="str">
        <f>IFERROR(__xludf.DUMMYFUNCTION("""COMPUTED_VALUE"""),"주유비")</f>
        <v>주유비</v>
      </c>
      <c r="AG107" s="214"/>
      <c r="AH107" s="214" t="str">
        <f>IFERROR(__xludf.DUMMYFUNCTION("""COMPUTED_VALUE"""),"기타")</f>
        <v>기타</v>
      </c>
      <c r="AI107" s="214"/>
      <c r="AJ107" s="215"/>
    </row>
    <row r="108">
      <c r="H108" s="208">
        <v>45975.0</v>
      </c>
      <c r="I108" s="209" t="s">
        <v>26</v>
      </c>
      <c r="J108" s="209" t="s">
        <v>29</v>
      </c>
      <c r="K108" s="216">
        <v>9100.0</v>
      </c>
      <c r="L108" s="211" t="s">
        <v>60</v>
      </c>
      <c r="M108" s="143"/>
      <c r="N108" s="211" t="s">
        <v>275</v>
      </c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IFERROR(__xludf.DUMMYFUNCTION("FILTER('설정시트'!$D$7:$L$20,'설정시트'!$C$7:$C$20=I108)"),"식재료비")</f>
        <v>식재료비</v>
      </c>
      <c r="AC108" s="214" t="str">
        <f>IFERROR(__xludf.DUMMYFUNCTION("""COMPUTED_VALUE"""),"회사점심")</f>
        <v>회사점심</v>
      </c>
      <c r="AD108" s="214" t="str">
        <f>IFERROR(__xludf.DUMMYFUNCTION("""COMPUTED_VALUE"""),"간식/카페")</f>
        <v>간식/카페</v>
      </c>
      <c r="AE108" s="214" t="str">
        <f>IFERROR(__xludf.DUMMYFUNCTION("""COMPUTED_VALUE"""),"외식/배달")</f>
        <v>외식/배달</v>
      </c>
      <c r="AF108" s="214" t="str">
        <f>IFERROR(__xludf.DUMMYFUNCTION("""COMPUTED_VALUE"""),"기타")</f>
        <v>기타</v>
      </c>
      <c r="AG108" s="214"/>
      <c r="AH108" s="214"/>
      <c r="AI108" s="214"/>
      <c r="AJ108" s="215"/>
    </row>
    <row r="109">
      <c r="H109" s="208">
        <v>45975.0</v>
      </c>
      <c r="I109" s="217" t="s">
        <v>52</v>
      </c>
      <c r="J109" s="217" t="s">
        <v>8</v>
      </c>
      <c r="K109" s="218">
        <v>98600.0</v>
      </c>
      <c r="L109" s="211" t="s">
        <v>64</v>
      </c>
      <c r="M109" s="143"/>
      <c r="N109" s="211" t="s">
        <v>985</v>
      </c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IFERROR(__xludf.DUMMYFUNCTION("FILTER('설정시트'!$D$7:$L$20,'설정시트'!$C$7:$C$20=I109)"),"축의/부의금")</f>
        <v>축의/부의금</v>
      </c>
      <c r="AC109" s="214" t="str">
        <f>IFERROR(__xludf.DUMMYFUNCTION("""COMPUTED_VALUE"""),"생신/생일선물")</f>
        <v>생신/생일선물</v>
      </c>
      <c r="AD109" s="214" t="str">
        <f>IFERROR(__xludf.DUMMYFUNCTION("""COMPUTED_VALUE"""),"명절/어버이날")</f>
        <v>명절/어버이날</v>
      </c>
      <c r="AE109" s="214" t="str">
        <f>IFERROR(__xludf.DUMMYFUNCTION("""COMPUTED_VALUE"""),"여행")</f>
        <v>여행</v>
      </c>
      <c r="AF109" s="214" t="str">
        <f>IFERROR(__xludf.DUMMYFUNCTION("""COMPUTED_VALUE"""),"기타")</f>
        <v>기타</v>
      </c>
      <c r="AG109" s="214" t="str">
        <f>IFERROR(__xludf.DUMMYFUNCTION("""COMPUTED_VALUE"""),"출산")</f>
        <v>출산</v>
      </c>
      <c r="AH109" s="214"/>
      <c r="AI109" s="214"/>
      <c r="AJ109" s="215"/>
    </row>
    <row r="110">
      <c r="H110" s="208">
        <v>45976.0</v>
      </c>
      <c r="I110" s="209" t="s">
        <v>39</v>
      </c>
      <c r="J110" s="209" t="s">
        <v>8</v>
      </c>
      <c r="K110" s="216">
        <v>4000.0</v>
      </c>
      <c r="L110" s="211" t="s">
        <v>59</v>
      </c>
      <c r="M110" s="143"/>
      <c r="N110" s="211" t="s">
        <v>986</v>
      </c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IFERROR(__xludf.DUMMYFUNCTION("FILTER('설정시트'!$D$7:$L$20,'설정시트'!$C$7:$C$20=I110)"),"약국")</f>
        <v>약국</v>
      </c>
      <c r="AC110" s="214" t="str">
        <f>IFERROR(__xludf.DUMMYFUNCTION("""COMPUTED_VALUE"""),"병원비")</f>
        <v>병원비</v>
      </c>
      <c r="AD110" s="214" t="str">
        <f>IFERROR(__xludf.DUMMYFUNCTION("""COMPUTED_VALUE"""),"영양제")</f>
        <v>영양제</v>
      </c>
      <c r="AE110" s="214" t="str">
        <f>IFERROR(__xludf.DUMMYFUNCTION("""COMPUTED_VALUE"""),"교통비")</f>
        <v>교통비</v>
      </c>
      <c r="AF110" s="214" t="str">
        <f>IFERROR(__xludf.DUMMYFUNCTION("""COMPUTED_VALUE"""),"주유비")</f>
        <v>주유비</v>
      </c>
      <c r="AG110" s="214"/>
      <c r="AH110" s="214" t="str">
        <f>IFERROR(__xludf.DUMMYFUNCTION("""COMPUTED_VALUE"""),"기타")</f>
        <v>기타</v>
      </c>
      <c r="AI110" s="214"/>
      <c r="AJ110" s="215"/>
    </row>
    <row r="111">
      <c r="H111" s="208">
        <v>45976.0</v>
      </c>
      <c r="I111" s="209" t="s">
        <v>26</v>
      </c>
      <c r="J111" s="209" t="s">
        <v>30</v>
      </c>
      <c r="K111" s="216">
        <v>37100.0</v>
      </c>
      <c r="L111" s="211" t="s">
        <v>59</v>
      </c>
      <c r="M111" s="143"/>
      <c r="N111" s="211" t="s">
        <v>987</v>
      </c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IFERROR(__xludf.DUMMYFUNCTION("FILTER('설정시트'!$D$7:$L$20,'설정시트'!$C$7:$C$20=I111)"),"식재료비")</f>
        <v>식재료비</v>
      </c>
      <c r="AC111" s="214" t="str">
        <f>IFERROR(__xludf.DUMMYFUNCTION("""COMPUTED_VALUE"""),"회사점심")</f>
        <v>회사점심</v>
      </c>
      <c r="AD111" s="214" t="str">
        <f>IFERROR(__xludf.DUMMYFUNCTION("""COMPUTED_VALUE"""),"간식/카페")</f>
        <v>간식/카페</v>
      </c>
      <c r="AE111" s="214" t="str">
        <f>IFERROR(__xludf.DUMMYFUNCTION("""COMPUTED_VALUE"""),"외식/배달")</f>
        <v>외식/배달</v>
      </c>
      <c r="AF111" s="214" t="str">
        <f>IFERROR(__xludf.DUMMYFUNCTION("""COMPUTED_VALUE"""),"기타")</f>
        <v>기타</v>
      </c>
      <c r="AG111" s="214"/>
      <c r="AH111" s="214"/>
      <c r="AI111" s="214"/>
      <c r="AJ111" s="215"/>
    </row>
    <row r="112">
      <c r="H112" s="208">
        <v>45976.0</v>
      </c>
      <c r="I112" s="209" t="s">
        <v>26</v>
      </c>
      <c r="J112" s="209" t="s">
        <v>29</v>
      </c>
      <c r="K112" s="216">
        <v>9390.0</v>
      </c>
      <c r="L112" s="211" t="s">
        <v>59</v>
      </c>
      <c r="M112" s="143"/>
      <c r="N112" s="211" t="s">
        <v>988</v>
      </c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IFERROR(__xludf.DUMMYFUNCTION("FILTER('설정시트'!$D$7:$L$20,'설정시트'!$C$7:$C$20=I112)"),"식재료비")</f>
        <v>식재료비</v>
      </c>
      <c r="AC112" s="214" t="str">
        <f>IFERROR(__xludf.DUMMYFUNCTION("""COMPUTED_VALUE"""),"회사점심")</f>
        <v>회사점심</v>
      </c>
      <c r="AD112" s="214" t="str">
        <f>IFERROR(__xludf.DUMMYFUNCTION("""COMPUTED_VALUE"""),"간식/카페")</f>
        <v>간식/카페</v>
      </c>
      <c r="AE112" s="214" t="str">
        <f>IFERROR(__xludf.DUMMYFUNCTION("""COMPUTED_VALUE"""),"외식/배달")</f>
        <v>외식/배달</v>
      </c>
      <c r="AF112" s="214" t="str">
        <f>IFERROR(__xludf.DUMMYFUNCTION("""COMPUTED_VALUE"""),"기타")</f>
        <v>기타</v>
      </c>
      <c r="AG112" s="214"/>
      <c r="AH112" s="214"/>
      <c r="AI112" s="214"/>
      <c r="AJ112" s="215"/>
    </row>
    <row r="113">
      <c r="H113" s="208">
        <v>45976.0</v>
      </c>
      <c r="I113" s="209" t="s">
        <v>14</v>
      </c>
      <c r="J113" s="209" t="s">
        <v>18</v>
      </c>
      <c r="K113" s="216">
        <v>43750.0</v>
      </c>
      <c r="L113" s="211" t="s">
        <v>60</v>
      </c>
      <c r="M113" s="143"/>
      <c r="N113" s="211" t="s">
        <v>781</v>
      </c>
      <c r="O113" s="212"/>
      <c r="P113" s="212"/>
      <c r="Q113" s="143"/>
      <c r="R113" s="211" t="s">
        <v>989</v>
      </c>
      <c r="S113" s="212"/>
      <c r="T113" s="145"/>
      <c r="AB113" s="214" t="str">
        <f>IFERROR(__xludf.DUMMYFUNCTION("FILTER('설정시트'!$D$7:$L$20,'설정시트'!$C$7:$C$20=I113)"),"관리비")</f>
        <v>관리비</v>
      </c>
      <c r="AC113" s="214" t="str">
        <f>IFERROR(__xludf.DUMMYFUNCTION("""COMPUTED_VALUE"""),"월세")</f>
        <v>월세</v>
      </c>
      <c r="AD113" s="214" t="str">
        <f>IFERROR(__xludf.DUMMYFUNCTION("""COMPUTED_VALUE"""),"대출이자")</f>
        <v>대출이자</v>
      </c>
      <c r="AE113" s="214" t="str">
        <f>IFERROR(__xludf.DUMMYFUNCTION("""COMPUTED_VALUE"""),"통신비")</f>
        <v>통신비</v>
      </c>
      <c r="AF113" s="214" t="str">
        <f>IFERROR(__xludf.DUMMYFUNCTION("""COMPUTED_VALUE"""),"보험료")</f>
        <v>보험료</v>
      </c>
      <c r="AG113" s="214"/>
      <c r="AH113" s="214" t="str">
        <f>IFERROR(__xludf.DUMMYFUNCTION("""COMPUTED_VALUE"""),"곗돈")</f>
        <v>곗돈</v>
      </c>
      <c r="AI113" s="214"/>
      <c r="AJ113" s="215"/>
    </row>
    <row r="114">
      <c r="H114" s="208">
        <v>45976.0</v>
      </c>
      <c r="I114" s="217" t="s">
        <v>25</v>
      </c>
      <c r="J114" s="217" t="s">
        <v>24</v>
      </c>
      <c r="K114" s="218">
        <v>16900.0</v>
      </c>
      <c r="L114" s="211" t="s">
        <v>64</v>
      </c>
      <c r="M114" s="143"/>
      <c r="N114" s="211" t="s">
        <v>782</v>
      </c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IFERROR(__xludf.DUMMYFUNCTION("FILTER('설정시트'!$D$7:$L$20,'설정시트'!$C$7:$C$20=I114)"),"주방/욕실")</f>
        <v>주방/욕실</v>
      </c>
      <c r="AC114" s="214" t="str">
        <f>IFERROR(__xludf.DUMMYFUNCTION("""COMPUTED_VALUE"""),"소모품")</f>
        <v>소모품</v>
      </c>
      <c r="AD114" s="214" t="str">
        <f>IFERROR(__xludf.DUMMYFUNCTION("""COMPUTED_VALUE"""),"기타")</f>
        <v>기타</v>
      </c>
      <c r="AE114" s="214"/>
      <c r="AF114" s="214"/>
      <c r="AG114" s="214"/>
      <c r="AH114" s="214"/>
      <c r="AI114" s="214"/>
      <c r="AJ114" s="215"/>
    </row>
    <row r="115">
      <c r="H115" s="208">
        <v>45976.0</v>
      </c>
      <c r="I115" s="217" t="s">
        <v>45</v>
      </c>
      <c r="J115" s="217" t="s">
        <v>41</v>
      </c>
      <c r="K115" s="218">
        <v>5900.0</v>
      </c>
      <c r="L115" s="211" t="s">
        <v>64</v>
      </c>
      <c r="M115" s="143"/>
      <c r="N115" s="211" t="s">
        <v>990</v>
      </c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IFERROR(__xludf.DUMMYFUNCTION("FILTER('설정시트'!$D$7:$L$20,'설정시트'!$C$7:$C$20=I115)"),"약국")</f>
        <v>약국</v>
      </c>
      <c r="AC115" s="214" t="str">
        <f>IFERROR(__xludf.DUMMYFUNCTION("""COMPUTED_VALUE"""),"병원비")</f>
        <v>병원비</v>
      </c>
      <c r="AD115" s="214" t="str">
        <f>IFERROR(__xludf.DUMMYFUNCTION("""COMPUTED_VALUE"""),"영양제")</f>
        <v>영양제</v>
      </c>
      <c r="AE115" s="214" t="str">
        <f>IFERROR(__xludf.DUMMYFUNCTION("""COMPUTED_VALUE"""),"교통비")</f>
        <v>교통비</v>
      </c>
      <c r="AF115" s="214" t="str">
        <f>IFERROR(__xludf.DUMMYFUNCTION("""COMPUTED_VALUE"""),"주유비")</f>
        <v>주유비</v>
      </c>
      <c r="AG115" s="214"/>
      <c r="AH115" s="214" t="str">
        <f>IFERROR(__xludf.DUMMYFUNCTION("""COMPUTED_VALUE"""),"기타")</f>
        <v>기타</v>
      </c>
      <c r="AI115" s="214"/>
      <c r="AJ115" s="215"/>
    </row>
    <row r="116">
      <c r="H116" s="208">
        <v>45976.0</v>
      </c>
      <c r="I116" s="217" t="s">
        <v>45</v>
      </c>
      <c r="J116" s="217" t="s">
        <v>41</v>
      </c>
      <c r="K116" s="218">
        <v>32600.0</v>
      </c>
      <c r="L116" s="211" t="s">
        <v>64</v>
      </c>
      <c r="M116" s="143"/>
      <c r="N116" s="211" t="s">
        <v>991</v>
      </c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IFERROR(__xludf.DUMMYFUNCTION("FILTER('설정시트'!$D$7:$L$20,'설정시트'!$C$7:$C$20=I116)"),"약국")</f>
        <v>약국</v>
      </c>
      <c r="AC116" s="214" t="str">
        <f>IFERROR(__xludf.DUMMYFUNCTION("""COMPUTED_VALUE"""),"병원비")</f>
        <v>병원비</v>
      </c>
      <c r="AD116" s="214" t="str">
        <f>IFERROR(__xludf.DUMMYFUNCTION("""COMPUTED_VALUE"""),"영양제")</f>
        <v>영양제</v>
      </c>
      <c r="AE116" s="214" t="str">
        <f>IFERROR(__xludf.DUMMYFUNCTION("""COMPUTED_VALUE"""),"교통비")</f>
        <v>교통비</v>
      </c>
      <c r="AF116" s="214" t="str">
        <f>IFERROR(__xludf.DUMMYFUNCTION("""COMPUTED_VALUE"""),"주유비")</f>
        <v>주유비</v>
      </c>
      <c r="AG116" s="214"/>
      <c r="AH116" s="214" t="str">
        <f>IFERROR(__xludf.DUMMYFUNCTION("""COMPUTED_VALUE"""),"기타")</f>
        <v>기타</v>
      </c>
      <c r="AI116" s="214"/>
      <c r="AJ116" s="215"/>
    </row>
    <row r="117">
      <c r="H117" s="208">
        <v>45977.0</v>
      </c>
      <c r="I117" s="209" t="s">
        <v>26</v>
      </c>
      <c r="J117" s="209" t="s">
        <v>30</v>
      </c>
      <c r="K117" s="210">
        <v>20000.0</v>
      </c>
      <c r="L117" s="211" t="s">
        <v>55</v>
      </c>
      <c r="M117" s="143"/>
      <c r="N117" s="211" t="s">
        <v>992</v>
      </c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IFERROR(__xludf.DUMMYFUNCTION("FILTER('설정시트'!$D$7:$L$20,'설정시트'!$C$7:$C$20=I117)"),"식재료비")</f>
        <v>식재료비</v>
      </c>
      <c r="AC117" s="214" t="str">
        <f>IFERROR(__xludf.DUMMYFUNCTION("""COMPUTED_VALUE"""),"회사점심")</f>
        <v>회사점심</v>
      </c>
      <c r="AD117" s="214" t="str">
        <f>IFERROR(__xludf.DUMMYFUNCTION("""COMPUTED_VALUE"""),"간식/카페")</f>
        <v>간식/카페</v>
      </c>
      <c r="AE117" s="214" t="str">
        <f>IFERROR(__xludf.DUMMYFUNCTION("""COMPUTED_VALUE"""),"외식/배달")</f>
        <v>외식/배달</v>
      </c>
      <c r="AF117" s="214" t="str">
        <f>IFERROR(__xludf.DUMMYFUNCTION("""COMPUTED_VALUE"""),"기타")</f>
        <v>기타</v>
      </c>
      <c r="AG117" s="214"/>
      <c r="AH117" s="214"/>
      <c r="AI117" s="214"/>
      <c r="AJ117" s="215"/>
    </row>
    <row r="118">
      <c r="H118" s="208">
        <v>45977.0</v>
      </c>
      <c r="I118" s="209" t="s">
        <v>39</v>
      </c>
      <c r="J118" s="209" t="s">
        <v>44</v>
      </c>
      <c r="K118" s="216">
        <v>50000.0</v>
      </c>
      <c r="L118" s="211" t="s">
        <v>59</v>
      </c>
      <c r="M118" s="143"/>
      <c r="N118" s="211" t="s">
        <v>44</v>
      </c>
      <c r="O118" s="212"/>
      <c r="P118" s="212"/>
      <c r="Q118" s="143"/>
      <c r="R118" s="211" t="s">
        <v>518</v>
      </c>
      <c r="S118" s="212"/>
      <c r="T118" s="145"/>
      <c r="AB118" s="214" t="str">
        <f>IFERROR(__xludf.DUMMYFUNCTION("FILTER('설정시트'!$D$7:$L$20,'설정시트'!$C$7:$C$20=I118)"),"약국")</f>
        <v>약국</v>
      </c>
      <c r="AC118" s="214" t="str">
        <f>IFERROR(__xludf.DUMMYFUNCTION("""COMPUTED_VALUE"""),"병원비")</f>
        <v>병원비</v>
      </c>
      <c r="AD118" s="214" t="str">
        <f>IFERROR(__xludf.DUMMYFUNCTION("""COMPUTED_VALUE"""),"영양제")</f>
        <v>영양제</v>
      </c>
      <c r="AE118" s="214" t="str">
        <f>IFERROR(__xludf.DUMMYFUNCTION("""COMPUTED_VALUE"""),"교통비")</f>
        <v>교통비</v>
      </c>
      <c r="AF118" s="214" t="str">
        <f>IFERROR(__xludf.DUMMYFUNCTION("""COMPUTED_VALUE"""),"주유비")</f>
        <v>주유비</v>
      </c>
      <c r="AG118" s="214"/>
      <c r="AH118" s="214" t="str">
        <f>IFERROR(__xludf.DUMMYFUNCTION("""COMPUTED_VALUE"""),"기타")</f>
        <v>기타</v>
      </c>
      <c r="AI118" s="214"/>
      <c r="AJ118" s="215"/>
    </row>
    <row r="119">
      <c r="H119" s="208">
        <v>45977.0</v>
      </c>
      <c r="I119" s="209" t="s">
        <v>52</v>
      </c>
      <c r="J119" s="209" t="s">
        <v>47</v>
      </c>
      <c r="K119" s="216">
        <v>50000.0</v>
      </c>
      <c r="L119" s="211" t="s">
        <v>62</v>
      </c>
      <c r="M119" s="143"/>
      <c r="N119" s="211" t="s">
        <v>993</v>
      </c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IFERROR(__xludf.DUMMYFUNCTION("FILTER('설정시트'!$D$7:$L$20,'설정시트'!$C$7:$C$20=I119)"),"축의/부의금")</f>
        <v>축의/부의금</v>
      </c>
      <c r="AC119" s="214" t="str">
        <f>IFERROR(__xludf.DUMMYFUNCTION("""COMPUTED_VALUE"""),"생신/생일선물")</f>
        <v>생신/생일선물</v>
      </c>
      <c r="AD119" s="214" t="str">
        <f>IFERROR(__xludf.DUMMYFUNCTION("""COMPUTED_VALUE"""),"명절/어버이날")</f>
        <v>명절/어버이날</v>
      </c>
      <c r="AE119" s="214" t="str">
        <f>IFERROR(__xludf.DUMMYFUNCTION("""COMPUTED_VALUE"""),"여행")</f>
        <v>여행</v>
      </c>
      <c r="AF119" s="214" t="str">
        <f>IFERROR(__xludf.DUMMYFUNCTION("""COMPUTED_VALUE"""),"기타")</f>
        <v>기타</v>
      </c>
      <c r="AG119" s="214" t="str">
        <f>IFERROR(__xludf.DUMMYFUNCTION("""COMPUTED_VALUE"""),"출산")</f>
        <v>출산</v>
      </c>
      <c r="AH119" s="214"/>
      <c r="AI119" s="214"/>
      <c r="AJ119" s="215"/>
    </row>
    <row r="120">
      <c r="H120" s="208">
        <v>45978.0</v>
      </c>
      <c r="I120" s="209" t="s">
        <v>21</v>
      </c>
      <c r="J120" s="209" t="s">
        <v>19</v>
      </c>
      <c r="K120" s="216">
        <v>12465.0</v>
      </c>
      <c r="L120" s="211" t="s">
        <v>61</v>
      </c>
      <c r="M120" s="143"/>
      <c r="N120" s="211" t="s">
        <v>994</v>
      </c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IFERROR(__xludf.DUMMYFUNCTION("FILTER('설정시트'!$D$7:$L$20,'설정시트'!$C$7:$C$20=I120)"),"관리비")</f>
        <v>관리비</v>
      </c>
      <c r="AC120" s="214" t="str">
        <f>IFERROR(__xludf.DUMMYFUNCTION("""COMPUTED_VALUE"""),"대출이자")</f>
        <v>대출이자</v>
      </c>
      <c r="AD120" s="214" t="str">
        <f>IFERROR(__xludf.DUMMYFUNCTION("""COMPUTED_VALUE"""),"통신비")</f>
        <v>통신비</v>
      </c>
      <c r="AE120" s="214" t="str">
        <f>IFERROR(__xludf.DUMMYFUNCTION("""COMPUTED_VALUE"""),"보험료")</f>
        <v>보험료</v>
      </c>
      <c r="AF120" s="214" t="str">
        <f>IFERROR(__xludf.DUMMYFUNCTION("""COMPUTED_VALUE"""),"곗돈")</f>
        <v>곗돈</v>
      </c>
      <c r="AG120" s="214"/>
      <c r="AH120" s="214"/>
      <c r="AI120" s="214"/>
      <c r="AJ120" s="215"/>
    </row>
    <row r="121">
      <c r="H121" s="208">
        <v>45978.0</v>
      </c>
      <c r="I121" s="217" t="s">
        <v>26</v>
      </c>
      <c r="J121" s="217" t="s">
        <v>28</v>
      </c>
      <c r="K121" s="218">
        <v>16000.0</v>
      </c>
      <c r="L121" s="211" t="s">
        <v>64</v>
      </c>
      <c r="M121" s="143"/>
      <c r="N121" s="211" t="s">
        <v>804</v>
      </c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IFERROR(__xludf.DUMMYFUNCTION("FILTER('설정시트'!$D$7:$L$20,'설정시트'!$C$7:$C$20=I121)"),"식재료비")</f>
        <v>식재료비</v>
      </c>
      <c r="AC121" s="214" t="str">
        <f>IFERROR(__xludf.DUMMYFUNCTION("""COMPUTED_VALUE"""),"회사점심")</f>
        <v>회사점심</v>
      </c>
      <c r="AD121" s="214" t="str">
        <f>IFERROR(__xludf.DUMMYFUNCTION("""COMPUTED_VALUE"""),"간식/카페")</f>
        <v>간식/카페</v>
      </c>
      <c r="AE121" s="214" t="str">
        <f>IFERROR(__xludf.DUMMYFUNCTION("""COMPUTED_VALUE"""),"외식/배달")</f>
        <v>외식/배달</v>
      </c>
      <c r="AF121" s="214" t="str">
        <f>IFERROR(__xludf.DUMMYFUNCTION("""COMPUTED_VALUE"""),"기타")</f>
        <v>기타</v>
      </c>
      <c r="AG121" s="214"/>
      <c r="AH121" s="214"/>
      <c r="AI121" s="214"/>
      <c r="AJ121" s="215"/>
    </row>
    <row r="122">
      <c r="H122" s="208">
        <v>45978.0</v>
      </c>
      <c r="I122" s="217" t="s">
        <v>25</v>
      </c>
      <c r="J122" s="217" t="s">
        <v>24</v>
      </c>
      <c r="K122" s="218">
        <v>6990.0</v>
      </c>
      <c r="L122" s="211" t="s">
        <v>64</v>
      </c>
      <c r="M122" s="143"/>
      <c r="N122" s="211" t="s">
        <v>995</v>
      </c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IFERROR(__xludf.DUMMYFUNCTION("FILTER('설정시트'!$D$7:$L$20,'설정시트'!$C$7:$C$20=I122)"),"주방/욕실")</f>
        <v>주방/욕실</v>
      </c>
      <c r="AC122" s="214" t="str">
        <f>IFERROR(__xludf.DUMMYFUNCTION("""COMPUTED_VALUE"""),"소모품")</f>
        <v>소모품</v>
      </c>
      <c r="AD122" s="214" t="str">
        <f>IFERROR(__xludf.DUMMYFUNCTION("""COMPUTED_VALUE"""),"기타")</f>
        <v>기타</v>
      </c>
      <c r="AE122" s="214"/>
      <c r="AF122" s="214"/>
      <c r="AG122" s="214"/>
      <c r="AH122" s="214"/>
      <c r="AI122" s="214"/>
      <c r="AJ122" s="215"/>
    </row>
    <row r="123">
      <c r="H123" s="208">
        <v>45978.0</v>
      </c>
      <c r="I123" s="217" t="s">
        <v>14</v>
      </c>
      <c r="J123" s="217" t="s">
        <v>16</v>
      </c>
      <c r="K123" s="218">
        <v>400000.0</v>
      </c>
      <c r="L123" s="211" t="s">
        <v>55</v>
      </c>
      <c r="M123" s="143"/>
      <c r="N123" s="211" t="s">
        <v>16</v>
      </c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IFERROR(__xludf.DUMMYFUNCTION("FILTER('설정시트'!$D$7:$L$20,'설정시트'!$C$7:$C$20=I123)"),"관리비")</f>
        <v>관리비</v>
      </c>
      <c r="AC123" s="214" t="str">
        <f>IFERROR(__xludf.DUMMYFUNCTION("""COMPUTED_VALUE"""),"월세")</f>
        <v>월세</v>
      </c>
      <c r="AD123" s="214" t="str">
        <f>IFERROR(__xludf.DUMMYFUNCTION("""COMPUTED_VALUE"""),"대출이자")</f>
        <v>대출이자</v>
      </c>
      <c r="AE123" s="214" t="str">
        <f>IFERROR(__xludf.DUMMYFUNCTION("""COMPUTED_VALUE"""),"통신비")</f>
        <v>통신비</v>
      </c>
      <c r="AF123" s="214" t="str">
        <f>IFERROR(__xludf.DUMMYFUNCTION("""COMPUTED_VALUE"""),"보험료")</f>
        <v>보험료</v>
      </c>
      <c r="AG123" s="214"/>
      <c r="AH123" s="214" t="str">
        <f>IFERROR(__xludf.DUMMYFUNCTION("""COMPUTED_VALUE"""),"곗돈")</f>
        <v>곗돈</v>
      </c>
      <c r="AI123" s="214"/>
      <c r="AJ123" s="215"/>
    </row>
    <row r="124">
      <c r="H124" s="208">
        <v>45979.0</v>
      </c>
      <c r="I124" s="217" t="s">
        <v>31</v>
      </c>
      <c r="J124" s="217" t="s">
        <v>29</v>
      </c>
      <c r="K124" s="218">
        <v>4000.0</v>
      </c>
      <c r="L124" s="211" t="s">
        <v>61</v>
      </c>
      <c r="M124" s="143"/>
      <c r="N124" s="211" t="s">
        <v>996</v>
      </c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IFERROR(__xludf.DUMMYFUNCTION("FILTER('설정시트'!$D$7:$L$20,'설정시트'!$C$7:$C$20=I124)"),"식재료비")</f>
        <v>식재료비</v>
      </c>
      <c r="AC124" s="214" t="str">
        <f>IFERROR(__xludf.DUMMYFUNCTION("""COMPUTED_VALUE"""),"회사점심")</f>
        <v>회사점심</v>
      </c>
      <c r="AD124" s="214" t="str">
        <f>IFERROR(__xludf.DUMMYFUNCTION("""COMPUTED_VALUE"""),"간식/카페")</f>
        <v>간식/카페</v>
      </c>
      <c r="AE124" s="214" t="str">
        <f>IFERROR(__xludf.DUMMYFUNCTION("""COMPUTED_VALUE"""),"외식/배달")</f>
        <v>외식/배달</v>
      </c>
      <c r="AF124" s="214" t="str">
        <f>IFERROR(__xludf.DUMMYFUNCTION("""COMPUTED_VALUE"""),"기타")</f>
        <v>기타</v>
      </c>
      <c r="AG124" s="214"/>
      <c r="AH124" s="214"/>
      <c r="AI124" s="214"/>
      <c r="AJ124" s="215"/>
    </row>
    <row r="125">
      <c r="H125" s="208">
        <v>45979.0</v>
      </c>
      <c r="I125" s="217" t="s">
        <v>31</v>
      </c>
      <c r="J125" s="217" t="s">
        <v>29</v>
      </c>
      <c r="K125" s="218">
        <v>1200.0</v>
      </c>
      <c r="L125" s="211" t="s">
        <v>64</v>
      </c>
      <c r="M125" s="143"/>
      <c r="N125" s="211" t="s">
        <v>861</v>
      </c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IFERROR(__xludf.DUMMYFUNCTION("FILTER('설정시트'!$D$7:$L$20,'설정시트'!$C$7:$C$20=I125)"),"식재료비")</f>
        <v>식재료비</v>
      </c>
      <c r="AC125" s="214" t="str">
        <f>IFERROR(__xludf.DUMMYFUNCTION("""COMPUTED_VALUE"""),"회사점심")</f>
        <v>회사점심</v>
      </c>
      <c r="AD125" s="214" t="str">
        <f>IFERROR(__xludf.DUMMYFUNCTION("""COMPUTED_VALUE"""),"간식/카페")</f>
        <v>간식/카페</v>
      </c>
      <c r="AE125" s="214" t="str">
        <f>IFERROR(__xludf.DUMMYFUNCTION("""COMPUTED_VALUE"""),"외식/배달")</f>
        <v>외식/배달</v>
      </c>
      <c r="AF125" s="214" t="str">
        <f>IFERROR(__xludf.DUMMYFUNCTION("""COMPUTED_VALUE"""),"기타")</f>
        <v>기타</v>
      </c>
      <c r="AG125" s="214"/>
      <c r="AH125" s="214"/>
      <c r="AI125" s="214"/>
      <c r="AJ125" s="215"/>
    </row>
    <row r="126">
      <c r="H126" s="208">
        <v>45980.0</v>
      </c>
      <c r="I126" s="217" t="s">
        <v>32</v>
      </c>
      <c r="J126" s="217" t="s">
        <v>36</v>
      </c>
      <c r="K126" s="218">
        <v>5000.0</v>
      </c>
      <c r="L126" s="211" t="s">
        <v>61</v>
      </c>
      <c r="M126" s="143"/>
      <c r="N126" s="211" t="s">
        <v>997</v>
      </c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IFERROR(__xludf.DUMMYFUNCTION("FILTER('설정시트'!$D$7:$L$20,'설정시트'!$C$7:$C$20=I126)"),"의류/잡화")</f>
        <v>의류/잡화</v>
      </c>
      <c r="AC126" s="214" t="str">
        <f>IFERROR(__xludf.DUMMYFUNCTION("""COMPUTED_VALUE"""),"OTT")</f>
        <v>OTT</v>
      </c>
      <c r="AD126" s="214" t="str">
        <f>IFERROR(__xludf.DUMMYFUNCTION("""COMPUTED_VALUE"""),"문화생활")</f>
        <v>문화생활</v>
      </c>
      <c r="AE126" s="214" t="str">
        <f>IFERROR(__xludf.DUMMYFUNCTION("""COMPUTED_VALUE"""),"자기계발")</f>
        <v>자기계발</v>
      </c>
      <c r="AF126" s="214" t="str">
        <f>IFERROR(__xludf.DUMMYFUNCTION("""COMPUTED_VALUE"""),"미용")</f>
        <v>미용</v>
      </c>
      <c r="AG126" s="214"/>
      <c r="AH126" s="214" t="str">
        <f>IFERROR(__xludf.DUMMYFUNCTION("""COMPUTED_VALUE"""),"기타")</f>
        <v>기타</v>
      </c>
      <c r="AI126" s="214"/>
      <c r="AJ126" s="215"/>
    </row>
    <row r="127">
      <c r="H127" s="208">
        <v>45980.0</v>
      </c>
      <c r="I127" s="217" t="s">
        <v>31</v>
      </c>
      <c r="J127" s="217" t="s">
        <v>30</v>
      </c>
      <c r="K127" s="218">
        <v>35000.0</v>
      </c>
      <c r="L127" s="211" t="s">
        <v>64</v>
      </c>
      <c r="M127" s="143"/>
      <c r="N127" s="211" t="s">
        <v>804</v>
      </c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IFERROR(__xludf.DUMMYFUNCTION("FILTER('설정시트'!$D$7:$L$20,'설정시트'!$C$7:$C$20=I127)"),"식재료비")</f>
        <v>식재료비</v>
      </c>
      <c r="AC127" s="214" t="str">
        <f>IFERROR(__xludf.DUMMYFUNCTION("""COMPUTED_VALUE"""),"회사점심")</f>
        <v>회사점심</v>
      </c>
      <c r="AD127" s="214" t="str">
        <f>IFERROR(__xludf.DUMMYFUNCTION("""COMPUTED_VALUE"""),"간식/카페")</f>
        <v>간식/카페</v>
      </c>
      <c r="AE127" s="214" t="str">
        <f>IFERROR(__xludf.DUMMYFUNCTION("""COMPUTED_VALUE"""),"외식/배달")</f>
        <v>외식/배달</v>
      </c>
      <c r="AF127" s="214" t="str">
        <f>IFERROR(__xludf.DUMMYFUNCTION("""COMPUTED_VALUE"""),"기타")</f>
        <v>기타</v>
      </c>
      <c r="AG127" s="214"/>
      <c r="AH127" s="214"/>
      <c r="AI127" s="214"/>
      <c r="AJ127" s="215"/>
    </row>
    <row r="128">
      <c r="H128" s="208">
        <v>45981.0</v>
      </c>
      <c r="I128" s="217" t="s">
        <v>31</v>
      </c>
      <c r="J128" s="217" t="s">
        <v>29</v>
      </c>
      <c r="K128" s="218">
        <v>1200.0</v>
      </c>
      <c r="L128" s="211" t="s">
        <v>64</v>
      </c>
      <c r="M128" s="143"/>
      <c r="N128" s="211" t="s">
        <v>861</v>
      </c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IFERROR(__xludf.DUMMYFUNCTION("FILTER('설정시트'!$D$7:$L$20,'설정시트'!$C$7:$C$20=I128)"),"식재료비")</f>
        <v>식재료비</v>
      </c>
      <c r="AC128" s="214" t="str">
        <f>IFERROR(__xludf.DUMMYFUNCTION("""COMPUTED_VALUE"""),"회사점심")</f>
        <v>회사점심</v>
      </c>
      <c r="AD128" s="214" t="str">
        <f>IFERROR(__xludf.DUMMYFUNCTION("""COMPUTED_VALUE"""),"간식/카페")</f>
        <v>간식/카페</v>
      </c>
      <c r="AE128" s="214" t="str">
        <f>IFERROR(__xludf.DUMMYFUNCTION("""COMPUTED_VALUE"""),"외식/배달")</f>
        <v>외식/배달</v>
      </c>
      <c r="AF128" s="214" t="str">
        <f>IFERROR(__xludf.DUMMYFUNCTION("""COMPUTED_VALUE"""),"기타")</f>
        <v>기타</v>
      </c>
      <c r="AG128" s="214"/>
      <c r="AH128" s="214"/>
      <c r="AI128" s="214"/>
      <c r="AJ128" s="215"/>
    </row>
    <row r="129">
      <c r="H129" s="208">
        <v>45981.0</v>
      </c>
      <c r="I129" s="217" t="s">
        <v>26</v>
      </c>
      <c r="J129" s="217" t="s">
        <v>29</v>
      </c>
      <c r="K129" s="218">
        <v>8000.0</v>
      </c>
      <c r="L129" s="211" t="s">
        <v>60</v>
      </c>
      <c r="M129" s="143"/>
      <c r="N129" s="211" t="s">
        <v>998</v>
      </c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IFERROR(__xludf.DUMMYFUNCTION("FILTER('설정시트'!$D$7:$L$20,'설정시트'!$C$7:$C$20=I129)"),"식재료비")</f>
        <v>식재료비</v>
      </c>
      <c r="AC129" s="214" t="str">
        <f>IFERROR(__xludf.DUMMYFUNCTION("""COMPUTED_VALUE"""),"회사점심")</f>
        <v>회사점심</v>
      </c>
      <c r="AD129" s="214" t="str">
        <f>IFERROR(__xludf.DUMMYFUNCTION("""COMPUTED_VALUE"""),"간식/카페")</f>
        <v>간식/카페</v>
      </c>
      <c r="AE129" s="214" t="str">
        <f>IFERROR(__xludf.DUMMYFUNCTION("""COMPUTED_VALUE"""),"외식/배달")</f>
        <v>외식/배달</v>
      </c>
      <c r="AF129" s="214" t="str">
        <f>IFERROR(__xludf.DUMMYFUNCTION("""COMPUTED_VALUE"""),"기타")</f>
        <v>기타</v>
      </c>
      <c r="AG129" s="214"/>
      <c r="AH129" s="214"/>
      <c r="AI129" s="214"/>
      <c r="AJ129" s="215"/>
    </row>
    <row r="130">
      <c r="H130" s="208">
        <v>45981.0</v>
      </c>
      <c r="I130" s="217" t="s">
        <v>26</v>
      </c>
      <c r="J130" s="217" t="s">
        <v>29</v>
      </c>
      <c r="K130" s="218">
        <v>12600.0</v>
      </c>
      <c r="L130" s="211" t="s">
        <v>60</v>
      </c>
      <c r="M130" s="143"/>
      <c r="N130" s="211" t="s">
        <v>999</v>
      </c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IFERROR(__xludf.DUMMYFUNCTION("FILTER('설정시트'!$D$7:$L$20,'설정시트'!$C$7:$C$20=I130)"),"식재료비")</f>
        <v>식재료비</v>
      </c>
      <c r="AC130" s="214" t="str">
        <f>IFERROR(__xludf.DUMMYFUNCTION("""COMPUTED_VALUE"""),"회사점심")</f>
        <v>회사점심</v>
      </c>
      <c r="AD130" s="214" t="str">
        <f>IFERROR(__xludf.DUMMYFUNCTION("""COMPUTED_VALUE"""),"간식/카페")</f>
        <v>간식/카페</v>
      </c>
      <c r="AE130" s="214" t="str">
        <f>IFERROR(__xludf.DUMMYFUNCTION("""COMPUTED_VALUE"""),"외식/배달")</f>
        <v>외식/배달</v>
      </c>
      <c r="AF130" s="214" t="str">
        <f>IFERROR(__xludf.DUMMYFUNCTION("""COMPUTED_VALUE"""),"기타")</f>
        <v>기타</v>
      </c>
      <c r="AG130" s="214"/>
      <c r="AH130" s="214"/>
      <c r="AI130" s="214"/>
      <c r="AJ130" s="215"/>
    </row>
    <row r="131">
      <c r="H131" s="208">
        <v>45981.0</v>
      </c>
      <c r="I131" s="217" t="s">
        <v>39</v>
      </c>
      <c r="J131" s="217" t="s">
        <v>8</v>
      </c>
      <c r="K131" s="218">
        <v>4000.0</v>
      </c>
      <c r="L131" s="211" t="s">
        <v>60</v>
      </c>
      <c r="M131" s="143"/>
      <c r="N131" s="211" t="s">
        <v>1000</v>
      </c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IFERROR(__xludf.DUMMYFUNCTION("FILTER('설정시트'!$D$7:$L$20,'설정시트'!$C$7:$C$20=I131)"),"약국")</f>
        <v>약국</v>
      </c>
      <c r="AC131" s="214" t="str">
        <f>IFERROR(__xludf.DUMMYFUNCTION("""COMPUTED_VALUE"""),"병원비")</f>
        <v>병원비</v>
      </c>
      <c r="AD131" s="214" t="str">
        <f>IFERROR(__xludf.DUMMYFUNCTION("""COMPUTED_VALUE"""),"영양제")</f>
        <v>영양제</v>
      </c>
      <c r="AE131" s="214" t="str">
        <f>IFERROR(__xludf.DUMMYFUNCTION("""COMPUTED_VALUE"""),"교통비")</f>
        <v>교통비</v>
      </c>
      <c r="AF131" s="214" t="str">
        <f>IFERROR(__xludf.DUMMYFUNCTION("""COMPUTED_VALUE"""),"주유비")</f>
        <v>주유비</v>
      </c>
      <c r="AG131" s="214"/>
      <c r="AH131" s="214" t="str">
        <f>IFERROR(__xludf.DUMMYFUNCTION("""COMPUTED_VALUE"""),"기타")</f>
        <v>기타</v>
      </c>
      <c r="AI131" s="214"/>
      <c r="AJ131" s="215"/>
    </row>
    <row r="132">
      <c r="H132" s="208">
        <v>45981.0</v>
      </c>
      <c r="I132" s="217" t="s">
        <v>32</v>
      </c>
      <c r="J132" s="217" t="s">
        <v>37</v>
      </c>
      <c r="K132" s="218">
        <v>21980.0</v>
      </c>
      <c r="L132" s="211" t="s">
        <v>60</v>
      </c>
      <c r="M132" s="143"/>
      <c r="N132" s="211" t="s">
        <v>1001</v>
      </c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IFERROR(__xludf.DUMMYFUNCTION("FILTER('설정시트'!$D$7:$L$20,'설정시트'!$C$7:$C$20=I132)"),"의류/잡화")</f>
        <v>의류/잡화</v>
      </c>
      <c r="AC132" s="214" t="str">
        <f>IFERROR(__xludf.DUMMYFUNCTION("""COMPUTED_VALUE"""),"OTT")</f>
        <v>OTT</v>
      </c>
      <c r="AD132" s="214" t="str">
        <f>IFERROR(__xludf.DUMMYFUNCTION("""COMPUTED_VALUE"""),"문화생활")</f>
        <v>문화생활</v>
      </c>
      <c r="AE132" s="214" t="str">
        <f>IFERROR(__xludf.DUMMYFUNCTION("""COMPUTED_VALUE"""),"자기계발")</f>
        <v>자기계발</v>
      </c>
      <c r="AF132" s="214" t="str">
        <f>IFERROR(__xludf.DUMMYFUNCTION("""COMPUTED_VALUE"""),"미용")</f>
        <v>미용</v>
      </c>
      <c r="AG132" s="214"/>
      <c r="AH132" s="214" t="str">
        <f>IFERROR(__xludf.DUMMYFUNCTION("""COMPUTED_VALUE"""),"기타")</f>
        <v>기타</v>
      </c>
      <c r="AI132" s="214"/>
      <c r="AJ132" s="215"/>
    </row>
    <row r="133">
      <c r="H133" s="208">
        <v>45982.0</v>
      </c>
      <c r="I133" s="217" t="s">
        <v>45</v>
      </c>
      <c r="J133" s="217" t="s">
        <v>41</v>
      </c>
      <c r="K133" s="218">
        <v>173900.0</v>
      </c>
      <c r="L133" s="211" t="s">
        <v>61</v>
      </c>
      <c r="M133" s="143"/>
      <c r="N133" s="211" t="s">
        <v>1002</v>
      </c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IFERROR(__xludf.DUMMYFUNCTION("FILTER('설정시트'!$D$7:$L$20,'설정시트'!$C$7:$C$20=I133)"),"약국")</f>
        <v>약국</v>
      </c>
      <c r="AC133" s="214" t="str">
        <f>IFERROR(__xludf.DUMMYFUNCTION("""COMPUTED_VALUE"""),"병원비")</f>
        <v>병원비</v>
      </c>
      <c r="AD133" s="214" t="str">
        <f>IFERROR(__xludf.DUMMYFUNCTION("""COMPUTED_VALUE"""),"영양제")</f>
        <v>영양제</v>
      </c>
      <c r="AE133" s="214" t="str">
        <f>IFERROR(__xludf.DUMMYFUNCTION("""COMPUTED_VALUE"""),"교통비")</f>
        <v>교통비</v>
      </c>
      <c r="AF133" s="214" t="str">
        <f>IFERROR(__xludf.DUMMYFUNCTION("""COMPUTED_VALUE"""),"주유비")</f>
        <v>주유비</v>
      </c>
      <c r="AG133" s="214"/>
      <c r="AH133" s="214" t="str">
        <f>IFERROR(__xludf.DUMMYFUNCTION("""COMPUTED_VALUE"""),"기타")</f>
        <v>기타</v>
      </c>
      <c r="AI133" s="214"/>
      <c r="AJ133" s="215"/>
    </row>
    <row r="134">
      <c r="H134" s="208">
        <v>45982.0</v>
      </c>
      <c r="I134" s="217" t="s">
        <v>3</v>
      </c>
      <c r="J134" s="217" t="s">
        <v>4</v>
      </c>
      <c r="K134" s="218">
        <v>3312520.0</v>
      </c>
      <c r="L134" s="211"/>
      <c r="M134" s="143"/>
      <c r="N134" s="211" t="s">
        <v>1003</v>
      </c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IFERROR(__xludf.DUMMYFUNCTION("FILTER('설정시트'!$D$7:$L$20,'설정시트'!$C$7:$C$20=I134)"),"🍪 월급")</f>
        <v>🍪 월급</v>
      </c>
      <c r="AC134" s="214" t="str">
        <f>IFERROR(__xludf.DUMMYFUNCTION("""COMPUTED_VALUE"""),"🍪 부수입")</f>
        <v>🍪 부수입</v>
      </c>
      <c r="AD134" s="214" t="str">
        <f>IFERROR(__xludf.DUMMYFUNCTION("""COMPUTED_VALUE"""),"🐻 월급")</f>
        <v>🐻 월급</v>
      </c>
      <c r="AE134" s="214" t="str">
        <f>IFERROR(__xludf.DUMMYFUNCTION("""COMPUTED_VALUE"""),"🐻 부수입")</f>
        <v>🐻 부수입</v>
      </c>
      <c r="AF134" s="214" t="str">
        <f>IFERROR(__xludf.DUMMYFUNCTION("""COMPUTED_VALUE"""),"기타")</f>
        <v>기타</v>
      </c>
      <c r="AG134" s="214"/>
      <c r="AH134" s="214"/>
      <c r="AI134" s="214"/>
      <c r="AJ134" s="215"/>
    </row>
    <row r="135">
      <c r="H135" s="208">
        <v>45984.0</v>
      </c>
      <c r="I135" s="217" t="s">
        <v>46</v>
      </c>
      <c r="J135" s="217" t="s">
        <v>50</v>
      </c>
      <c r="K135" s="218">
        <v>59343.0</v>
      </c>
      <c r="L135" s="211" t="s">
        <v>60</v>
      </c>
      <c r="M135" s="143"/>
      <c r="N135" s="211" t="s">
        <v>1004</v>
      </c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IFERROR(__xludf.DUMMYFUNCTION("FILTER('설정시트'!$D$7:$L$20,'설정시트'!$C$7:$C$20=I135)"),"축의/부의금")</f>
        <v>축의/부의금</v>
      </c>
      <c r="AC135" s="214" t="str">
        <f>IFERROR(__xludf.DUMMYFUNCTION("""COMPUTED_VALUE"""),"생신/생일선물")</f>
        <v>생신/생일선물</v>
      </c>
      <c r="AD135" s="214" t="str">
        <f>IFERROR(__xludf.DUMMYFUNCTION("""COMPUTED_VALUE"""),"명절/어버이날")</f>
        <v>명절/어버이날</v>
      </c>
      <c r="AE135" s="214" t="str">
        <f>IFERROR(__xludf.DUMMYFUNCTION("""COMPUTED_VALUE"""),"여행")</f>
        <v>여행</v>
      </c>
      <c r="AF135" s="214" t="str">
        <f>IFERROR(__xludf.DUMMYFUNCTION("""COMPUTED_VALUE"""),"기타")</f>
        <v>기타</v>
      </c>
      <c r="AG135" s="214" t="str">
        <f>IFERROR(__xludf.DUMMYFUNCTION("""COMPUTED_VALUE"""),"출산")</f>
        <v>출산</v>
      </c>
      <c r="AH135" s="214"/>
      <c r="AI135" s="214"/>
      <c r="AJ135" s="215"/>
    </row>
    <row r="136">
      <c r="H136" s="208">
        <v>45984.0</v>
      </c>
      <c r="I136" s="217" t="s">
        <v>26</v>
      </c>
      <c r="J136" s="217" t="s">
        <v>30</v>
      </c>
      <c r="K136" s="218">
        <v>17400.0</v>
      </c>
      <c r="L136" s="211" t="s">
        <v>60</v>
      </c>
      <c r="M136" s="143"/>
      <c r="N136" s="211" t="s">
        <v>1005</v>
      </c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IFERROR(__xludf.DUMMYFUNCTION("FILTER('설정시트'!$D$7:$L$20,'설정시트'!$C$7:$C$20=I136)"),"식재료비")</f>
        <v>식재료비</v>
      </c>
      <c r="AC136" s="214" t="str">
        <f>IFERROR(__xludf.DUMMYFUNCTION("""COMPUTED_VALUE"""),"회사점심")</f>
        <v>회사점심</v>
      </c>
      <c r="AD136" s="214" t="str">
        <f>IFERROR(__xludf.DUMMYFUNCTION("""COMPUTED_VALUE"""),"간식/카페")</f>
        <v>간식/카페</v>
      </c>
      <c r="AE136" s="214" t="str">
        <f>IFERROR(__xludf.DUMMYFUNCTION("""COMPUTED_VALUE"""),"외식/배달")</f>
        <v>외식/배달</v>
      </c>
      <c r="AF136" s="214" t="str">
        <f>IFERROR(__xludf.DUMMYFUNCTION("""COMPUTED_VALUE"""),"기타")</f>
        <v>기타</v>
      </c>
      <c r="AG136" s="214"/>
      <c r="AH136" s="214"/>
      <c r="AI136" s="214"/>
      <c r="AJ136" s="215"/>
    </row>
    <row r="137">
      <c r="H137" s="208">
        <v>45984.0</v>
      </c>
      <c r="I137" s="217" t="s">
        <v>26</v>
      </c>
      <c r="J137" s="217" t="s">
        <v>30</v>
      </c>
      <c r="K137" s="218">
        <v>43000.0</v>
      </c>
      <c r="L137" s="211" t="s">
        <v>60</v>
      </c>
      <c r="M137" s="143"/>
      <c r="N137" s="211" t="s">
        <v>1006</v>
      </c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IFERROR(__xludf.DUMMYFUNCTION("FILTER('설정시트'!$D$7:$L$20,'설정시트'!$C$7:$C$20=I137)"),"식재료비")</f>
        <v>식재료비</v>
      </c>
      <c r="AC137" s="214" t="str">
        <f>IFERROR(__xludf.DUMMYFUNCTION("""COMPUTED_VALUE"""),"회사점심")</f>
        <v>회사점심</v>
      </c>
      <c r="AD137" s="214" t="str">
        <f>IFERROR(__xludf.DUMMYFUNCTION("""COMPUTED_VALUE"""),"간식/카페")</f>
        <v>간식/카페</v>
      </c>
      <c r="AE137" s="214" t="str">
        <f>IFERROR(__xludf.DUMMYFUNCTION("""COMPUTED_VALUE"""),"외식/배달")</f>
        <v>외식/배달</v>
      </c>
      <c r="AF137" s="214" t="str">
        <f>IFERROR(__xludf.DUMMYFUNCTION("""COMPUTED_VALUE"""),"기타")</f>
        <v>기타</v>
      </c>
      <c r="AG137" s="214"/>
      <c r="AH137" s="214"/>
      <c r="AI137" s="214"/>
      <c r="AJ137" s="215"/>
    </row>
    <row r="138">
      <c r="H138" s="208">
        <v>45984.0</v>
      </c>
      <c r="I138" s="217" t="s">
        <v>32</v>
      </c>
      <c r="J138" s="217" t="s">
        <v>33</v>
      </c>
      <c r="K138" s="218">
        <v>559328.0</v>
      </c>
      <c r="L138" s="211" t="s">
        <v>60</v>
      </c>
      <c r="M138" s="143"/>
      <c r="N138" s="211" t="s">
        <v>1007</v>
      </c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IFERROR(__xludf.DUMMYFUNCTION("FILTER('설정시트'!$D$7:$L$20,'설정시트'!$C$7:$C$20=I138)"),"의류/잡화")</f>
        <v>의류/잡화</v>
      </c>
      <c r="AC138" s="214" t="str">
        <f>IFERROR(__xludf.DUMMYFUNCTION("""COMPUTED_VALUE"""),"OTT")</f>
        <v>OTT</v>
      </c>
      <c r="AD138" s="214" t="str">
        <f>IFERROR(__xludf.DUMMYFUNCTION("""COMPUTED_VALUE"""),"문화생활")</f>
        <v>문화생활</v>
      </c>
      <c r="AE138" s="214" t="str">
        <f>IFERROR(__xludf.DUMMYFUNCTION("""COMPUTED_VALUE"""),"자기계발")</f>
        <v>자기계발</v>
      </c>
      <c r="AF138" s="214" t="str">
        <f>IFERROR(__xludf.DUMMYFUNCTION("""COMPUTED_VALUE"""),"미용")</f>
        <v>미용</v>
      </c>
      <c r="AG138" s="214"/>
      <c r="AH138" s="214" t="str">
        <f>IFERROR(__xludf.DUMMYFUNCTION("""COMPUTED_VALUE"""),"기타")</f>
        <v>기타</v>
      </c>
      <c r="AI138" s="214"/>
      <c r="AJ138" s="215"/>
    </row>
    <row r="139">
      <c r="H139" s="208">
        <v>45985.0</v>
      </c>
      <c r="I139" s="217" t="s">
        <v>31</v>
      </c>
      <c r="J139" s="217" t="s">
        <v>29</v>
      </c>
      <c r="K139" s="218">
        <v>1200.0</v>
      </c>
      <c r="L139" s="211" t="s">
        <v>64</v>
      </c>
      <c r="M139" s="143"/>
      <c r="N139" s="211" t="s">
        <v>770</v>
      </c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IFERROR(__xludf.DUMMYFUNCTION("FILTER('설정시트'!$D$7:$L$20,'설정시트'!$C$7:$C$20=I139)"),"식재료비")</f>
        <v>식재료비</v>
      </c>
      <c r="AC139" s="214" t="str">
        <f>IFERROR(__xludf.DUMMYFUNCTION("""COMPUTED_VALUE"""),"회사점심")</f>
        <v>회사점심</v>
      </c>
      <c r="AD139" s="214" t="str">
        <f>IFERROR(__xludf.DUMMYFUNCTION("""COMPUTED_VALUE"""),"간식/카페")</f>
        <v>간식/카페</v>
      </c>
      <c r="AE139" s="214" t="str">
        <f>IFERROR(__xludf.DUMMYFUNCTION("""COMPUTED_VALUE"""),"외식/배달")</f>
        <v>외식/배달</v>
      </c>
      <c r="AF139" s="214" t="str">
        <f>IFERROR(__xludf.DUMMYFUNCTION("""COMPUTED_VALUE"""),"기타")</f>
        <v>기타</v>
      </c>
      <c r="AG139" s="214"/>
      <c r="AH139" s="214"/>
      <c r="AI139" s="214"/>
      <c r="AJ139" s="215"/>
    </row>
    <row r="140">
      <c r="H140" s="208">
        <v>45985.0</v>
      </c>
      <c r="I140" s="217" t="s">
        <v>45</v>
      </c>
      <c r="J140" s="217" t="s">
        <v>8</v>
      </c>
      <c r="K140" s="218">
        <v>23000.0</v>
      </c>
      <c r="L140" s="211" t="s">
        <v>64</v>
      </c>
      <c r="M140" s="143"/>
      <c r="N140" s="211" t="s">
        <v>1008</v>
      </c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IFERROR(__xludf.DUMMYFUNCTION("FILTER('설정시트'!$D$7:$L$20,'설정시트'!$C$7:$C$20=I140)"),"약국")</f>
        <v>약국</v>
      </c>
      <c r="AC140" s="214" t="str">
        <f>IFERROR(__xludf.DUMMYFUNCTION("""COMPUTED_VALUE"""),"병원비")</f>
        <v>병원비</v>
      </c>
      <c r="AD140" s="214" t="str">
        <f>IFERROR(__xludf.DUMMYFUNCTION("""COMPUTED_VALUE"""),"영양제")</f>
        <v>영양제</v>
      </c>
      <c r="AE140" s="214" t="str">
        <f>IFERROR(__xludf.DUMMYFUNCTION("""COMPUTED_VALUE"""),"교통비")</f>
        <v>교통비</v>
      </c>
      <c r="AF140" s="214" t="str">
        <f>IFERROR(__xludf.DUMMYFUNCTION("""COMPUTED_VALUE"""),"주유비")</f>
        <v>주유비</v>
      </c>
      <c r="AG140" s="214"/>
      <c r="AH140" s="214" t="str">
        <f>IFERROR(__xludf.DUMMYFUNCTION("""COMPUTED_VALUE"""),"기타")</f>
        <v>기타</v>
      </c>
      <c r="AI140" s="214"/>
      <c r="AJ140" s="215"/>
    </row>
    <row r="141">
      <c r="H141" s="208">
        <v>45985.0</v>
      </c>
      <c r="I141" s="217" t="s">
        <v>26</v>
      </c>
      <c r="J141" s="217" t="s">
        <v>28</v>
      </c>
      <c r="K141" s="218">
        <v>22400.0</v>
      </c>
      <c r="L141" s="211" t="s">
        <v>64</v>
      </c>
      <c r="M141" s="143"/>
      <c r="N141" s="211" t="s">
        <v>1009</v>
      </c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IFERROR(__xludf.DUMMYFUNCTION("FILTER('설정시트'!$D$7:$L$20,'설정시트'!$C$7:$C$20=I141)"),"식재료비")</f>
        <v>식재료비</v>
      </c>
      <c r="AC141" s="214" t="str">
        <f>IFERROR(__xludf.DUMMYFUNCTION("""COMPUTED_VALUE"""),"회사점심")</f>
        <v>회사점심</v>
      </c>
      <c r="AD141" s="214" t="str">
        <f>IFERROR(__xludf.DUMMYFUNCTION("""COMPUTED_VALUE"""),"간식/카페")</f>
        <v>간식/카페</v>
      </c>
      <c r="AE141" s="214" t="str">
        <f>IFERROR(__xludf.DUMMYFUNCTION("""COMPUTED_VALUE"""),"외식/배달")</f>
        <v>외식/배달</v>
      </c>
      <c r="AF141" s="214" t="str">
        <f>IFERROR(__xludf.DUMMYFUNCTION("""COMPUTED_VALUE"""),"기타")</f>
        <v>기타</v>
      </c>
      <c r="AG141" s="214"/>
      <c r="AH141" s="214"/>
      <c r="AI141" s="214"/>
      <c r="AJ141" s="215"/>
    </row>
    <row r="142">
      <c r="H142" s="208">
        <v>45985.0</v>
      </c>
      <c r="I142" s="217" t="s">
        <v>14</v>
      </c>
      <c r="J142" s="217" t="s">
        <v>17</v>
      </c>
      <c r="K142" s="218">
        <v>130454.0</v>
      </c>
      <c r="L142" s="211" t="s">
        <v>55</v>
      </c>
      <c r="M142" s="143"/>
      <c r="N142" s="211" t="s">
        <v>562</v>
      </c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IFERROR(__xludf.DUMMYFUNCTION("FILTER('설정시트'!$D$7:$L$20,'설정시트'!$C$7:$C$20=I142)"),"관리비")</f>
        <v>관리비</v>
      </c>
      <c r="AC142" s="214" t="str">
        <f>IFERROR(__xludf.DUMMYFUNCTION("""COMPUTED_VALUE"""),"월세")</f>
        <v>월세</v>
      </c>
      <c r="AD142" s="214" t="str">
        <f>IFERROR(__xludf.DUMMYFUNCTION("""COMPUTED_VALUE"""),"대출이자")</f>
        <v>대출이자</v>
      </c>
      <c r="AE142" s="214" t="str">
        <f>IFERROR(__xludf.DUMMYFUNCTION("""COMPUTED_VALUE"""),"통신비")</f>
        <v>통신비</v>
      </c>
      <c r="AF142" s="214" t="str">
        <f>IFERROR(__xludf.DUMMYFUNCTION("""COMPUTED_VALUE"""),"보험료")</f>
        <v>보험료</v>
      </c>
      <c r="AG142" s="214"/>
      <c r="AH142" s="214" t="str">
        <f>IFERROR(__xludf.DUMMYFUNCTION("""COMPUTED_VALUE"""),"곗돈")</f>
        <v>곗돈</v>
      </c>
      <c r="AI142" s="214"/>
      <c r="AJ142" s="215"/>
    </row>
    <row r="143">
      <c r="H143" s="208">
        <v>45985.0</v>
      </c>
      <c r="I143" s="217" t="s">
        <v>39</v>
      </c>
      <c r="J143" s="217" t="s">
        <v>8</v>
      </c>
      <c r="K143" s="218">
        <v>100000.0</v>
      </c>
      <c r="L143" s="211" t="s">
        <v>60</v>
      </c>
      <c r="M143" s="143"/>
      <c r="N143" s="211" t="s">
        <v>1010</v>
      </c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IFERROR(__xludf.DUMMYFUNCTION("FILTER('설정시트'!$D$7:$L$20,'설정시트'!$C$7:$C$20=I143)"),"약국")</f>
        <v>약국</v>
      </c>
      <c r="AC143" s="214" t="str">
        <f>IFERROR(__xludf.DUMMYFUNCTION("""COMPUTED_VALUE"""),"병원비")</f>
        <v>병원비</v>
      </c>
      <c r="AD143" s="214" t="str">
        <f>IFERROR(__xludf.DUMMYFUNCTION("""COMPUTED_VALUE"""),"영양제")</f>
        <v>영양제</v>
      </c>
      <c r="AE143" s="214" t="str">
        <f>IFERROR(__xludf.DUMMYFUNCTION("""COMPUTED_VALUE"""),"교통비")</f>
        <v>교통비</v>
      </c>
      <c r="AF143" s="214" t="str">
        <f>IFERROR(__xludf.DUMMYFUNCTION("""COMPUTED_VALUE"""),"주유비")</f>
        <v>주유비</v>
      </c>
      <c r="AG143" s="214"/>
      <c r="AH143" s="214" t="str">
        <f>IFERROR(__xludf.DUMMYFUNCTION("""COMPUTED_VALUE"""),"기타")</f>
        <v>기타</v>
      </c>
      <c r="AI143" s="214"/>
      <c r="AJ143" s="215"/>
    </row>
    <row r="144">
      <c r="H144" s="208">
        <v>45986.0</v>
      </c>
      <c r="I144" s="217" t="s">
        <v>3</v>
      </c>
      <c r="J144" s="217" t="s">
        <v>7</v>
      </c>
      <c r="K144" s="218">
        <v>1305450.0</v>
      </c>
      <c r="L144" s="211"/>
      <c r="M144" s="143"/>
      <c r="N144" s="211" t="s">
        <v>1011</v>
      </c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IFERROR(__xludf.DUMMYFUNCTION("FILTER('설정시트'!$D$7:$L$20,'설정시트'!$C$7:$C$20=I144)"),"🍪 월급")</f>
        <v>🍪 월급</v>
      </c>
      <c r="AC144" s="214" t="str">
        <f>IFERROR(__xludf.DUMMYFUNCTION("""COMPUTED_VALUE"""),"🍪 부수입")</f>
        <v>🍪 부수입</v>
      </c>
      <c r="AD144" s="214" t="str">
        <f>IFERROR(__xludf.DUMMYFUNCTION("""COMPUTED_VALUE"""),"🐻 월급")</f>
        <v>🐻 월급</v>
      </c>
      <c r="AE144" s="214" t="str">
        <f>IFERROR(__xludf.DUMMYFUNCTION("""COMPUTED_VALUE"""),"🐻 부수입")</f>
        <v>🐻 부수입</v>
      </c>
      <c r="AF144" s="214" t="str">
        <f>IFERROR(__xludf.DUMMYFUNCTION("""COMPUTED_VALUE"""),"기타")</f>
        <v>기타</v>
      </c>
      <c r="AG144" s="214"/>
      <c r="AH144" s="214"/>
      <c r="AI144" s="214"/>
      <c r="AJ144" s="215"/>
    </row>
    <row r="145">
      <c r="H145" s="208">
        <v>45986.0</v>
      </c>
      <c r="I145" s="217" t="s">
        <v>14</v>
      </c>
      <c r="J145" s="217" t="s">
        <v>19</v>
      </c>
      <c r="K145" s="218">
        <v>10075.0</v>
      </c>
      <c r="L145" s="211" t="s">
        <v>55</v>
      </c>
      <c r="M145" s="143"/>
      <c r="N145" s="211" t="s">
        <v>901</v>
      </c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IFERROR(__xludf.DUMMYFUNCTION("FILTER('설정시트'!$D$7:$L$20,'설정시트'!$C$7:$C$20=I145)"),"관리비")</f>
        <v>관리비</v>
      </c>
      <c r="AC145" s="214" t="str">
        <f>IFERROR(__xludf.DUMMYFUNCTION("""COMPUTED_VALUE"""),"월세")</f>
        <v>월세</v>
      </c>
      <c r="AD145" s="214" t="str">
        <f>IFERROR(__xludf.DUMMYFUNCTION("""COMPUTED_VALUE"""),"대출이자")</f>
        <v>대출이자</v>
      </c>
      <c r="AE145" s="214" t="str">
        <f>IFERROR(__xludf.DUMMYFUNCTION("""COMPUTED_VALUE"""),"통신비")</f>
        <v>통신비</v>
      </c>
      <c r="AF145" s="214" t="str">
        <f>IFERROR(__xludf.DUMMYFUNCTION("""COMPUTED_VALUE"""),"보험료")</f>
        <v>보험료</v>
      </c>
      <c r="AG145" s="214"/>
      <c r="AH145" s="214" t="str">
        <f>IFERROR(__xludf.DUMMYFUNCTION("""COMPUTED_VALUE"""),"곗돈")</f>
        <v>곗돈</v>
      </c>
      <c r="AI145" s="214"/>
      <c r="AJ145" s="215"/>
    </row>
    <row r="146">
      <c r="H146" s="208">
        <v>45986.0</v>
      </c>
      <c r="I146" s="217" t="s">
        <v>14</v>
      </c>
      <c r="J146" s="217" t="s">
        <v>19</v>
      </c>
      <c r="K146" s="218">
        <v>60840.0</v>
      </c>
      <c r="L146" s="211" t="s">
        <v>55</v>
      </c>
      <c r="M146" s="143"/>
      <c r="N146" s="211" t="s">
        <v>1012</v>
      </c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IFERROR(__xludf.DUMMYFUNCTION("FILTER('설정시트'!$D$7:$L$20,'설정시트'!$C$7:$C$20=I146)"),"관리비")</f>
        <v>관리비</v>
      </c>
      <c r="AC146" s="214" t="str">
        <f>IFERROR(__xludf.DUMMYFUNCTION("""COMPUTED_VALUE"""),"월세")</f>
        <v>월세</v>
      </c>
      <c r="AD146" s="214" t="str">
        <f>IFERROR(__xludf.DUMMYFUNCTION("""COMPUTED_VALUE"""),"대출이자")</f>
        <v>대출이자</v>
      </c>
      <c r="AE146" s="214" t="str">
        <f>IFERROR(__xludf.DUMMYFUNCTION("""COMPUTED_VALUE"""),"통신비")</f>
        <v>통신비</v>
      </c>
      <c r="AF146" s="214" t="str">
        <f>IFERROR(__xludf.DUMMYFUNCTION("""COMPUTED_VALUE"""),"보험료")</f>
        <v>보험료</v>
      </c>
      <c r="AG146" s="214"/>
      <c r="AH146" s="214" t="str">
        <f>IFERROR(__xludf.DUMMYFUNCTION("""COMPUTED_VALUE"""),"곗돈")</f>
        <v>곗돈</v>
      </c>
      <c r="AI146" s="214"/>
      <c r="AJ146" s="215"/>
    </row>
    <row r="147">
      <c r="H147" s="208">
        <v>45986.0</v>
      </c>
      <c r="I147" s="217" t="s">
        <v>14</v>
      </c>
      <c r="J147" s="217" t="s">
        <v>19</v>
      </c>
      <c r="K147" s="218">
        <v>19460.0</v>
      </c>
      <c r="L147" s="211" t="s">
        <v>55</v>
      </c>
      <c r="M147" s="143"/>
      <c r="N147" s="211" t="s">
        <v>1012</v>
      </c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IFERROR(__xludf.DUMMYFUNCTION("FILTER('설정시트'!$D$7:$L$20,'설정시트'!$C$7:$C$20=I147)"),"관리비")</f>
        <v>관리비</v>
      </c>
      <c r="AC147" s="214" t="str">
        <f>IFERROR(__xludf.DUMMYFUNCTION("""COMPUTED_VALUE"""),"월세")</f>
        <v>월세</v>
      </c>
      <c r="AD147" s="214" t="str">
        <f>IFERROR(__xludf.DUMMYFUNCTION("""COMPUTED_VALUE"""),"대출이자")</f>
        <v>대출이자</v>
      </c>
      <c r="AE147" s="214" t="str">
        <f>IFERROR(__xludf.DUMMYFUNCTION("""COMPUTED_VALUE"""),"통신비")</f>
        <v>통신비</v>
      </c>
      <c r="AF147" s="214" t="str">
        <f>IFERROR(__xludf.DUMMYFUNCTION("""COMPUTED_VALUE"""),"보험료")</f>
        <v>보험료</v>
      </c>
      <c r="AG147" s="214"/>
      <c r="AH147" s="214" t="str">
        <f>IFERROR(__xludf.DUMMYFUNCTION("""COMPUTED_VALUE"""),"곗돈")</f>
        <v>곗돈</v>
      </c>
      <c r="AI147" s="214"/>
      <c r="AJ147" s="215"/>
    </row>
    <row r="148">
      <c r="H148" s="208">
        <v>45986.0</v>
      </c>
      <c r="I148" s="217" t="s">
        <v>14</v>
      </c>
      <c r="J148" s="217" t="s">
        <v>19</v>
      </c>
      <c r="K148" s="218">
        <v>100000.0</v>
      </c>
      <c r="L148" s="211" t="s">
        <v>55</v>
      </c>
      <c r="M148" s="143"/>
      <c r="N148" s="211" t="s">
        <v>13</v>
      </c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IFERROR(__xludf.DUMMYFUNCTION("FILTER('설정시트'!$D$7:$L$20,'설정시트'!$C$7:$C$20=I148)"),"관리비")</f>
        <v>관리비</v>
      </c>
      <c r="AC148" s="214" t="str">
        <f>IFERROR(__xludf.DUMMYFUNCTION("""COMPUTED_VALUE"""),"월세")</f>
        <v>월세</v>
      </c>
      <c r="AD148" s="214" t="str">
        <f>IFERROR(__xludf.DUMMYFUNCTION("""COMPUTED_VALUE"""),"대출이자")</f>
        <v>대출이자</v>
      </c>
      <c r="AE148" s="214" t="str">
        <f>IFERROR(__xludf.DUMMYFUNCTION("""COMPUTED_VALUE"""),"통신비")</f>
        <v>통신비</v>
      </c>
      <c r="AF148" s="214" t="str">
        <f>IFERROR(__xludf.DUMMYFUNCTION("""COMPUTED_VALUE"""),"보험료")</f>
        <v>보험료</v>
      </c>
      <c r="AG148" s="214"/>
      <c r="AH148" s="214" t="str">
        <f>IFERROR(__xludf.DUMMYFUNCTION("""COMPUTED_VALUE"""),"곗돈")</f>
        <v>곗돈</v>
      </c>
      <c r="AI148" s="214"/>
      <c r="AJ148" s="215"/>
    </row>
    <row r="149">
      <c r="H149" s="208">
        <v>45986.0</v>
      </c>
      <c r="I149" s="217" t="s">
        <v>14</v>
      </c>
      <c r="J149" s="217" t="s">
        <v>20</v>
      </c>
      <c r="K149" s="218">
        <v>20000.0</v>
      </c>
      <c r="L149" s="211" t="s">
        <v>55</v>
      </c>
      <c r="M149" s="143"/>
      <c r="N149" s="211" t="s">
        <v>20</v>
      </c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IFERROR(__xludf.DUMMYFUNCTION("FILTER('설정시트'!$D$7:$L$20,'설정시트'!$C$7:$C$20=I149)"),"관리비")</f>
        <v>관리비</v>
      </c>
      <c r="AC149" s="214" t="str">
        <f>IFERROR(__xludf.DUMMYFUNCTION("""COMPUTED_VALUE"""),"월세")</f>
        <v>월세</v>
      </c>
      <c r="AD149" s="214" t="str">
        <f>IFERROR(__xludf.DUMMYFUNCTION("""COMPUTED_VALUE"""),"대출이자")</f>
        <v>대출이자</v>
      </c>
      <c r="AE149" s="214" t="str">
        <f>IFERROR(__xludf.DUMMYFUNCTION("""COMPUTED_VALUE"""),"통신비")</f>
        <v>통신비</v>
      </c>
      <c r="AF149" s="214" t="str">
        <f>IFERROR(__xludf.DUMMYFUNCTION("""COMPUTED_VALUE"""),"보험료")</f>
        <v>보험료</v>
      </c>
      <c r="AG149" s="214"/>
      <c r="AH149" s="214" t="str">
        <f>IFERROR(__xludf.DUMMYFUNCTION("""COMPUTED_VALUE"""),"곗돈")</f>
        <v>곗돈</v>
      </c>
      <c r="AI149" s="214"/>
      <c r="AJ149" s="215"/>
    </row>
    <row r="150">
      <c r="H150" s="208">
        <v>45987.0</v>
      </c>
      <c r="I150" s="217" t="s">
        <v>46</v>
      </c>
      <c r="J150" s="217" t="s">
        <v>51</v>
      </c>
      <c r="K150" s="218">
        <v>50000.0</v>
      </c>
      <c r="L150" s="211" t="s">
        <v>55</v>
      </c>
      <c r="M150" s="143"/>
      <c r="N150" s="211" t="s">
        <v>1013</v>
      </c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IFERROR(__xludf.DUMMYFUNCTION("FILTER('설정시트'!$D$7:$L$20,'설정시트'!$C$7:$C$20=I150)"),"축의/부의금")</f>
        <v>축의/부의금</v>
      </c>
      <c r="AC150" s="214" t="str">
        <f>IFERROR(__xludf.DUMMYFUNCTION("""COMPUTED_VALUE"""),"생신/생일선물")</f>
        <v>생신/생일선물</v>
      </c>
      <c r="AD150" s="214" t="str">
        <f>IFERROR(__xludf.DUMMYFUNCTION("""COMPUTED_VALUE"""),"명절/어버이날")</f>
        <v>명절/어버이날</v>
      </c>
      <c r="AE150" s="214" t="str">
        <f>IFERROR(__xludf.DUMMYFUNCTION("""COMPUTED_VALUE"""),"여행")</f>
        <v>여행</v>
      </c>
      <c r="AF150" s="214" t="str">
        <f>IFERROR(__xludf.DUMMYFUNCTION("""COMPUTED_VALUE"""),"기타")</f>
        <v>기타</v>
      </c>
      <c r="AG150" s="214" t="str">
        <f>IFERROR(__xludf.DUMMYFUNCTION("""COMPUTED_VALUE"""),"출산")</f>
        <v>출산</v>
      </c>
      <c r="AH150" s="214"/>
      <c r="AI150" s="214"/>
      <c r="AJ150" s="215"/>
    </row>
    <row r="151">
      <c r="H151" s="208">
        <v>45987.0</v>
      </c>
      <c r="I151" s="217" t="s">
        <v>26</v>
      </c>
      <c r="J151" s="217" t="s">
        <v>29</v>
      </c>
      <c r="K151" s="218">
        <v>8315.0</v>
      </c>
      <c r="L151" s="211" t="s">
        <v>60</v>
      </c>
      <c r="M151" s="143"/>
      <c r="N151" s="211" t="s">
        <v>998</v>
      </c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IFERROR(__xludf.DUMMYFUNCTION("FILTER('설정시트'!$D$7:$L$20,'설정시트'!$C$7:$C$20=I151)"),"식재료비")</f>
        <v>식재료비</v>
      </c>
      <c r="AC151" s="214" t="str">
        <f>IFERROR(__xludf.DUMMYFUNCTION("""COMPUTED_VALUE"""),"회사점심")</f>
        <v>회사점심</v>
      </c>
      <c r="AD151" s="214" t="str">
        <f>IFERROR(__xludf.DUMMYFUNCTION("""COMPUTED_VALUE"""),"간식/카페")</f>
        <v>간식/카페</v>
      </c>
      <c r="AE151" s="214" t="str">
        <f>IFERROR(__xludf.DUMMYFUNCTION("""COMPUTED_VALUE"""),"외식/배달")</f>
        <v>외식/배달</v>
      </c>
      <c r="AF151" s="214" t="str">
        <f>IFERROR(__xludf.DUMMYFUNCTION("""COMPUTED_VALUE"""),"기타")</f>
        <v>기타</v>
      </c>
      <c r="AG151" s="214"/>
      <c r="AH151" s="214"/>
      <c r="AI151" s="214"/>
      <c r="AJ151" s="215"/>
    </row>
    <row r="152">
      <c r="H152" s="208">
        <v>45986.0</v>
      </c>
      <c r="I152" s="217" t="s">
        <v>21</v>
      </c>
      <c r="J152" s="217" t="s">
        <v>20</v>
      </c>
      <c r="K152" s="218">
        <v>20000.0</v>
      </c>
      <c r="L152" s="211" t="s">
        <v>62</v>
      </c>
      <c r="M152" s="143"/>
      <c r="N152" s="211" t="s">
        <v>276</v>
      </c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IFERROR(__xludf.DUMMYFUNCTION("FILTER('설정시트'!$D$7:$L$20,'설정시트'!$C$7:$C$20=I152)"),"관리비")</f>
        <v>관리비</v>
      </c>
      <c r="AC152" s="214" t="str">
        <f>IFERROR(__xludf.DUMMYFUNCTION("""COMPUTED_VALUE"""),"대출이자")</f>
        <v>대출이자</v>
      </c>
      <c r="AD152" s="214" t="str">
        <f>IFERROR(__xludf.DUMMYFUNCTION("""COMPUTED_VALUE"""),"통신비")</f>
        <v>통신비</v>
      </c>
      <c r="AE152" s="214" t="str">
        <f>IFERROR(__xludf.DUMMYFUNCTION("""COMPUTED_VALUE"""),"보험료")</f>
        <v>보험료</v>
      </c>
      <c r="AF152" s="214" t="str">
        <f>IFERROR(__xludf.DUMMYFUNCTION("""COMPUTED_VALUE"""),"곗돈")</f>
        <v>곗돈</v>
      </c>
      <c r="AG152" s="214"/>
      <c r="AH152" s="214"/>
      <c r="AI152" s="214"/>
      <c r="AJ152" s="215"/>
    </row>
    <row r="153">
      <c r="H153" s="208">
        <v>45986.0</v>
      </c>
      <c r="I153" s="217" t="s">
        <v>9</v>
      </c>
      <c r="J153" s="217" t="s">
        <v>13</v>
      </c>
      <c r="K153" s="218">
        <v>100000.0</v>
      </c>
      <c r="L153" s="213"/>
      <c r="M153" s="143"/>
      <c r="N153" s="213"/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IFERROR(__xludf.DUMMYFUNCTION("FILTER('설정시트'!$D$7:$L$20,'설정시트'!$C$7:$C$20=I153)"),"주택청약")</f>
        <v>주택청약</v>
      </c>
      <c r="AC153" s="214" t="str">
        <f>IFERROR(__xludf.DUMMYFUNCTION("""COMPUTED_VALUE"""),"우리은행")</f>
        <v>우리은행</v>
      </c>
      <c r="AD153" s="214" t="str">
        <f>IFERROR(__xludf.DUMMYFUNCTION("""COMPUTED_VALUE"""),"케이뱅크")</f>
        <v>케이뱅크</v>
      </c>
      <c r="AE153" s="214" t="str">
        <f>IFERROR(__xludf.DUMMYFUNCTION("""COMPUTED_VALUE"""),"연금저축")</f>
        <v>연금저축</v>
      </c>
      <c r="AF153" s="214"/>
      <c r="AG153" s="214"/>
      <c r="AH153" s="214"/>
      <c r="AI153" s="214"/>
      <c r="AJ153" s="215"/>
    </row>
    <row r="154">
      <c r="H154" s="208">
        <v>45986.0</v>
      </c>
      <c r="I154" s="217" t="s">
        <v>21</v>
      </c>
      <c r="J154" s="217" t="s">
        <v>19</v>
      </c>
      <c r="K154" s="218">
        <v>88010.0</v>
      </c>
      <c r="L154" s="211" t="s">
        <v>61</v>
      </c>
      <c r="M154" s="143"/>
      <c r="N154" s="211" t="s">
        <v>282</v>
      </c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IFERROR(__xludf.DUMMYFUNCTION("FILTER('설정시트'!$D$7:$L$20,'설정시트'!$C$7:$C$20=I154)"),"관리비")</f>
        <v>관리비</v>
      </c>
      <c r="AC154" s="214" t="str">
        <f>IFERROR(__xludf.DUMMYFUNCTION("""COMPUTED_VALUE"""),"대출이자")</f>
        <v>대출이자</v>
      </c>
      <c r="AD154" s="214" t="str">
        <f>IFERROR(__xludf.DUMMYFUNCTION("""COMPUTED_VALUE"""),"통신비")</f>
        <v>통신비</v>
      </c>
      <c r="AE154" s="214" t="str">
        <f>IFERROR(__xludf.DUMMYFUNCTION("""COMPUTED_VALUE"""),"보험료")</f>
        <v>보험료</v>
      </c>
      <c r="AF154" s="214" t="str">
        <f>IFERROR(__xludf.DUMMYFUNCTION("""COMPUTED_VALUE"""),"곗돈")</f>
        <v>곗돈</v>
      </c>
      <c r="AG154" s="214"/>
      <c r="AH154" s="214"/>
      <c r="AI154" s="214"/>
      <c r="AJ154" s="215"/>
    </row>
    <row r="155">
      <c r="H155" s="208">
        <v>45986.0</v>
      </c>
      <c r="I155" s="217" t="s">
        <v>21</v>
      </c>
      <c r="J155" s="217" t="s">
        <v>15</v>
      </c>
      <c r="K155" s="218">
        <v>218610.0</v>
      </c>
      <c r="L155" s="211" t="s">
        <v>64</v>
      </c>
      <c r="M155" s="143"/>
      <c r="N155" s="211" t="s">
        <v>1014</v>
      </c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IFERROR(__xludf.DUMMYFUNCTION("FILTER('설정시트'!$D$7:$L$20,'설정시트'!$C$7:$C$20=I155)"),"관리비")</f>
        <v>관리비</v>
      </c>
      <c r="AC155" s="214" t="str">
        <f>IFERROR(__xludf.DUMMYFUNCTION("""COMPUTED_VALUE"""),"대출이자")</f>
        <v>대출이자</v>
      </c>
      <c r="AD155" s="214" t="str">
        <f>IFERROR(__xludf.DUMMYFUNCTION("""COMPUTED_VALUE"""),"통신비")</f>
        <v>통신비</v>
      </c>
      <c r="AE155" s="214" t="str">
        <f>IFERROR(__xludf.DUMMYFUNCTION("""COMPUTED_VALUE"""),"보험료")</f>
        <v>보험료</v>
      </c>
      <c r="AF155" s="214" t="str">
        <f>IFERROR(__xludf.DUMMYFUNCTION("""COMPUTED_VALUE"""),"곗돈")</f>
        <v>곗돈</v>
      </c>
      <c r="AG155" s="214"/>
      <c r="AH155" s="214"/>
      <c r="AI155" s="214"/>
      <c r="AJ155" s="215"/>
    </row>
    <row r="156">
      <c r="H156" s="208">
        <v>45987.0</v>
      </c>
      <c r="I156" s="217" t="s">
        <v>31</v>
      </c>
      <c r="J156" s="217" t="s">
        <v>29</v>
      </c>
      <c r="K156" s="218">
        <v>1200.0</v>
      </c>
      <c r="L156" s="211" t="s">
        <v>64</v>
      </c>
      <c r="M156" s="143"/>
      <c r="N156" s="211" t="s">
        <v>770</v>
      </c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IFERROR(__xludf.DUMMYFUNCTION("FILTER('설정시트'!$D$7:$L$20,'설정시트'!$C$7:$C$20=I156)"),"식재료비")</f>
        <v>식재료비</v>
      </c>
      <c r="AC156" s="214" t="str">
        <f>IFERROR(__xludf.DUMMYFUNCTION("""COMPUTED_VALUE"""),"회사점심")</f>
        <v>회사점심</v>
      </c>
      <c r="AD156" s="214" t="str">
        <f>IFERROR(__xludf.DUMMYFUNCTION("""COMPUTED_VALUE"""),"간식/카페")</f>
        <v>간식/카페</v>
      </c>
      <c r="AE156" s="214" t="str">
        <f>IFERROR(__xludf.DUMMYFUNCTION("""COMPUTED_VALUE"""),"외식/배달")</f>
        <v>외식/배달</v>
      </c>
      <c r="AF156" s="214" t="str">
        <f>IFERROR(__xludf.DUMMYFUNCTION("""COMPUTED_VALUE"""),"기타")</f>
        <v>기타</v>
      </c>
      <c r="AG156" s="214"/>
      <c r="AH156" s="214"/>
      <c r="AI156" s="214"/>
      <c r="AJ156" s="215"/>
    </row>
    <row r="157">
      <c r="H157" s="221"/>
      <c r="I157" s="222"/>
      <c r="J157" s="217"/>
      <c r="K157" s="220"/>
      <c r="L157" s="213"/>
      <c r="M157" s="143"/>
      <c r="N157" s="213"/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IFERROR(__xludf.DUMMYFUNCTION("FILTER('설정시트'!$D$7:$L$20,'설정시트'!$C$7:$C$20=I157)"),"#N/A")</f>
        <v>#N/A</v>
      </c>
      <c r="AC157" s="214"/>
      <c r="AD157" s="214"/>
      <c r="AE157" s="214"/>
      <c r="AF157" s="214"/>
      <c r="AG157" s="214"/>
      <c r="AH157" s="214"/>
      <c r="AI157" s="214"/>
    </row>
    <row r="158">
      <c r="H158" s="221"/>
      <c r="I158" s="222"/>
      <c r="J158" s="217"/>
      <c r="K158" s="220"/>
      <c r="L158" s="213"/>
      <c r="M158" s="143"/>
      <c r="N158" s="213"/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IFERROR(__xludf.DUMMYFUNCTION("FILTER('설정시트'!$D$7:$L$20,'설정시트'!$C$7:$C$20=I158)"),"#N/A")</f>
        <v>#N/A</v>
      </c>
      <c r="AC158" s="214"/>
      <c r="AD158" s="214"/>
      <c r="AE158" s="214"/>
      <c r="AF158" s="214"/>
      <c r="AG158" s="214"/>
      <c r="AH158" s="214"/>
      <c r="AI158" s="214"/>
    </row>
    <row r="159">
      <c r="H159" s="221"/>
      <c r="I159" s="222"/>
      <c r="J159" s="217"/>
      <c r="K159" s="220"/>
      <c r="L159" s="213"/>
      <c r="M159" s="143"/>
      <c r="N159" s="213"/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IFERROR(__xludf.DUMMYFUNCTION("FILTER('설정시트'!$D$7:$L$20,'설정시트'!$C$7:$C$20=I159)"),"#N/A")</f>
        <v>#N/A</v>
      </c>
      <c r="AC159" s="214"/>
      <c r="AD159" s="214"/>
      <c r="AE159" s="214"/>
      <c r="AF159" s="214"/>
      <c r="AG159" s="214"/>
      <c r="AH159" s="214"/>
      <c r="AI159" s="214"/>
    </row>
    <row r="160">
      <c r="H160" s="221"/>
      <c r="I160" s="222"/>
      <c r="J160" s="217"/>
      <c r="K160" s="220"/>
      <c r="L160" s="213"/>
      <c r="M160" s="143"/>
      <c r="N160" s="213"/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IFERROR(__xludf.DUMMYFUNCTION("FILTER('설정시트'!$D$7:$L$20,'설정시트'!$C$7:$C$20=I160)"),"#N/A")</f>
        <v>#N/A</v>
      </c>
      <c r="AC160" s="214"/>
      <c r="AD160" s="214"/>
      <c r="AE160" s="214"/>
      <c r="AF160" s="214"/>
      <c r="AG160" s="214"/>
      <c r="AH160" s="214"/>
      <c r="AI160" s="214"/>
    </row>
    <row r="161">
      <c r="H161" s="221"/>
      <c r="I161" s="222"/>
      <c r="J161" s="217"/>
      <c r="K161" s="220"/>
      <c r="L161" s="213"/>
      <c r="M161" s="143"/>
      <c r="N161" s="213"/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IFERROR(__xludf.DUMMYFUNCTION("FILTER('설정시트'!$D$7:$L$20,'설정시트'!$C$7:$C$20=I161)"),"#N/A")</f>
        <v>#N/A</v>
      </c>
      <c r="AC161" s="214"/>
      <c r="AD161" s="214"/>
      <c r="AE161" s="214"/>
      <c r="AF161" s="214"/>
      <c r="AG161" s="214"/>
      <c r="AH161" s="214"/>
      <c r="AI161" s="214"/>
    </row>
    <row r="162">
      <c r="H162" s="221"/>
      <c r="I162" s="222"/>
      <c r="J162" s="217"/>
      <c r="K162" s="220"/>
      <c r="L162" s="213"/>
      <c r="M162" s="143"/>
      <c r="N162" s="213"/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IFERROR(__xludf.DUMMYFUNCTION("FILTER('설정시트'!$D$7:$L$20,'설정시트'!$C$7:$C$20=I162)"),"#N/A")</f>
        <v>#N/A</v>
      </c>
      <c r="AC162" s="214"/>
      <c r="AD162" s="214"/>
      <c r="AE162" s="214"/>
      <c r="AF162" s="214"/>
      <c r="AG162" s="214"/>
      <c r="AH162" s="214"/>
      <c r="AI162" s="214"/>
    </row>
    <row r="163">
      <c r="H163" s="221"/>
      <c r="I163" s="222"/>
      <c r="J163" s="217"/>
      <c r="K163" s="220"/>
      <c r="L163" s="213"/>
      <c r="M163" s="143"/>
      <c r="N163" s="213"/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IFERROR(__xludf.DUMMYFUNCTION("FILTER('설정시트'!$D$7:$L$20,'설정시트'!$C$7:$C$20=I163)"),"#N/A")</f>
        <v>#N/A</v>
      </c>
      <c r="AC163" s="214"/>
      <c r="AD163" s="214"/>
      <c r="AE163" s="214"/>
      <c r="AF163" s="214"/>
      <c r="AG163" s="214"/>
      <c r="AH163" s="214"/>
      <c r="AI163" s="214"/>
    </row>
    <row r="164">
      <c r="H164" s="221"/>
      <c r="I164" s="222"/>
      <c r="J164" s="217"/>
      <c r="K164" s="220"/>
      <c r="L164" s="213"/>
      <c r="M164" s="143"/>
      <c r="N164" s="213"/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IFERROR(__xludf.DUMMYFUNCTION("FILTER('설정시트'!$D$7:$L$20,'설정시트'!$C$7:$C$20=I164)"),"#N/A")</f>
        <v>#N/A</v>
      </c>
      <c r="AC164" s="214"/>
      <c r="AD164" s="214"/>
      <c r="AE164" s="214"/>
      <c r="AF164" s="214"/>
      <c r="AG164" s="214"/>
      <c r="AH164" s="214"/>
      <c r="AI164" s="214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1306F103-82DB-4721-A081-DFC677B29403}" filter="1" showAutoFilter="1">
      <autoFilter ref="$H$61:$J$156"/>
    </customSheetView>
    <customSheetView guid="{48029EEC-043B-4596-BD82-4885B5601D90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85">
      <formula1>'11월'!$AB$85:$AI$85</formula1>
    </dataValidation>
    <dataValidation type="list" allowBlank="1" showErrorMessage="1" sqref="J247">
      <formula1>'11월'!$AB$247:$AI$247</formula1>
    </dataValidation>
    <dataValidation type="list" allowBlank="1" showErrorMessage="1" sqref="J153">
      <formula1>'11월'!$AB$153:$AI$153</formula1>
    </dataValidation>
    <dataValidation type="list" allowBlank="1" showErrorMessage="1" sqref="J356">
      <formula1>'11월'!$AB$356:$AI$356</formula1>
    </dataValidation>
    <dataValidation type="list" allowBlank="1" showErrorMessage="1" sqref="J138">
      <formula1>'11월'!$AB$138:$AI$138</formula1>
    </dataValidation>
    <dataValidation type="list" allowBlank="1" showErrorMessage="1" sqref="J460">
      <formula1>'11월'!$AB$460:$AI$460</formula1>
    </dataValidation>
    <dataValidation type="list" allowBlank="1" showErrorMessage="1" sqref="J465">
      <formula1>'11월'!$AB$465:$AI$465</formula1>
    </dataValidation>
    <dataValidation type="list" allowBlank="1" showErrorMessage="1" sqref="J371">
      <formula1>'11월'!$AB$371:$AI$371</formula1>
    </dataValidation>
    <dataValidation type="list" allowBlank="1" showErrorMessage="1" sqref="J445">
      <formula1>'11월'!$AB$445:$AI$445</formula1>
    </dataValidation>
    <dataValidation type="list" allowBlank="1" showErrorMessage="1" sqref="J351">
      <formula1>'11월'!$AB$351:$AI$351</formula1>
    </dataValidation>
    <dataValidation type="list" allowBlank="1" showErrorMessage="1" sqref="J480">
      <formula1>'11월'!$AB$480:$AI$480</formula1>
    </dataValidation>
    <dataValidation type="list" allowBlank="1" showErrorMessage="1" sqref="J133">
      <formula1>'11월'!$AB$133:$AI$133</formula1>
    </dataValidation>
    <dataValidation type="list" allowBlank="1" showErrorMessage="1" sqref="J242">
      <formula1>'11월'!$AB$242:$AI$242</formula1>
    </dataValidation>
    <dataValidation type="list" allowBlank="1" showErrorMessage="1" sqref="J173">
      <formula1>'11월'!$AB$173:$AI$173</formula1>
    </dataValidation>
    <dataValidation type="list" allowBlank="1" showErrorMessage="1" sqref="J102">
      <formula1>'11월'!$AB$102:$AI$102</formula1>
    </dataValidation>
    <dataValidation type="list" allowBlank="1" showErrorMessage="1" sqref="J376">
      <formula1>'11월'!$AB$376:$AI$376</formula1>
    </dataValidation>
    <dataValidation type="list" allowBlank="1" showErrorMessage="1" sqref="J485">
      <formula1>'11월'!$AB$485:$AI$485</formula1>
    </dataValidation>
    <dataValidation type="list" allowBlank="1" showErrorMessage="1" sqref="J211">
      <formula1>'11월'!$AB$211:$AI$211</formula1>
    </dataValidation>
    <dataValidation type="list" allowBlank="1" showErrorMessage="1" sqref="J71">
      <formula1>'11월'!$AB$71:$AI$71</formula1>
    </dataValidation>
    <dataValidation type="list" allowBlank="1" showErrorMessage="1" sqref="J158">
      <formula1>'11월'!$AB$158:$AI$158</formula1>
    </dataValidation>
    <dataValidation type="list" allowBlank="1" showErrorMessage="1" sqref="J414">
      <formula1>'11월'!$AB$414:$AI$414</formula1>
    </dataValidation>
    <dataValidation type="list" allowBlank="1" showErrorMessage="1" sqref="J262">
      <formula1>'11월'!$AB$262:$AI$262</formula1>
    </dataValidation>
    <dataValidation type="list" allowBlank="1" showErrorMessage="1" sqref="J267">
      <formula1>'11월'!$AB$267:$AI$267</formula1>
    </dataValidation>
    <dataValidation type="list" allowBlank="1" showErrorMessage="1" sqref="J305">
      <formula1>'11월'!$AB$305:$AI$305</formula1>
    </dataValidation>
    <dataValidation type="list" allowBlank="1" showErrorMessage="1" sqref="J300">
      <formula1>'11월'!$AB$300:$AI$300</formula1>
    </dataValidation>
    <dataValidation type="list" allowBlank="1" showErrorMessage="1" sqref="J325">
      <formula1>'11월'!$AB$325:$AI$325</formula1>
    </dataValidation>
    <dataValidation type="list" allowBlank="1" showErrorMessage="1" sqref="J184">
      <formula1>'11월'!$AB$184:$AI$184</formula1>
    </dataValidation>
    <dataValidation type="list" allowBlank="1" showErrorMessage="1" sqref="J434">
      <formula1>'11월'!$AB$434:$AI$434</formula1>
    </dataValidation>
    <dataValidation type="list" allowBlank="1" showErrorMessage="1" sqref="J216">
      <formula1>'11월'!$AB$216:$AI$216</formula1>
    </dataValidation>
    <dataValidation type="list" allowBlank="1" showErrorMessage="1" sqref="J107">
      <formula1>'11월'!$AB$107:$AI$107</formula1>
    </dataValidation>
    <dataValidation type="list" allowBlank="1" showErrorMessage="1" sqref="J293">
      <formula1>'11월'!$AB$293:$AI$293</formula1>
    </dataValidation>
    <dataValidation type="list" allowBlank="1" showErrorMessage="1" sqref="J405">
      <formula1>'11월'!$AB$405:$AI$405</formula1>
    </dataValidation>
    <dataValidation type="list" allowBlank="1" showErrorMessage="1" sqref="J273">
      <formula1>'11월'!$AB$273:$AI$273</formula1>
    </dataValidation>
    <dataValidation type="list" allowBlank="1" showErrorMessage="1" sqref="J316">
      <formula1>'11월'!$AB$316:$AI$316</formula1>
    </dataValidation>
    <dataValidation type="list" allowBlank="1" showErrorMessage="1" sqref="J127">
      <formula1>'11월'!$AB$127:$AI$127</formula1>
    </dataValidation>
    <dataValidation type="list" allowBlank="1" showErrorMessage="1" sqref="J164">
      <formula1>'11월'!$AB$164:$AI$164</formula1>
    </dataValidation>
    <dataValidation type="list" allowBlank="1" showErrorMessage="1" sqref="J207">
      <formula1>'11월'!$AB$207:$AI$207</formula1>
    </dataValidation>
    <dataValidation type="list" allowBlank="1" showErrorMessage="1" sqref="J471">
      <formula1>'11월'!$AB$471:$AI$471</formula1>
    </dataValidation>
    <dataValidation type="list" allowBlank="1" showErrorMessage="1" sqref="J282">
      <formula1>'11월'!$AB$282:$AI$282</formula1>
    </dataValidation>
    <dataValidation type="list" allowBlank="1" showErrorMessage="1" sqref="J118">
      <formula1>'11월'!$AB$118:$AI$118</formula1>
    </dataValidation>
    <dataValidation type="list" allowBlank="1" showErrorMessage="1" sqref="J454">
      <formula1>'11월'!$AB$454:$AI$454</formula1>
    </dataValidation>
    <dataValidation type="list" allowBlank="1" showErrorMessage="1" sqref="J87">
      <formula1>'11월'!$AB$87:$AI$87</formula1>
    </dataValidation>
    <dataValidation type="list" allowBlank="1" showErrorMessage="1" sqref="J391">
      <formula1>'11월'!$AB$391:$AI$391</formula1>
    </dataValidation>
    <dataValidation type="list" allowBlank="1" showErrorMessage="1" sqref="J147">
      <formula1>'11월'!$AB$147:$AI$147</formula1>
    </dataValidation>
    <dataValidation type="list" allowBlank="1" showErrorMessage="1" sqref="J425">
      <formula1>'11월'!$AB$425:$AI$425</formula1>
    </dataValidation>
    <dataValidation type="list" allowBlank="1" showErrorMessage="1" sqref="J236">
      <formula1>'11월'!$AB$236:$AI$236</formula1>
    </dataValidation>
    <dataValidation type="list" allowBlank="1" showErrorMessage="1" sqref="J336">
      <formula1>'11월'!$AB$336:$AI$336</formula1>
    </dataValidation>
    <dataValidation type="list" allowBlank="1" showErrorMessage="1" sqref="J382">
      <formula1>'11월'!$AB$382:$AI$382</formula1>
    </dataValidation>
    <dataValidation type="list" allowBlank="1" showErrorMessage="1" sqref="J491">
      <formula1>'11월'!$AB$491:$AI$491</formula1>
    </dataValidation>
    <dataValidation type="list" allowBlank="1" showErrorMessage="1" sqref="J345">
      <formula1>'11월'!$AB$345:$AI$345</formula1>
    </dataValidation>
    <dataValidation type="list" allowBlank="1" showErrorMessage="1" sqref="J193">
      <formula1>'11월'!$AB$193:$AI$193</formula1>
    </dataValidation>
    <dataValidation type="list" allowBlank="1" showErrorMessage="1" sqref="J227">
      <formula1>'11월'!$AB$227:$AI$227</formula1>
    </dataValidation>
    <dataValidation type="list" allowBlank="1" showErrorMessage="1" sqref="J403">
      <formula1>'11월'!$AB$403:$AI$403</formula1>
    </dataValidation>
    <dataValidation type="list" allowBlank="1" showErrorMessage="1" sqref="J436">
      <formula1>'11월'!$AB$436:$AI$436</formula1>
    </dataValidation>
    <dataValidation type="list" allowBlank="1" showErrorMessage="1" sqref="J200">
      <formula1>'11월'!$AB$200:$AI$200</formula1>
    </dataValidation>
    <dataValidation type="list" allowBlank="1" showErrorMessage="1" sqref="J474">
      <formula1>'11월'!$AB$474:$AI$474</formula1>
    </dataValidation>
    <dataValidation type="list" allowBlank="1" showErrorMessage="1" sqref="J167">
      <formula1>'11월'!$AB$167:$AI$167</formula1>
    </dataValidation>
    <dataValidation type="list" allowBlank="1" showErrorMessage="1" sqref="J327">
      <formula1>'11월'!$AB$327:$AI$327</formula1>
    </dataValidation>
    <dataValidation type="list" allowBlank="1" showErrorMessage="1" sqref="J205">
      <formula1>'11월'!$AB$205:$AI$205</formula1>
    </dataValidation>
    <dataValidation type="list" allowBlank="1" showErrorMessage="1" sqref="J238">
      <formula1>'11월'!$AB$238:$AI$238</formula1>
    </dataValidation>
    <dataValidation type="list" allowBlank="1" showErrorMessage="1" sqref="J256">
      <formula1>'11월'!$AB$256:$AI$256</formula1>
    </dataValidation>
    <dataValidation type="list" allowBlank="1" showErrorMessage="1" sqref="J479">
      <formula1>'11월'!$AB$479:$AI$479</formula1>
    </dataValidation>
    <dataValidation type="list" allowBlank="1" showErrorMessage="1" sqref="J90">
      <formula1>'11월'!$AB$90:$AI$90</formula1>
    </dataValidation>
    <dataValidation type="list" allowBlank="1" showErrorMessage="1" sqref="J75">
      <formula1>'11월'!$AB$75:$AI$75</formula1>
    </dataValidation>
    <dataValidation type="list" allowBlank="1" showErrorMessage="1" sqref="J365">
      <formula1>'11월'!$AB$365:$AI$365</formula1>
    </dataValidation>
    <dataValidation type="list" allowBlank="1" showErrorMessage="1" sqref="J129">
      <formula1>'11월'!$AB$129:$AI$129</formula1>
    </dataValidation>
    <dataValidation type="list" allowBlank="1" showErrorMessage="1" sqref="J187">
      <formula1>'11월'!$AB$187:$AI$187</formula1>
    </dataValidation>
    <dataValidation type="list" allowBlank="1" showErrorMessage="1" sqref="J190">
      <formula1>'11월'!$AB$190:$AI$190</formula1>
    </dataValidation>
    <dataValidation type="list" allowBlank="1" showErrorMessage="1" sqref="J66">
      <formula1>'11월'!$AB$66:$AI$66</formula1>
    </dataValidation>
    <dataValidation type="list" allowBlank="1" showErrorMessage="1" sqref="J400">
      <formula1>'11월'!$AB$400:$AI$400</formula1>
    </dataValidation>
    <dataValidation type="list" allowBlank="1" showErrorMessage="1" sqref="J220">
      <formula1>'11월'!$AB$220:$AI$220</formula1>
    </dataValidation>
    <dataValidation type="list" allowBlank="1" showErrorMessage="1" sqref="J225">
      <formula1>'11월'!$AB$225:$AI$225</formula1>
    </dataValidation>
    <dataValidation type="list" allowBlank="1" showErrorMessage="1" sqref="J499">
      <formula1>'11월'!$AB$499:$AI$499</formula1>
    </dataValidation>
    <dataValidation type="list" allowBlank="1" showErrorMessage="1" sqref="J83">
      <formula1>'11월'!$AB$83:$AI$83</formula1>
    </dataValidation>
    <dataValidation type="list" allowBlank="1" showErrorMessage="1" sqref="J258">
      <formula1>'11월'!$AB$258:$AI$258</formula1>
    </dataValidation>
    <dataValidation type="list" allowBlank="1" showErrorMessage="1" sqref="J314">
      <formula1>'11월'!$AB$314:$AI$314</formula1>
    </dataValidation>
    <dataValidation type="list" allowBlank="1" showErrorMessage="1" sqref="J347">
      <formula1>'11월'!$AB$347:$AI$347</formula1>
    </dataValidation>
    <dataValidation type="list" allowBlank="1" showErrorMessage="1" sqref="J494">
      <formula1>'11월'!$AB$494:$AI$494</formula1>
    </dataValidation>
    <dataValidation type="list" allowBlank="1" showErrorMessage="1" sqref="J111">
      <formula1>'11월'!$AB$111:$AI$111</formula1>
    </dataValidation>
    <dataValidation type="list" allowBlank="1" showErrorMessage="1" sqref="J385">
      <formula1>'11월'!$AB$385:$AI$385</formula1>
    </dataValidation>
    <dataValidation type="list" allowBlank="1" showErrorMessage="1" sqref="J423">
      <formula1>'11월'!$AB$423:$AI$423</formula1>
    </dataValidation>
    <dataValidation type="list" allowBlank="1" showErrorMessage="1" sqref="J116">
      <formula1>'11월'!$AB$116:$AI$116</formula1>
    </dataValidation>
    <dataValidation type="list" allowBlank="1" showErrorMessage="1" sqref="J276">
      <formula1>'11월'!$AB$276:$AI$276</formula1>
    </dataValidation>
    <dataValidation type="list" allowBlank="1" showErrorMessage="1" sqref="J456">
      <formula1>'11월'!$AB$456:$AI$456</formula1>
    </dataValidation>
    <dataValidation type="list" allowBlank="1" showErrorMessage="1" sqref="J149">
      <formula1>'11월'!$AB$149:$AI$149</formula1>
    </dataValidation>
    <dataValidation type="list" allowBlank="1" showErrorMessage="1" sqref="J73">
      <formula1>'11월'!$AB$73:$AI$73</formula1>
    </dataValidation>
    <dataValidation type="list" allowBlank="1" showErrorMessage="1" sqref="J169">
      <formula1>'11월'!$AB$169:$AI$169</formula1>
    </dataValidation>
    <dataValidation type="list" allowBlank="1" showErrorMessage="1" sqref="J419">
      <formula1>'11월'!$AB$419:$AI$419</formula1>
    </dataValidation>
    <dataValidation type="list" allowBlank="1" showErrorMessage="1" sqref="J151">
      <formula1>'11월'!$AB$151:$AI$151</formula1>
    </dataValidation>
    <dataValidation type="list" allowBlank="1" showErrorMessage="1" sqref="J311">
      <formula1>'11월'!$AB$311:$AI$311</formula1>
    </dataValidation>
    <dataValidation type="list" allowBlank="1" showErrorMessage="1" sqref="J260">
      <formula1>'11월'!$AB$260:$AI$260</formula1>
    </dataValidation>
    <dataValidation type="list" allowBlank="1" showErrorMessage="1" sqref="J170">
      <formula1>'11월'!$AB$170:$AI$170</formula1>
    </dataValidation>
    <dataValidation type="list" allowBlank="1" showErrorMessage="1" sqref="J278">
      <formula1>'11월'!$AB$278:$AI$278</formula1>
    </dataValidation>
    <dataValidation type="list" allowBlank="1" showErrorMessage="1" sqref="J420">
      <formula1>'11월'!$AB$420:$AI$420</formula1>
    </dataValidation>
    <dataValidation type="list" allowBlank="1" showErrorMessage="1" sqref="J240">
      <formula1>'11월'!$AB$240:$AI$240</formula1>
    </dataValidation>
    <dataValidation type="list" allowBlank="1" showErrorMessage="1" sqref="J81">
      <formula1>'11월'!$AB$81:$AI$81</formula1>
    </dataValidation>
    <dataValidation type="list" allowBlank="1" showErrorMessage="1" sqref="J367">
      <formula1>'11월'!$AB$367:$AI$367</formula1>
    </dataValidation>
    <dataValidation type="list" allowBlank="1" showErrorMessage="1" sqref="J131">
      <formula1>'11월'!$AB$131:$AI$131</formula1>
    </dataValidation>
    <dataValidation type="list" allowBlank="1" showErrorMessage="1" sqref="J202">
      <formula1>'11월'!$AB$202:$AI$202</formula1>
    </dataValidation>
    <dataValidation type="list" allowBlank="1" showErrorMessage="1" sqref="J439">
      <formula1>'11월'!$AB$439:$AI$439</formula1>
    </dataValidation>
    <dataValidation type="list" allowBlank="1" showErrorMessage="1" sqref="J476">
      <formula1>'11월'!$AB$476:$AI$476</formula1>
    </dataValidation>
    <dataValidation type="list" allowBlank="1" showErrorMessage="1" sqref="J296">
      <formula1>'11월'!$AB$296:$AI$296</formula1>
    </dataValidation>
    <dataValidation type="list" allowBlank="1" showErrorMessage="1" sqref="J331">
      <formula1>'11월'!$AB$331:$AI$331</formula1>
    </dataValidation>
    <dataValidation type="list" allowBlank="1" showErrorMessage="1" sqref="J440">
      <formula1>'11월'!$AB$440:$AI$440</formula1>
    </dataValidation>
    <dataValidation type="list" allowBlank="1" showErrorMessage="1" sqref="J150">
      <formula1>'11월'!$AB$150:$AI$150</formula1>
    </dataValidation>
    <dataValidation type="list" allowBlank="1" showErrorMessage="1" sqref="J298">
      <formula1>'11월'!$AB$298:$AI$298</formula1>
    </dataValidation>
    <dataValidation type="list" allowBlank="1" showErrorMessage="1" sqref="J113">
      <formula1>'11월'!$AB$113:$AI$113</formula1>
    </dataValidation>
    <dataValidation type="list" allowBlank="1" showErrorMessage="1" sqref="J387">
      <formula1>'11월'!$AB$387:$AI$387</formula1>
    </dataValidation>
    <dataValidation type="list" allowBlank="1" showErrorMessage="1" sqref="J459">
      <formula1>'11월'!$AB$459:$AI$459</formula1>
    </dataValidation>
    <dataValidation type="list" allowBlank="1" showErrorMessage="1" sqref="J189">
      <formula1>'11월'!$AB$189:$AI$189</formula1>
    </dataValidation>
    <dataValidation type="list" allowBlank="1" showErrorMessage="1" sqref="J68">
      <formula1>'11월'!$AB$68:$AI$68</formula1>
    </dataValidation>
    <dataValidation type="list" allowBlank="1" showErrorMessage="1" sqref="J222">
      <formula1>'11월'!$AB$222:$AI$222</formula1>
    </dataValidation>
    <dataValidation type="list" allowBlank="1" showErrorMessage="1" sqref="J496">
      <formula1>'11월'!$AB$496:$AI$496</formula1>
    </dataValidation>
    <dataValidation type="list" allowBlank="1" showErrorMessage="1" sqref="J186">
      <formula1>'11월'!$AB$186:$AI$186</formula1>
    </dataValidation>
    <dataValidation type="list" allowBlank="1" showErrorMessage="1" sqref="J64">
      <formula1>'11월'!$AB$64:$AI$64</formula1>
    </dataValidation>
    <dataValidation type="list" allowBlank="1" showErrorMessage="1" sqref="J422">
      <formula1>'11월'!$AB$422:$AI$422</formula1>
    </dataValidation>
    <dataValidation type="list" allowBlank="1" showErrorMessage="1" sqref="J389">
      <formula1>'11월'!$AB$389:$AI$389</formula1>
    </dataValidation>
    <dataValidation type="list" allowBlank="1" showErrorMessage="1" sqref="J105">
      <formula1>'11월'!$AB$105:$AI$105</formula1>
    </dataValidation>
    <dataValidation type="list" allowBlank="1" showErrorMessage="1" sqref="J285">
      <formula1>'11월'!$AB$285:$AI$285</formula1>
    </dataValidation>
    <dataValidation type="list" allowBlank="1" showErrorMessage="1" sqref="J115">
      <formula1>'11월'!$AB$115:$AI$115</formula1>
    </dataValidation>
    <dataValidation type="list" allowBlank="1" showErrorMessage="1" sqref="J493">
      <formula1>'11월'!$AB$493:$AI$493</formula1>
    </dataValidation>
    <dataValidation type="list" allowBlank="1" showErrorMessage="1" sqref="J323">
      <formula1>'11월'!$AB$323:$AI$323</formula1>
    </dataValidation>
    <dataValidation type="list" allowBlank="1" showErrorMessage="1" sqref="J191">
      <formula1>'11월'!$AB$191:$AI$191</formula1>
    </dataValidation>
    <dataValidation type="list" allowBlank="1" showErrorMessage="1" sqref="J204">
      <formula1>'11월'!$AB$204:$AI$204</formula1>
    </dataValidation>
    <dataValidation type="list" allowBlank="1" showErrorMessage="1" sqref="J417">
      <formula1>'11월'!$AB$417:$AI$417</formula1>
    </dataValidation>
    <dataValidation type="list" allowBlank="1" showErrorMessage="1" sqref="J209">
      <formula1>'11월'!$AB$209:$AI$209</formula1>
    </dataValidation>
    <dataValidation type="list" allowBlank="1" showErrorMessage="1" sqref="J412">
      <formula1>'11월'!$AB$412:$AI$412</formula1>
    </dataValidation>
    <dataValidation type="list" allowBlank="1" showErrorMessage="1" sqref="J427">
      <formula1>'11월'!$AB$427:$AI$427</formula1>
    </dataValidation>
    <dataValidation type="list" allowBlank="1" showErrorMessage="1" sqref="J93">
      <formula1>'11월'!$AB$93:$AI$93</formula1>
    </dataValidation>
    <dataValidation type="list" allowBlank="1" showErrorMessage="1" sqref="J379">
      <formula1>'11월'!$AB$379:$AI$379</formula1>
    </dataValidation>
    <dataValidation type="list" allowBlank="1" showErrorMessage="1" sqref="J100">
      <formula1>'11월'!$AB$100:$AI$100</formula1>
    </dataValidation>
    <dataValidation type="list" allowBlank="1" showErrorMessage="1" sqref="J140">
      <formula1>'11월'!$AB$140:$AI$140</formula1>
    </dataValidation>
    <dataValidation type="list" allowBlank="1" showErrorMessage="1" sqref="J275">
      <formula1>'11월'!$AB$275:$AI$275</formula1>
    </dataValidation>
    <dataValidation type="list" allowBlank="1" showErrorMessage="1" sqref="J338">
      <formula1>'11월'!$AB$338:$AI$338</formula1>
    </dataValidation>
    <dataValidation type="list" allowBlank="1" showErrorMessage="1" sqref="J452">
      <formula1>'11월'!$AB$452:$AI$452</formula1>
    </dataValidation>
    <dataValidation type="list" allowBlank="1" showErrorMessage="1" sqref="J78">
      <formula1>'11월'!$AB$78:$AI$78</formula1>
    </dataValidation>
    <dataValidation type="list" allowBlank="1" showErrorMessage="1" sqref="J244">
      <formula1>'11월'!$AB$244:$AI$244</formula1>
    </dataValidation>
    <dataValidation type="list" allowBlank="1" showErrorMessage="1" sqref="J328">
      <formula1>'11월'!$AB$328:$AI$328</formula1>
    </dataValidation>
    <dataValidation type="list" allowBlank="1" showErrorMessage="1" sqref="J280">
      <formula1>'11월'!$AB$280:$AI$280</formula1>
    </dataValidation>
    <dataValidation type="list" allowBlank="1" showErrorMessage="1" sqref="J77">
      <formula1>'11월'!$AB$77:$AI$77</formula1>
    </dataValidation>
    <dataValidation type="list" allowBlank="1" showErrorMessage="1" sqref="J130">
      <formula1>'11월'!$AB$130:$AI$130</formula1>
    </dataValidation>
    <dataValidation type="list" allowBlank="1" showErrorMessage="1" sqref="J65">
      <formula1>'11월'!$AB$65:$AI$65</formula1>
    </dataValidation>
    <dataValidation type="list" allowBlank="1" showErrorMessage="1" sqref="J181">
      <formula1>'11월'!$AB$181:$AI$181</formula1>
    </dataValidation>
    <dataValidation type="list" allowBlank="1" showErrorMessage="1" sqref="J333">
      <formula1>'11월'!$AB$333:$AI$333</formula1>
    </dataValidation>
    <dataValidation type="list" allowBlank="1" showErrorMessage="1" sqref="J196">
      <formula1>'11월'!$AB$196:$AI$196</formula1>
    </dataValidation>
    <dataValidation type="list" allowBlank="1" showErrorMessage="1" sqref="J234">
      <formula1>'11월'!$AB$234:$AI$234</formula1>
    </dataValidation>
    <dataValidation type="list" allowBlank="1" showErrorMessage="1" sqref="J239">
      <formula1>'11월'!$AB$239:$AI$239</formula1>
    </dataValidation>
    <dataValidation type="list" allowBlank="1" showErrorMessage="1" sqref="J94">
      <formula1>'11월'!$AB$94:$AI$94</formula1>
    </dataValidation>
    <dataValidation type="list" allowBlank="1" showErrorMessage="1" sqref="J155">
      <formula1>'11월'!$AB$155:$AI$155</formula1>
    </dataValidation>
    <dataValidation type="list" allowBlank="1" showErrorMessage="1" sqref="J245">
      <formula1>'11월'!$AB$245:$AI$245</formula1>
    </dataValidation>
    <dataValidation type="list" allowBlank="1" showErrorMessage="1" sqref="J453">
      <formula1>'11월'!$AB$453:$AI$453</formula1>
    </dataValidation>
    <dataValidation type="list" allowBlank="1" showErrorMessage="1" sqref="J363">
      <formula1>'11월'!$AB$363:$AI$363</formula1>
    </dataValidation>
    <dataValidation type="list" allowBlank="1" showErrorMessage="1" sqref="J145">
      <formula1>'11월'!$AB$145:$AI$145</formula1>
    </dataValidation>
    <dataValidation type="list" allowBlank="1" showErrorMessage="1" sqref="J334">
      <formula1>'11월'!$AB$334:$AI$334</formula1>
    </dataValidation>
    <dataValidation type="list" allowBlank="1" showErrorMessage="1" sqref="J79">
      <formula1>'11월'!$AB$79:$AI$79</formula1>
    </dataValidation>
    <dataValidation type="list" allowBlank="1" showErrorMessage="1" sqref="J462">
      <formula1>'11월'!$AB$462:$AI$462</formula1>
    </dataValidation>
    <dataValidation type="list" allowBlank="1" showErrorMessage="1" sqref="J235">
      <formula1>'11월'!$AB$235:$AI$235</formula1>
    </dataValidation>
    <dataValidation type="list" allowBlank="1" showErrorMessage="1" sqref="J492">
      <formula1>'11월'!$AB$492:$AI$492</formula1>
    </dataValidation>
    <dataValidation type="list" allowBlank="1" showErrorMessage="1" sqref="J63">
      <formula1>'11월'!$AB$63:$AI$63</formula1>
    </dataValidation>
    <dataValidation type="list" allowBlank="1" showErrorMessage="1" sqref="J374">
      <formula1>'11월'!$AB$374:$AI$374</formula1>
    </dataValidation>
    <dataValidation type="list" allowBlank="1" showErrorMessage="1" sqref="J284">
      <formula1>'11월'!$AB$284:$AI$284</formula1>
    </dataValidation>
    <dataValidation type="list" allowBlank="1" showErrorMessage="1" sqref="J156">
      <formula1>'11월'!$AB$156:$AI$156</formula1>
    </dataValidation>
    <dataValidation type="list" allowBlank="1" showErrorMessage="1" sqref="J416">
      <formula1>'11월'!$AB$416:$AI$416</formula1>
    </dataValidation>
    <dataValidation type="list" allowBlank="1" showErrorMessage="1" sqref="J62">
      <formula1>'11월'!$AB$62:$AI$62</formula1>
    </dataValidation>
    <dataValidation type="list" allowBlank="1" showErrorMessage="1" sqref="J208">
      <formula1>'11월'!$AB$208:$AI$208</formula1>
    </dataValidation>
    <dataValidation type="list" allowBlank="1" showErrorMessage="1" sqref="J92">
      <formula1>'11월'!$AB$92:$AI$92</formula1>
    </dataValidation>
    <dataValidation type="list" allowBlank="1" showErrorMessage="1" sqref="J109">
      <formula1>'11월'!$AB$109:$AI$109</formula1>
    </dataValidation>
    <dataValidation type="list" allowBlank="1" showErrorMessage="1" sqref="J463">
      <formula1>'11월'!$AB$463:$AI$463</formula1>
    </dataValidation>
    <dataValidation type="list" allowBlank="1" showErrorMessage="1" sqref="J146">
      <formula1>'11월'!$AB$146:$AI$146</formula1>
    </dataValidation>
    <dataValidation type="list" allowBlank="1" showErrorMessage="1" sqref="J274">
      <formula1>'11월'!$AB$274:$AI$274</formula1>
    </dataValidation>
    <dataValidation type="list" allowBlank="1" showErrorMessage="1" sqref="J364">
      <formula1>'11월'!$AB$364:$AI$364</formula1>
    </dataValidation>
    <dataValidation type="list" allowBlank="1" showErrorMessage="1" sqref="J426">
      <formula1>'11월'!$AB$426:$AI$426</formula1>
    </dataValidation>
    <dataValidation type="list" allowBlank="1" showErrorMessage="1" sqref="J91">
      <formula1>'11월'!$AB$91:$AI$91</formula1>
    </dataValidation>
    <dataValidation type="list" allowBlank="1" showErrorMessage="1" sqref="J373">
      <formula1>'11월'!$AB$373:$AI$373</formula1>
    </dataValidation>
    <dataValidation type="list" allowBlank="1" showErrorMessage="1" sqref="J469">
      <formula1>'11월'!$AB$469:$AI$469</formula1>
    </dataValidation>
    <dataValidation type="list" allowBlank="1" showErrorMessage="1" sqref="J375">
      <formula1>'11월'!$AB$375:$AI$375</formula1>
    </dataValidation>
    <dataValidation type="list" allowBlank="1" showErrorMessage="1" sqref="J233">
      <formula1>'11월'!$AB$233:$AI$233</formula1>
    </dataValidation>
    <dataValidation type="list" allowBlank="1" showErrorMessage="1" sqref="J101">
      <formula1>'11월'!$AB$101:$AI$101</formula1>
    </dataValidation>
    <dataValidation type="list" allowBlank="1" showErrorMessage="1" sqref="J119">
      <formula1>'11월'!$AB$119:$AI$119</formula1>
    </dataValidation>
    <dataValidation type="list" allowBlank="1" showErrorMessage="1" sqref="J413">
      <formula1>'11월'!$AB$413:$AI$413</formula1>
    </dataValidation>
    <dataValidation type="list" allowBlank="1" showErrorMessage="1" sqref="J464">
      <formula1>'11월'!$AB$464:$AI$464</formula1>
    </dataValidation>
    <dataValidation type="list" allowBlank="1" showErrorMessage="1" sqref="J182">
      <formula1>'11월'!$AB$182:$AI$182</formula1>
    </dataValidation>
    <dataValidation type="list" allowBlank="1" showErrorMessage="1" sqref="J289">
      <formula1>'11월'!$AB$289:$AI$289</formula1>
    </dataValidation>
    <dataValidation type="list" allowBlank="1" showErrorMessage="1" sqref="J337">
      <formula1>'11월'!$AB$337:$AI$337</formula1>
    </dataValidation>
    <dataValidation type="list" allowBlank="1" showErrorMessage="1" sqref="J96">
      <formula1>'11월'!$AB$96:$AI$96</formula1>
    </dataValidation>
    <dataValidation type="list" allowBlank="1" showErrorMessage="1" sqref="J157">
      <formula1>'11월'!$AB$157:$AI$157</formula1>
    </dataValidation>
    <dataValidation type="list" allowBlank="1" showErrorMessage="1" sqref="J324">
      <formula1>'11월'!$AB$324:$AI$324</formula1>
    </dataValidation>
    <dataValidation type="list" allowBlank="1" showErrorMessage="1" sqref="J360">
      <formula1>'11월'!$AB$360:$AI$360</formula1>
    </dataValidation>
    <dataValidation type="list" allowBlank="1" showErrorMessage="1" sqref="J248">
      <formula1>'11월'!$AB$248:$AI$248</formula1>
    </dataValidation>
    <dataValidation type="list" allowBlank="1" showErrorMessage="1" sqref="J362">
      <formula1>'11월'!$AB$362:$AI$362</formula1>
    </dataValidation>
    <dataValidation type="list" allowBlank="1" showErrorMessage="1" sqref="J106">
      <formula1>'11월'!$AB$106:$AI$106</formula1>
    </dataValidation>
    <dataValidation type="list" allowBlank="1" showErrorMessage="1" sqref="J466">
      <formula1>'11월'!$AB$466:$AI$466</formula1>
    </dataValidation>
    <dataValidation type="list" allowBlank="1" showErrorMessage="1" sqref="J286">
      <formula1>'11월'!$AB$286:$AI$286</formula1>
    </dataValidation>
    <dataValidation type="list" allowBlank="1" showErrorMessage="1" sqref="J195">
      <formula1>'11월'!$AB$195:$AI$195</formula1>
    </dataValidation>
    <dataValidation type="list" allowBlank="1" showErrorMessage="1" sqref="J144">
      <formula1>'11월'!$AB$144:$AI$144</formula1>
    </dataValidation>
    <dataValidation type="list" allowBlank="1" showErrorMessage="1" sqref="J428">
      <formula1>'11월'!$AB$428:$AI$428</formula1>
    </dataValidation>
    <dataValidation type="list" allowBlank="1" showErrorMessage="1" sqref="J95">
      <formula1>'11월'!$AB$95:$AI$95</formula1>
    </dataValidation>
    <dataValidation type="list" allowBlank="1" showErrorMessage="1" sqref="J451">
      <formula1>'11월'!$AB$451:$AI$451</formula1>
    </dataValidation>
    <dataValidation type="list" allowBlank="1" showErrorMessage="1" sqref="J271">
      <formula1>'11월'!$AB$271:$AI$271</formula1>
    </dataValidation>
    <dataValidation type="list" allowBlank="1" showErrorMessage="1" sqref="J103">
      <formula1>'11월'!$AB$103:$AI$103</formula1>
    </dataValidation>
    <dataValidation type="list" allowBlank="1" showErrorMessage="1" sqref="J339">
      <formula1>'11월'!$AB$339:$AI$339</formula1>
    </dataValidation>
    <dataValidation type="list" allowBlank="1" showErrorMessage="1" sqref="J467">
      <formula1>'11월'!$AB$467:$AI$467</formula1>
    </dataValidation>
    <dataValidation type="list" allowBlank="1" showErrorMessage="1" sqref="J377">
      <formula1>'11월'!$AB$377:$AI$377</formula1>
    </dataValidation>
    <dataValidation type="list" allowBlank="1" showErrorMessage="1" sqref="J231">
      <formula1>'11월'!$AB$231:$AI$231</formula1>
    </dataValidation>
    <dataValidation type="list" allowBlank="1" showErrorMessage="1" sqref="J141">
      <formula1>'11월'!$AB$141:$AI$141</formula1>
    </dataValidation>
    <dataValidation type="list" allowBlank="1" showErrorMessage="1" sqref="J429">
      <formula1>'11월'!$AB$429:$AI$429</formula1>
    </dataValidation>
    <dataValidation type="list" allowBlank="1" showErrorMessage="1" sqref="J249">
      <formula1>'11월'!$AB$249:$AI$249</formula1>
    </dataValidation>
    <dataValidation type="list" allowBlank="1" showErrorMessage="1" sqref="J97">
      <formula1>'11월'!$AB$97:$AI$97</formula1>
    </dataValidation>
    <dataValidation type="list" allowBlank="1" showErrorMessage="1" sqref="J180">
      <formula1>'11월'!$AB$180:$AI$180</formula1>
    </dataValidation>
    <dataValidation type="list" allowBlank="1" showErrorMessage="1" sqref="J159">
      <formula1>'11월'!$AB$159:$AI$159</formula1>
    </dataValidation>
    <dataValidation type="list" allowBlank="1" showErrorMessage="1" sqref="J197">
      <formula1>'11월'!$AB$197:$AI$197</formula1>
    </dataValidation>
    <dataValidation type="list" allowBlank="1" showErrorMessage="1" sqref="J287">
      <formula1>'11월'!$AB$287:$AI$287</formula1>
    </dataValidation>
    <dataValidation type="list" allowBlank="1" showErrorMessage="1" sqref="J270">
      <formula1>'11월'!$AB$270:$AI$270</formula1>
    </dataValidation>
    <dataValidation type="list" allowBlank="1" showErrorMessage="1" sqref="J230">
      <formula1>'11월'!$AB$230:$AI$230</formula1>
    </dataValidation>
    <dataValidation type="list" allowBlank="1" showErrorMessage="1" sqref="J500">
      <formula1>'11월'!$AB$500:$AI$500</formula1>
    </dataValidation>
    <dataValidation type="list" allowBlank="1" showErrorMessage="1" sqref="J320">
      <formula1>'11월'!$AB$320:$AI$320</formula1>
    </dataValidation>
    <dataValidation type="list" allowBlank="1" showErrorMessage="1" sqref="J410">
      <formula1>'11월'!$AB$410:$AI$410</formula1>
    </dataValidation>
    <dataValidation type="list" allowBlank="1" showErrorMessage="1" sqref="J232">
      <formula1>'11월'!$AB$232:$AI$232</formula1>
    </dataValidation>
    <dataValidation type="list" allowBlank="1" showErrorMessage="1" sqref="J99">
      <formula1>'11월'!$AB$99:$AI$99</formula1>
    </dataValidation>
    <dataValidation type="list" allowBlank="1" showErrorMessage="1" sqref="J199">
      <formula1>'11월'!$AB$199:$AI$199</formula1>
    </dataValidation>
    <dataValidation type="list" allowBlank="1" showErrorMessage="1" sqref="J142">
      <formula1>'11월'!$AB$142:$AI$142</formula1>
    </dataValidation>
    <dataValidation type="list" allowBlank="1" showErrorMessage="1" sqref="J322">
      <formula1>'11월'!$AB$322:$AI$322</formula1>
    </dataValidation>
    <dataValidation type="list" allowBlank="1" showErrorMessage="1" sqref="J98">
      <formula1>'11월'!$AB$98:$AI$98</formula1>
    </dataValidation>
    <dataValidation type="list" allowBlank="1" showErrorMessage="1" sqref="J288">
      <formula1>'11월'!$AB$288:$AI$288</formula1>
    </dataValidation>
    <dataValidation type="list" allowBlank="1" showErrorMessage="1" sqref="J411">
      <formula1>'11월'!$AB$411:$AI$411</formula1>
    </dataValidation>
    <dataValidation type="list" allowBlank="1" showErrorMessage="1" sqref="J321">
      <formula1>'11월'!$AB$321:$AI$321</formula1>
    </dataValidation>
    <dataValidation type="list" allowBlank="1" showErrorMessage="1" sqref="J198">
      <formula1>'11월'!$AB$198:$AI$198</formula1>
    </dataValidation>
    <dataValidation type="list" allowBlank="1" showErrorMessage="1" sqref="J104">
      <formula1>'11월'!$AB$104:$AI$104</formula1>
    </dataValidation>
    <dataValidation type="list" allowBlank="1" showErrorMessage="1" sqref="J378">
      <formula1>'11월'!$AB$378:$AI$378</formula1>
    </dataValidation>
    <dataValidation type="list" allowBlank="1" showErrorMessage="1" sqref="J468">
      <formula1>'11월'!$AB$468:$AI$468</formula1>
    </dataValidation>
    <dataValidation type="list" allowBlank="1" showErrorMessage="1" sqref="J361">
      <formula1>'11월'!$AB$361:$AI$361</formula1>
    </dataValidation>
    <dataValidation type="list" allowBlank="1" showErrorMessage="1" sqref="J470">
      <formula1>'11월'!$AB$470:$AI$470</formula1>
    </dataValidation>
    <dataValidation type="list" allowBlank="1" showErrorMessage="1" sqref="J148">
      <formula1>'11월'!$AB$148:$AI$148</formula1>
    </dataValidation>
    <dataValidation type="list" allowBlank="1" showErrorMessage="1" sqref="J252">
      <formula1>'11월'!$AB$252:$AI$252</formula1>
    </dataValidation>
    <dataValidation type="list" allowBlank="1" showErrorMessage="1" sqref="J257">
      <formula1>'11월'!$AB$257:$AI$257</formula1>
    </dataValidation>
    <dataValidation type="list" allowBlank="1" showErrorMessage="1" sqref="J237">
      <formula1>'11월'!$AB$237:$AI$237</formula1>
    </dataValidation>
    <dataValidation type="list" allowBlank="1" showErrorMessage="1" sqref="J72">
      <formula1>'11월'!$AB$72:$AI$72</formula1>
    </dataValidation>
    <dataValidation type="list" allowBlank="1" showErrorMessage="1" sqref="J143">
      <formula1>'11월'!$AB$143:$AI$143</formula1>
    </dataValidation>
    <dataValidation type="list" allowBlank="1" showErrorMessage="1" sqref="J272">
      <formula1>'11월'!$AB$272:$AI$272</formula1>
    </dataValidation>
    <dataValidation type="list" allowBlank="1" showErrorMessage="1" sqref="J346">
      <formula1>'11월'!$AB$346:$AI$346</formula1>
    </dataValidation>
    <dataValidation type="list" allowBlank="1" showErrorMessage="1" sqref="J450">
      <formula1>'11월'!$AB$450:$AI$450</formula1>
    </dataValidation>
    <dataValidation type="list" allowBlank="1" showErrorMessage="1" sqref="J455">
      <formula1>'11월'!$AB$455:$AI$455</formula1>
    </dataValidation>
    <dataValidation type="list" allowBlank="1" showErrorMessage="1" sqref="J381">
      <formula1>'11월'!$AB$381:$AI$381</formula1>
    </dataValidation>
    <dataValidation type="list" allowBlank="1" showErrorMessage="1" sqref="J310">
      <formula1>'11월'!$AB$310:$AI$310</formula1>
    </dataValidation>
    <dataValidation type="list" allowBlank="1" showErrorMessage="1" sqref="J168">
      <formula1>'11월'!$AB$168:$AI$168</formula1>
    </dataValidation>
    <dataValidation type="list" allowBlank="1" showErrorMessage="1" sqref="J404">
      <formula1>'11월'!$AB$404:$AI$404</formula1>
    </dataValidation>
    <dataValidation type="list" allowBlank="1" showErrorMessage="1" sqref="J277">
      <formula1>'11월'!$AB$277:$AI$277</formula1>
    </dataValidation>
    <dataValidation type="list" allowBlank="1" showErrorMessage="1" sqref="J409">
      <formula1>'11월'!$AB$409:$AI$409</formula1>
    </dataValidation>
    <dataValidation type="list" allowBlank="1" showErrorMessage="1" sqref="J163">
      <formula1>'11월'!$AB$163:$AI$163</formula1>
    </dataValidation>
    <dataValidation type="list" allowBlank="1" showErrorMessage="1" sqref="J315">
      <formula1>'11월'!$AB$315:$AI$315</formula1>
    </dataValidation>
    <dataValidation type="list" allowBlank="1" showErrorMessage="1" sqref="J206">
      <formula1>'11월'!$AB$206:$AI$206</formula1>
    </dataValidation>
    <dataValidation type="list" allowBlank="1" showErrorMessage="1" sqref="J366">
      <formula1>'11월'!$AB$366:$AI$366</formula1>
    </dataValidation>
    <dataValidation type="list" allowBlank="1" showErrorMessage="1" sqref="J201">
      <formula1>'11월'!$AB$201:$AI$201</formula1>
    </dataValidation>
    <dataValidation type="list" allowBlank="1" showErrorMessage="1" sqref="J475">
      <formula1>'11월'!$AB$475:$AI$475</formula1>
    </dataValidation>
    <dataValidation type="list" allowBlank="1" showErrorMessage="1" sqref="J117">
      <formula1>'11월'!$AB$117:$AI$117</formula1>
    </dataValidation>
    <dataValidation type="list" allowBlank="1" showErrorMessage="1" sqref="J306">
      <formula1>'11월'!$AB$306:$AI$306</formula1>
    </dataValidation>
    <dataValidation type="list" allowBlank="1" showErrorMessage="1" sqref="J392">
      <formula1>'11월'!$AB$392:$AI$392</formula1>
    </dataValidation>
    <dataValidation type="list" allowBlank="1" showErrorMessage="1" sqref="J174">
      <formula1>'11월'!$AB$174:$AI$174</formula1>
    </dataValidation>
    <dataValidation type="list" allowBlank="1" showErrorMessage="1" sqref="J424">
      <formula1>'11월'!$AB$424:$AI$424</formula1>
    </dataValidation>
    <dataValidation type="list" allowBlank="1" showErrorMessage="1" sqref="J335">
      <formula1>'11월'!$AB$335:$AI$335</formula1>
    </dataValidation>
    <dataValidation type="list" allowBlank="1" showErrorMessage="1" sqref="J108">
      <formula1>'11월'!$AB$108:$AI$108</formula1>
    </dataValidation>
    <dataValidation type="list" allowBlank="1" showErrorMessage="1" sqref="J194">
      <formula1>'11월'!$AB$194:$AI$194</formula1>
    </dataValidation>
    <dataValidation type="list" allowBlank="1" showErrorMessage="1" sqref="J372">
      <formula1>'11월'!$AB$372:$AI$372</formula1>
    </dataValidation>
    <dataValidation type="list" allowBlank="1" showErrorMessage="1" sqref="J415">
      <formula1>'11월'!$AB$415:$AI$415</formula1>
    </dataValidation>
    <dataValidation type="list" allowBlank="1" showErrorMessage="1" sqref="J226">
      <formula1>'11월'!$AB$226:$AI$226</formula1>
    </dataValidation>
    <dataValidation type="list" allowBlank="1" showErrorMessage="1" sqref="J84">
      <formula1>'11월'!$AB$84:$AI$84</formula1>
    </dataValidation>
    <dataValidation type="list" allowBlank="1" showErrorMessage="1" sqref="J263">
      <formula1>'11월'!$AB$263:$AI$263</formula1>
    </dataValidation>
    <dataValidation type="list" allowBlank="1" showErrorMessage="1" sqref="J490">
      <formula1>'11월'!$AB$490:$AI$490</formula1>
    </dataValidation>
    <dataValidation type="list" allowBlank="1" showErrorMessage="1" sqref="J246">
      <formula1>'11월'!$AB$246:$AI$246</formula1>
    </dataValidation>
    <dataValidation type="list" allowBlank="1" showErrorMessage="1" sqref="J326">
      <formula1>'11월'!$AB$326:$AI$326</formula1>
    </dataValidation>
    <dataValidation type="list" allowBlank="1" showErrorMessage="1" sqref="J183">
      <formula1>'11월'!$AB$183:$AI$183</formula1>
    </dataValidation>
    <dataValidation type="list" allowBlank="1" showErrorMessage="1" sqref="J217">
      <formula1>'11월'!$AB$217:$AI$217</formula1>
    </dataValidation>
    <dataValidation type="list" allowBlank="1" showErrorMessage="1" sqref="J355">
      <formula1>'11월'!$AB$355:$AI$355</formula1>
    </dataValidation>
    <dataValidation type="list" allowBlank="1" showErrorMessage="1" sqref="J481">
      <formula1>'11월'!$AB$481:$AI$481</formula1>
    </dataValidation>
    <dataValidation type="list" allowBlank="1" showErrorMessage="1" sqref="J128">
      <formula1>'11월'!$AB$128:$AI$128</formula1>
    </dataValidation>
    <dataValidation type="list" allowBlank="1" showErrorMessage="1" sqref="J86">
      <formula1>'11월'!$AB$86:$AI$86</formula1>
    </dataValidation>
    <dataValidation type="list" allowBlank="1" showErrorMessage="1" sqref="J292">
      <formula1>'11월'!$AB$292:$AI$292</formula1>
    </dataValidation>
    <dataValidation type="list" allowBlank="1" showErrorMessage="1" sqref="J444">
      <formula1>'11월'!$AB$444:$AI$444</formula1>
    </dataValidation>
    <dataValidation type="list" allowBlank="1" showErrorMessage="1" sqref="J137">
      <formula1>'11월'!$AB$137:$AI$137</formula1>
    </dataValidation>
    <dataValidation type="list" allowBlank="1" showErrorMessage="1" sqref="J283">
      <formula1>'11월'!$AB$283:$AI$283</formula1>
    </dataValidation>
    <dataValidation type="list" allowBlank="1" showErrorMessage="1" sqref="J435">
      <formula1>'11월'!$AB$435:$AI$435</formula1>
    </dataValidation>
    <dataValidation type="list" allowBlank="1" showErrorMessage="1" sqref="J172">
      <formula1>'11월'!$AB$172:$AI$172</formula1>
    </dataValidation>
    <dataValidation type="list" allowBlank="1" showErrorMessage="1" sqref="J299">
      <formula1>'11월'!$AB$299:$AI$299</formula1>
    </dataValidation>
    <dataValidation type="list" allowBlank="1" showErrorMessage="1" sqref="J82">
      <formula1>'11월'!$AB$82:$AI$82</formula1>
    </dataValidation>
    <dataValidation type="list" allowBlank="1" showErrorMessage="1" sqref="J390">
      <formula1>'11월'!$AB$390:$AI$390</formula1>
    </dataValidation>
    <dataValidation type="list" allowBlank="1" showErrorMessage="1" sqref="J441">
      <formula1>'11월'!$AB$441:$AI$441</formula1>
    </dataValidation>
    <dataValidation type="list" allowBlank="1" showErrorMessage="1" sqref="J67">
      <formula1>'11월'!$AB$67:$AI$67</formula1>
    </dataValidation>
    <dataValidation type="list" allowBlank="1" showErrorMessage="1" sqref="J134">
      <formula1>'11월'!$AB$134:$AI$134</formula1>
    </dataValidation>
    <dataValidation type="list" allowBlank="1" showErrorMessage="1" sqref="J281">
      <formula1>'11월'!$AB$281:$AI$281</formula1>
    </dataValidation>
    <dataValidation type="list" allowBlank="1" showErrorMessage="1" sqref="J223">
      <formula1>'11월'!$AB$223:$AI$223</formula1>
    </dataValidation>
    <dataValidation type="list" allowBlank="1" showErrorMessage="1" sqref="J497">
      <formula1>'11월'!$AB$497:$AI$497</formula1>
    </dataValidation>
    <dataValidation type="list" allowBlank="1" showErrorMessage="1" sqref="J192">
      <formula1>'11월'!$AB$192:$AI$192</formula1>
    </dataValidation>
    <dataValidation type="list" allowBlank="1" showErrorMessage="1" sqref="J332">
      <formula1>'11월'!$AB$332:$AI$332</formula1>
    </dataValidation>
    <dataValidation type="list" allowBlank="1" showErrorMessage="1" sqref="J152">
      <formula1>'11월'!$AB$152:$AI$152</formula1>
    </dataValidation>
    <dataValidation type="list" allowBlank="1" showErrorMessage="1" sqref="J185">
      <formula1>'11월'!$AB$185:$AI$185</formula1>
    </dataValidation>
    <dataValidation type="list" allowBlank="1" showErrorMessage="1" sqref="J309">
      <formula1>'11월'!$AB$309:$AI$309</formula1>
    </dataValidation>
    <dataValidation type="list" allowBlank="1" showErrorMessage="1" sqref="J418">
      <formula1>'11월'!$AB$418:$AI$418</formula1>
    </dataValidation>
    <dataValidation type="list" allowBlank="1" showErrorMessage="1" sqref="J154">
      <formula1>'11월'!$AB$154:$AI$154</formula1>
    </dataValidation>
    <dataValidation type="list" allowBlank="1" showErrorMessage="1" sqref="J294">
      <formula1>'11월'!$AB$294:$AI$294</formula1>
    </dataValidation>
    <dataValidation type="list" allowBlank="1" showErrorMessage="1" sqref="J261">
      <formula1>'11월'!$AB$261:$AI$261</formula1>
    </dataValidation>
    <dataValidation type="list" allowBlank="1" showErrorMessage="1" sqref="J461">
      <formula1>'11월'!$AB$461:$AI$461</formula1>
    </dataValidation>
    <dataValidation type="list" allowBlank="1" showErrorMessage="1" sqref="J352">
      <formula1>'11월'!$AB$352:$AI$352</formula1>
    </dataValidation>
    <dataValidation type="list" allowBlank="1" showErrorMessage="1" sqref="J370">
      <formula1>'11월'!$AB$370:$AI$370</formula1>
    </dataValidation>
    <dataValidation type="list" allowBlank="1" showErrorMessage="1" sqref="J70">
      <formula1>'11월'!$AB$70:$AI$70</formula1>
    </dataValidation>
    <dataValidation type="list" allowBlank="1" showErrorMessage="1" sqref="J243">
      <formula1>'11월'!$AB$243:$AI$243</formula1>
    </dataValidation>
    <dataValidation type="list" allowBlank="1" showErrorMessage="1" sqref="J329">
      <formula1>'11월'!$AB$329:$AI$329</formula1>
    </dataValidation>
    <dataValidation type="list" allowBlank="1" showErrorMessage="1" sqref="J297">
      <formula1>'11월'!$AB$297:$AI$297</formula1>
    </dataValidation>
    <dataValidation type="list" allowBlank="1" showErrorMessage="1" sqref="J401">
      <formula1>'11월'!$AB$401:$AI$401</formula1>
    </dataValidation>
    <dataValidation type="list" allowBlank="1" showErrorMessage="1" sqref="J457">
      <formula1>'11월'!$AB$457:$AI$457</formula1>
    </dataValidation>
    <dataValidation type="list" allowBlank="1" showErrorMessage="1" sqref="J438">
      <formula1>'11월'!$AB$438:$AI$438</formula1>
    </dataValidation>
    <dataValidation type="list" allowBlank="1" showErrorMessage="1" sqref="J76">
      <formula1>'11월'!$AB$76:$AI$76</formula1>
    </dataValidation>
    <dataValidation type="list" allowBlank="1" showErrorMessage="1" sqref="J368">
      <formula1>'11월'!$AB$368:$AI$368</formula1>
    </dataValidation>
    <dataValidation type="list" allowBlank="1" showErrorMessage="1" sqref="J188">
      <formula1>'11월'!$AB$188:$AI$188</formula1>
    </dataValidation>
    <dataValidation type="list" allowBlank="1" showErrorMessage="1" sqref="J330">
      <formula1>'11월'!$AB$330:$AI$330</formula1>
    </dataValidation>
    <dataValidation type="list" allowBlank="1" showErrorMessage="1" sqref="J495">
      <formula1>'11월'!$AB$495:$AI$495</formula1>
    </dataValidation>
    <dataValidation type="list" allowBlank="1" showErrorMessage="1" sqref="J112">
      <formula1>'11월'!$AB$112:$AI$112</formula1>
    </dataValidation>
    <dataValidation type="list" allowBlank="1" showErrorMessage="1" sqref="J349">
      <formula1>'11월'!$AB$349:$AI$349</formula1>
    </dataValidation>
    <dataValidation type="list" allowBlank="1" showErrorMessage="1" sqref="J221">
      <formula1>'11월'!$AB$221:$AI$221</formula1>
    </dataValidation>
    <dataValidation type="list" allowBlank="1" showErrorMessage="1" sqref="J259">
      <formula1>'11월'!$AB$259:$AI$259</formula1>
    </dataValidation>
    <dataValidation type="list" allowBlank="1" showErrorMessage="1" sqref="J386">
      <formula1>'11월'!$AB$386:$AI$386</formula1>
    </dataValidation>
    <dataValidation type="list" allowBlank="1" showErrorMessage="1" sqref="J69">
      <formula1>'11월'!$AB$69:$AI$69</formula1>
    </dataValidation>
    <dataValidation type="list" allowBlank="1" showErrorMessage="1" sqref="J421">
      <formula1>'11월'!$AB$421:$AI$421</formula1>
    </dataValidation>
    <dataValidation type="list" allowBlank="1" showErrorMessage="1" sqref="J80">
      <formula1>'11월'!$AB$80:$AI$80</formula1>
    </dataValidation>
    <dataValidation type="list" allowBlank="1" showErrorMessage="1" sqref="J279">
      <formula1>'11월'!$AB$279:$AI$279</formula1>
    </dataValidation>
    <dataValidation type="list" allowBlank="1" showErrorMessage="1" sqref="J350">
      <formula1>'11월'!$AB$350:$AI$350</formula1>
    </dataValidation>
    <dataValidation type="list" allowBlank="1" showErrorMessage="1" sqref="J458">
      <formula1>'11월'!$AB$458:$AI$458</formula1>
    </dataValidation>
    <dataValidation type="list" allowBlank="1" showErrorMessage="1" sqref="J114">
      <formula1>'11월'!$AB$114:$AI$114</formula1>
    </dataValidation>
    <dataValidation type="list" allowBlank="1" showErrorMessage="1" sqref="J388">
      <formula1>'11월'!$AB$388:$AI$388</formula1>
    </dataValidation>
    <dataValidation type="list" allowBlank="1" showErrorMessage="1" sqref="J478">
      <formula1>'11월'!$AB$478:$AI$478</formula1>
    </dataValidation>
    <dataValidation type="list" allowBlank="1" showErrorMessage="1" sqref="J241">
      <formula1>'11월'!$AB$241:$AI$241</formula1>
    </dataValidation>
    <dataValidation type="list" allowBlank="1" showErrorMessage="1" sqref="J74">
      <formula1>'11월'!$AB$74:$AI$74</formula1>
    </dataValidation>
    <dataValidation type="list" allowBlank="1" showErrorMessage="1" sqref="J203">
      <formula1>'11월'!$AB$203:$AI$203</formula1>
    </dataValidation>
    <dataValidation type="list" allowBlank="1" showErrorMessage="1" sqref="J369">
      <formula1>'11월'!$AB$369:$AI$369</formula1>
    </dataValidation>
    <dataValidation type="list" allowBlank="1" showErrorMessage="1" sqref="J477">
      <formula1>'11월'!$AB$477:$AI$477</formula1>
    </dataValidation>
    <dataValidation type="list" allowBlank="1" showErrorMessage="1" sqref="J402">
      <formula1>'11월'!$AB$402:$AI$402</formula1>
    </dataValidation>
    <dataValidation type="list" allowBlank="1" showErrorMessage="1" sqref="J132">
      <formula1>'11월'!$AB$132:$AI$132</formula1>
    </dataValidation>
    <dataValidation type="list" allowBlank="1" showErrorMessage="1" sqref="J312">
      <formula1>'11월'!$AB$312:$AI$312</formula1>
    </dataValidation>
    <dataValidation type="list" allowBlank="1" showErrorMessage="1" sqref="J214">
      <formula1>'11월'!$AB$214:$AI$214</formula1>
    </dataValidation>
    <dataValidation type="list" allowBlank="1" showErrorMessage="1" sqref="J120">
      <formula1>'11월'!$AB$120:$AI$120</formula1>
    </dataValidation>
    <dataValidation type="list" allowBlank="1" showErrorMessage="1" sqref="J394">
      <formula1>'11월'!$AB$394:$AI$394</formula1>
    </dataValidation>
    <dataValidation type="list" allowBlank="1" showErrorMessage="1" sqref="J308">
      <formula1>'11월'!$AB$308:$AI$308</formula1>
    </dataValidation>
    <dataValidation type="list" allowBlank="1" showErrorMessage="1" sqref="J498">
      <formula1>'11월'!$AB$498:$AI$498</formula1>
    </dataValidation>
    <dataValidation type="list" allowBlank="1" showErrorMessage="1" sqref="J432">
      <formula1>'11월'!$AB$432:$AI$432</formula1>
    </dataValidation>
    <dataValidation type="list" allowBlank="1" showErrorMessage="1" sqref="J110">
      <formula1>'11월'!$AB$110:$AI$110</formula1>
    </dataValidation>
    <dataValidation type="list" allowBlank="1" showErrorMessage="1" sqref="J384">
      <formula1>'11월'!$AB$384:$AI$384</formula1>
    </dataValidation>
    <dataValidation type="list" allowBlank="1" showErrorMessage="1" sqref="J176">
      <formula1>'11월'!$AB$176:$AI$176</formula1>
    </dataValidation>
    <dataValidation type="list" allowBlank="1" showErrorMessage="1" sqref="J318">
      <formula1>'11월'!$AB$318:$AI$318</formula1>
    </dataValidation>
    <dataValidation type="list" allowBlank="1" showErrorMessage="1" sqref="J313">
      <formula1>'11월'!$AB$313:$AI$313</formula1>
    </dataValidation>
    <dataValidation type="list" allowBlank="1" showErrorMessage="1" sqref="J483">
      <formula1>'11월'!$AB$483:$AI$483</formula1>
    </dataValidation>
    <dataValidation type="list" allowBlank="1" showErrorMessage="1" sqref="J488">
      <formula1>'11월'!$AB$488:$AI$488</formula1>
    </dataValidation>
    <dataValidation type="list" allowBlank="1" showErrorMessage="1" sqref="J219">
      <formula1>'11월'!$AB$219:$AI$219</formula1>
    </dataValidation>
    <dataValidation type="list" allowBlank="1" showErrorMessage="1" sqref="J229">
      <formula1>'11월'!$AB$229:$AI$229</formula1>
    </dataValidation>
    <dataValidation type="list" allowBlank="1" showErrorMessage="1" sqref="J343">
      <formula1>'11월'!$AB$343:$AI$343</formula1>
    </dataValidation>
    <dataValidation type="list" allowBlank="1" showErrorMessage="1" sqref="J135">
      <formula1>'11월'!$AB$135:$AI$135</formula1>
    </dataValidation>
    <dataValidation type="list" allowBlank="1" showErrorMessage="1" sqref="J171">
      <formula1>'11월'!$AB$171:$AI$171</formula1>
    </dataValidation>
    <dataValidation type="list" allowBlank="1" showErrorMessage="1" sqref="J437">
      <formula1>'11월'!$AB$437:$AI$437</formula1>
    </dataValidation>
    <dataValidation type="list" allowBlank="1" showErrorMessage="1" sqref="L62:L500">
      <formula1>'설정시트'!$D$23:$N$23</formula1>
    </dataValidation>
    <dataValidation type="list" allowBlank="1" showErrorMessage="1" sqref="J399">
      <formula1>'11월'!$AB$399:$AI$399</formula1>
    </dataValidation>
    <dataValidation type="list" allowBlank="1" showErrorMessage="1" sqref="J348">
      <formula1>'11월'!$AB$348:$AI$348</formula1>
    </dataValidation>
    <dataValidation type="list" allowBlank="1" showErrorMessage="1" sqref="J224">
      <formula1>'11월'!$AB$224:$AI$224</formula1>
    </dataValidation>
    <dataValidation type="list" allowBlank="1" showErrorMessage="1" sqref="J125">
      <formula1>'11월'!$AB$125:$AI$125</formula1>
    </dataValidation>
    <dataValidation type="list" allowBlank="1" showErrorMessage="1" sqref="J290">
      <formula1>'11월'!$AB$290:$AI$290</formula1>
    </dataValidation>
    <dataValidation type="list" allowBlank="1" showErrorMessage="1" sqref="J442">
      <formula1>'11월'!$AB$442:$AI$442</formula1>
    </dataValidation>
    <dataValidation type="list" allowBlank="1" showErrorMessage="1" sqref="J295">
      <formula1>'11월'!$AB$295:$AI$295</formula1>
    </dataValidation>
    <dataValidation type="list" allowBlank="1" showErrorMessage="1" sqref="J447">
      <formula1>'11월'!$AB$447:$AI$447</formula1>
    </dataValidation>
    <dataValidation type="list" allowBlank="1" showErrorMessage="1" sqref="J136">
      <formula1>'11월'!$AB$136:$AI$136</formula1>
    </dataValidation>
    <dataValidation type="list" allowBlank="1" showErrorMessage="1" sqref="J344">
      <formula1>'11월'!$AB$344:$AI$344</formula1>
    </dataValidation>
    <dataValidation type="list" allowBlank="1" showErrorMessage="1" sqref="J472">
      <formula1>'11월'!$AB$472:$AI$472</formula1>
    </dataValidation>
    <dataValidation type="list" allowBlank="1" showErrorMessage="1" sqref="J264">
      <formula1>'11월'!$AB$264:$AI$264</formula1>
    </dataValidation>
    <dataValidation type="list" allowBlank="1" showErrorMessage="1" sqref="J126">
      <formula1>'11월'!$AB$126:$AI$126</formula1>
    </dataValidation>
    <dataValidation type="list" allowBlank="1" showErrorMessage="1" sqref="J254">
      <formula1>'11월'!$AB$254:$AI$254</formula1>
    </dataValidation>
    <dataValidation type="list" allowBlank="1" showErrorMessage="1" sqref="J406">
      <formula1>'11월'!$AB$406:$AI$406</formula1>
    </dataValidation>
    <dataValidation type="list" allowBlank="1" showErrorMessage="1" sqref="J353">
      <formula1>'11월'!$AB$353:$AI$353</formula1>
    </dataValidation>
    <dataValidation type="list" allowBlank="1" showErrorMessage="1" sqref="J443">
      <formula1>'11월'!$AB$443:$AI$443</formula1>
    </dataValidation>
    <dataValidation type="list" allowBlank="1" showErrorMessage="1" sqref="J307">
      <formula1>'11월'!$AB$307:$AI$307</formula1>
    </dataValidation>
    <dataValidation type="list" allowBlank="1" showErrorMessage="1" sqref="J166">
      <formula1>'11월'!$AB$166:$AI$166</formula1>
    </dataValidation>
    <dataValidation type="list" allowBlank="1" showErrorMessage="1" sqref="J473">
      <formula1>'11월'!$AB$473:$AI$473</formula1>
    </dataValidation>
    <dataValidation type="list" allowBlank="1" showErrorMessage="1" sqref="J383">
      <formula1>'11월'!$AB$383:$AI$383</formula1>
    </dataValidation>
    <dataValidation type="list" allowBlank="1" showErrorMessage="1" sqref="J175">
      <formula1>'11월'!$AB$175:$AI$175</formula1>
    </dataValidation>
    <dataValidation type="list" allowBlank="1" showErrorMessage="1" sqref="J265">
      <formula1>'11월'!$AB$265:$AI$265</formula1>
    </dataValidation>
    <dataValidation type="list" allowBlank="1" showErrorMessage="1" sqref="J482">
      <formula1>'11월'!$AB$482:$AI$482</formula1>
    </dataValidation>
    <dataValidation type="list" allowBlank="1" showErrorMessage="1" sqref="J218">
      <formula1>'11월'!$AB$218:$AI$218</formula1>
    </dataValidation>
    <dataValidation type="list" allowBlank="1" showErrorMessage="1" sqref="J354">
      <formula1>'11월'!$AB$354:$AI$354</formula1>
    </dataValidation>
    <dataValidation type="list" allowBlank="1" showErrorMessage="1" sqref="J165">
      <formula1>'11월'!$AB$165:$AI$165</formula1>
    </dataValidation>
    <dataValidation type="list" allowBlank="1" showErrorMessage="1" sqref="J255">
      <formula1>'11월'!$AB$255:$AI$255</formula1>
    </dataValidation>
    <dataValidation type="list" allowBlank="1" showErrorMessage="1" sqref="J317">
      <formula1>'11월'!$AB$317:$AI$317</formula1>
    </dataValidation>
    <dataValidation type="list" allowBlank="1" showErrorMessage="1" sqref="J407">
      <formula1>'11월'!$AB$407:$AI$407</formula1>
    </dataValidation>
    <dataValidation type="list" allowBlank="1" showErrorMessage="1" sqref="J342">
      <formula1>'11월'!$AB$342:$AI$342</formula1>
    </dataValidation>
    <dataValidation type="list" allowBlank="1" showErrorMessage="1" sqref="J266">
      <formula1>'11월'!$AB$266:$AI$266</formula1>
    </dataValidation>
    <dataValidation type="list" allowBlank="1" showErrorMessage="1" sqref="J380">
      <formula1>'11월'!$AB$380:$AI$380</formula1>
    </dataValidation>
    <dataValidation type="list" allowBlank="1" showErrorMessage="1" sqref="J228">
      <formula1>'11월'!$AB$228:$AI$228</formula1>
    </dataValidation>
    <dataValidation type="list" allowBlank="1" showErrorMessage="1" sqref="J88">
      <formula1>'11월'!$AB$88:$AI$88</formula1>
    </dataValidation>
    <dataValidation type="list" allowBlank="1" showErrorMessage="1" sqref="J291">
      <formula1>'11월'!$AB$291:$AI$291</formula1>
    </dataValidation>
    <dataValidation type="list" allowBlank="1" showErrorMessage="1" sqref="J431">
      <formula1>'11월'!$AB$431:$AI$431</formula1>
    </dataValidation>
    <dataValidation type="list" allowBlank="1" showErrorMessage="1" sqref="J446">
      <formula1>'11월'!$AB$446:$AI$446</formula1>
    </dataValidation>
    <dataValidation type="list" allowBlank="1" showErrorMessage="1" sqref="J408">
      <formula1>'11월'!$AB$408:$AI$408</formula1>
    </dataValidation>
    <dataValidation type="list" allowBlank="1" showErrorMessage="1" sqref="J304">
      <formula1>'11월'!$AB$304:$AI$304</formula1>
    </dataValidation>
    <dataValidation type="list" allowBlank="1" showErrorMessage="1" sqref="J124">
      <formula1>'11월'!$AB$124:$AI$124</formula1>
    </dataValidation>
    <dataValidation type="list" allowBlank="1" showErrorMessage="1" sqref="J398">
      <formula1>'11월'!$AB$398:$AI$398</formula1>
    </dataValidation>
    <dataValidation type="list" allowBlank="1" showErrorMessage="1" sqref="J393">
      <formula1>'11월'!$AB$393:$AI$393</formula1>
    </dataValidation>
    <dataValidation type="list" allowBlank="1" showErrorMessage="1" sqref="J121">
      <formula1>'11월'!$AB$121:$AI$121</formula1>
    </dataValidation>
    <dataValidation type="list" allowBlank="1" showErrorMessage="1" sqref="J215">
      <formula1>'11월'!$AB$215:$AI$215</formula1>
    </dataValidation>
    <dataValidation type="list" allowBlank="1" showErrorMessage="1" sqref="J357">
      <formula1>'11월'!$AB$357:$AI$357</formula1>
    </dataValidation>
    <dataValidation type="list" allowBlank="1" showErrorMessage="1" sqref="J395">
      <formula1>'11월'!$AB$395:$AI$395</formula1>
    </dataValidation>
    <dataValidation type="list" allowBlank="1" showErrorMessage="1" sqref="J319">
      <formula1>'11월'!$AB$319:$AI$319</formula1>
    </dataValidation>
    <dataValidation type="list" allowBlank="1" showErrorMessage="1" sqref="J139">
      <formula1>'11월'!$AB$139:$AI$139</formula1>
    </dataValidation>
    <dataValidation type="list" allowBlank="1" showErrorMessage="1" sqref="J253">
      <formula1>'11월'!$AB$253:$AI$253</formula1>
    </dataValidation>
    <dataValidation type="list" allowBlank="1" showErrorMessage="1" sqref="J433">
      <formula1>'11월'!$AB$433:$AI$433</formula1>
    </dataValidation>
    <dataValidation type="list" allowBlank="1" showErrorMessage="1" sqref="J162">
      <formula1>'11월'!$AB$162:$AI$162</formula1>
    </dataValidation>
    <dataValidation type="list" allowBlank="1" showErrorMessage="1" sqref="J177">
      <formula1>'11월'!$AB$177:$AI$177</formula1>
    </dataValidation>
    <dataValidation type="list" allowBlank="1" showErrorMessage="1" sqref="J210">
      <formula1>'11월'!$AB$210:$AI$210</formula1>
    </dataValidation>
    <dataValidation type="list" allowBlank="1" showErrorMessage="1" sqref="J484">
      <formula1>'11월'!$AB$484:$AI$484</formula1>
    </dataValidation>
    <dataValidation type="list" allowBlank="1" showErrorMessage="1" sqref="J489">
      <formula1>'11월'!$AB$489:$AI$489</formula1>
    </dataValidation>
    <dataValidation type="list" allowBlank="1" showErrorMessage="1" sqref="J89">
      <formula1>'11월'!$AB$89:$AI$89</formula1>
    </dataValidation>
    <dataValidation type="list" allowBlank="1" showErrorMessage="1" sqref="J250">
      <formula1>'11월'!$AB$250:$AI$250</formula1>
    </dataValidation>
    <dataValidation type="list" allowBlank="1" showErrorMessage="1" sqref="J358">
      <formula1>'11월'!$AB$358:$AI$358</formula1>
    </dataValidation>
    <dataValidation type="list" allowBlank="1" showErrorMessage="1" sqref="J396">
      <formula1>'11월'!$AB$396:$AI$396</formula1>
    </dataValidation>
    <dataValidation type="list" allowBlank="1" showErrorMessage="1" sqref="J122">
      <formula1>'11월'!$AB$122:$AI$122</formula1>
    </dataValidation>
    <dataValidation type="list" allowBlank="1" showErrorMessage="1" sqref="J212">
      <formula1>'11월'!$AB$212:$AI$212</formula1>
    </dataValidation>
    <dataValidation type="list" allowBlank="1" showErrorMessage="1" sqref="J302">
      <formula1>'11월'!$AB$302:$AI$302</formula1>
    </dataValidation>
    <dataValidation type="list" allowBlank="1" showErrorMessage="1" sqref="J486">
      <formula1>'11월'!$AB$486:$AI$486</formula1>
    </dataValidation>
    <dataValidation type="list" allowBlank="1" showErrorMessage="1" sqref="J301">
      <formula1>'11월'!$AB$301:$AI$301</formula1>
    </dataValidation>
    <dataValidation type="list" allowBlank="1" showErrorMessage="1" sqref="J178">
      <formula1>'11월'!$AB$178:$AI$178</formula1>
    </dataValidation>
    <dataValidation type="list" allowBlank="1" showErrorMessage="1" sqref="J161">
      <formula1>'11월'!$AB$161:$AI$161</formula1>
    </dataValidation>
    <dataValidation type="list" allowBlank="1" showErrorMessage="1" sqref="J448">
      <formula1>'11월'!$AB$448:$AI$448</formula1>
    </dataValidation>
    <dataValidation type="list" allowBlank="1" showErrorMessage="1" sqref="J268">
      <formula1>'11월'!$AB$268:$AI$268</formula1>
    </dataValidation>
    <dataValidation type="list" allowBlank="1" showErrorMessage="1" sqref="J251">
      <formula1>'11월'!$AB$251:$AI$251</formula1>
    </dataValidation>
    <dataValidation type="list" allowBlank="1" showErrorMessage="1" sqref="J341">
      <formula1>'11월'!$AB$341:$AI$341</formula1>
    </dataValidation>
    <dataValidation type="list" allowBlank="1" showErrorMessage="1" sqref="J359">
      <formula1>'11월'!$AB$359:$AI$359</formula1>
    </dataValidation>
    <dataValidation type="list" allowBlank="1" showErrorMessage="1" sqref="J449">
      <formula1>'11월'!$AB$449:$AI$449</formula1>
    </dataValidation>
    <dataValidation type="list" allowBlank="1" showErrorMessage="1" sqref="J123">
      <formula1>'11월'!$AB$123:$AI$123</formula1>
    </dataValidation>
    <dataValidation type="list" allowBlank="1" showErrorMessage="1" sqref="J213">
      <formula1>'11월'!$AB$213:$AI$213</formula1>
    </dataValidation>
    <dataValidation type="list" allowBlank="1" showErrorMessage="1" sqref="J487">
      <formula1>'11월'!$AB$487:$AI$487</formula1>
    </dataValidation>
    <dataValidation type="list" allowBlank="1" showErrorMessage="1" sqref="J430">
      <formula1>'11월'!$AB$430:$AI$430</formula1>
    </dataValidation>
    <dataValidation type="list" allowBlank="1" showErrorMessage="1" sqref="J269">
      <formula1>'11월'!$AB$269:$AI$269</formula1>
    </dataValidation>
    <dataValidation type="list" allowBlank="1" showErrorMessage="1" sqref="J179">
      <formula1>'11월'!$AB$179:$AI$179</formula1>
    </dataValidation>
    <dataValidation type="list" allowBlank="1" showErrorMessage="1" sqref="J303">
      <formula1>'11월'!$AB$303:$AI$303</formula1>
    </dataValidation>
    <dataValidation type="list" allowBlank="1" showErrorMessage="1" sqref="J397">
      <formula1>'11월'!$AB$397:$AI$397</formula1>
    </dataValidation>
    <dataValidation type="list" allowBlank="1" showErrorMessage="1" sqref="J340">
      <formula1>'11월'!$AB$340:$AI$340</formula1>
    </dataValidation>
    <dataValidation type="list" allowBlank="1" showErrorMessage="1" sqref="I62:I500">
      <formula1>'설정시트'!$C$7:$C$20</formula1>
    </dataValidation>
    <dataValidation type="list" allowBlank="1" showErrorMessage="1" sqref="J160">
      <formula1>'11월'!$AB$160:$AI$160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  <col customWidth="1" min="3" max="4" width="11.38"/>
    <col customWidth="1" min="5" max="5" width="18.0"/>
    <col customWidth="1" min="6" max="6" width="11.38"/>
    <col customWidth="1" min="7" max="7" width="5.13"/>
    <col customWidth="1" min="8" max="11" width="11.38"/>
    <col customWidth="1" min="12" max="12" width="5.13"/>
    <col customWidth="1" min="13" max="16" width="11.38"/>
    <col customWidth="1" min="17" max="17" width="5.13"/>
    <col customWidth="1" min="18" max="25" width="5.75"/>
    <col hidden="1" min="28" max="35" width="12.63"/>
  </cols>
  <sheetData>
    <row r="3">
      <c r="C3" s="103">
        <v>2025.0</v>
      </c>
      <c r="D3" s="104">
        <v>12.0</v>
      </c>
    </row>
    <row r="8">
      <c r="E8" s="105" t="s">
        <v>53</v>
      </c>
      <c r="F8" s="106" t="s">
        <v>128</v>
      </c>
      <c r="R8" s="107" t="s">
        <v>129</v>
      </c>
      <c r="S8" s="108" t="s">
        <v>130</v>
      </c>
      <c r="T8" s="108" t="s">
        <v>131</v>
      </c>
      <c r="U8" s="108" t="s">
        <v>132</v>
      </c>
      <c r="V8" s="108" t="s">
        <v>131</v>
      </c>
      <c r="W8" s="108" t="s">
        <v>133</v>
      </c>
      <c r="X8" s="109" t="s">
        <v>129</v>
      </c>
      <c r="Y8" s="110" t="s">
        <v>134</v>
      </c>
      <c r="AB8" s="111" t="s">
        <v>1</v>
      </c>
      <c r="AC8" s="112" t="s">
        <v>69</v>
      </c>
      <c r="AD8" s="113"/>
      <c r="AE8" s="113"/>
      <c r="AF8" s="113"/>
      <c r="AG8" s="113"/>
    </row>
    <row r="9">
      <c r="E9" s="114" t="s">
        <v>54</v>
      </c>
      <c r="F9" s="115">
        <f t="shared" ref="F9:F19" si="2">SUMIFS($K$62:$K$500,$L$62:$L$500,E9,$I$62:$I$500,"&lt;&gt;수입",$I$62:$I$500,"&lt;&gt;저축")</f>
        <v>0</v>
      </c>
      <c r="R9" s="116">
        <f>DATE($C$3,$D$3,1)-WEEKDAY(DATE($C$3,$D$3,1))+1</f>
        <v>45991</v>
      </c>
      <c r="S9" s="117">
        <f t="shared" ref="S9:X9" si="1">R9 + 1</f>
        <v>45992</v>
      </c>
      <c r="T9" s="118">
        <f t="shared" si="1"/>
        <v>45993</v>
      </c>
      <c r="U9" s="118">
        <f t="shared" si="1"/>
        <v>45994</v>
      </c>
      <c r="V9" s="118">
        <f t="shared" si="1"/>
        <v>45995</v>
      </c>
      <c r="W9" s="118">
        <f t="shared" si="1"/>
        <v>45996</v>
      </c>
      <c r="X9" s="119">
        <f t="shared" si="1"/>
        <v>45997</v>
      </c>
      <c r="Y9" s="120"/>
      <c r="AB9" s="121" t="str">
        <f>$H$25</f>
        <v>🍪고정비</v>
      </c>
      <c r="AC9" s="122">
        <f>$K$31</f>
        <v>0</v>
      </c>
      <c r="AD9" s="123">
        <f t="shared" ref="AD9:AD20" si="4">_xlfn.RANK.EQ(AC9,$AB$9:$AC$20,0) + ROW(AB1)/10000</f>
        <v>1.0001</v>
      </c>
      <c r="AE9" s="123">
        <f t="shared" ref="AE9:AE20" si="5">SMALL($AD$9:$AD$20, ROW(AB1))</f>
        <v>1.0001</v>
      </c>
      <c r="AF9" s="123" t="str">
        <f t="shared" ref="AF9:AF20" si="6">INDEX($AB$9:$AB$20,MATCH(AE9,$AD$9:$AD$20,0))</f>
        <v>🍪고정비</v>
      </c>
      <c r="AG9" s="122">
        <f t="shared" ref="AG9:AG20" si="7">INDEX($AC$9:$AC$20,MATCH(AE9,$AD$9:$AD$20,0))</f>
        <v>0</v>
      </c>
    </row>
    <row r="10">
      <c r="E10" s="114" t="s">
        <v>55</v>
      </c>
      <c r="F10" s="115">
        <f t="shared" si="2"/>
        <v>0</v>
      </c>
      <c r="R10" s="124">
        <f t="shared" ref="R10:X10" si="3">SUMIFS($K$62:$K$500,$H$62:$H$500,R9,$I$62:$I$500,"&lt;&gt;수입",$I$62:$I$500,"&lt;&gt;저축")</f>
        <v>0</v>
      </c>
      <c r="S10" s="125">
        <f t="shared" si="3"/>
        <v>0</v>
      </c>
      <c r="T10" s="126">
        <f t="shared" si="3"/>
        <v>0</v>
      </c>
      <c r="U10" s="126">
        <f t="shared" si="3"/>
        <v>0</v>
      </c>
      <c r="V10" s="126">
        <f t="shared" si="3"/>
        <v>0</v>
      </c>
      <c r="W10" s="126">
        <f t="shared" si="3"/>
        <v>0</v>
      </c>
      <c r="X10" s="126">
        <f t="shared" si="3"/>
        <v>0</v>
      </c>
      <c r="Y10" s="126">
        <f>SUM(R10:X10)</f>
        <v>0</v>
      </c>
      <c r="AB10" s="121" t="str">
        <f>$H$33</f>
        <v>🐻고정비</v>
      </c>
      <c r="AC10" s="122">
        <f>$K$39</f>
        <v>0</v>
      </c>
      <c r="AD10" s="123">
        <f t="shared" si="4"/>
        <v>1.0002</v>
      </c>
      <c r="AE10" s="123">
        <f t="shared" si="5"/>
        <v>1.0002</v>
      </c>
      <c r="AF10" s="123" t="str">
        <f t="shared" si="6"/>
        <v>🐻고정비</v>
      </c>
      <c r="AG10" s="122">
        <f t="shared" si="7"/>
        <v>0</v>
      </c>
    </row>
    <row r="11">
      <c r="C11" s="105" t="s">
        <v>135</v>
      </c>
      <c r="D11" s="106" t="s">
        <v>128</v>
      </c>
      <c r="E11" s="114" t="s">
        <v>56</v>
      </c>
      <c r="F11" s="115">
        <f t="shared" si="2"/>
        <v>0</v>
      </c>
      <c r="R11" s="127">
        <f t="shared" ref="R11:X11" si="8">R9 + 7</f>
        <v>45998</v>
      </c>
      <c r="S11" s="128">
        <f t="shared" si="8"/>
        <v>45999</v>
      </c>
      <c r="T11" s="117">
        <f t="shared" si="8"/>
        <v>46000</v>
      </c>
      <c r="U11" s="117">
        <f t="shared" si="8"/>
        <v>46001</v>
      </c>
      <c r="V11" s="118">
        <f t="shared" si="8"/>
        <v>46002</v>
      </c>
      <c r="W11" s="129">
        <f t="shared" si="8"/>
        <v>46003</v>
      </c>
      <c r="X11" s="130">
        <f t="shared" si="8"/>
        <v>46004</v>
      </c>
      <c r="Y11" s="131"/>
      <c r="AB11" s="121" t="str">
        <f>$H$41</f>
        <v>🍪생필품</v>
      </c>
      <c r="AC11" s="122">
        <f>$K$47</f>
        <v>0</v>
      </c>
      <c r="AD11" s="123">
        <f t="shared" si="4"/>
        <v>1.0003</v>
      </c>
      <c r="AE11" s="123">
        <f t="shared" si="5"/>
        <v>1.0003</v>
      </c>
      <c r="AF11" s="123" t="str">
        <f t="shared" si="6"/>
        <v>🍪생필품</v>
      </c>
      <c r="AG11" s="122">
        <f t="shared" si="7"/>
        <v>0</v>
      </c>
    </row>
    <row r="12">
      <c r="C12" s="132" t="s">
        <v>136</v>
      </c>
      <c r="D12" s="133">
        <f>F33</f>
        <v>0</v>
      </c>
      <c r="E12" s="114" t="s">
        <v>57</v>
      </c>
      <c r="F12" s="115">
        <f t="shared" si="2"/>
        <v>0</v>
      </c>
      <c r="R12" s="134">
        <f t="shared" ref="R12:X12" si="9">SUMIFS($K$62:$K$500,$H$62:$H$500,R11,$I$62:$I$500,"&lt;&gt;수입",$I$62:$I$500,"&lt;&gt;저축")</f>
        <v>0</v>
      </c>
      <c r="S12" s="135">
        <f t="shared" si="9"/>
        <v>0</v>
      </c>
      <c r="T12" s="136">
        <f t="shared" si="9"/>
        <v>0</v>
      </c>
      <c r="U12" s="136">
        <f t="shared" si="9"/>
        <v>0</v>
      </c>
      <c r="V12" s="134">
        <f t="shared" si="9"/>
        <v>0</v>
      </c>
      <c r="W12" s="137">
        <f t="shared" si="9"/>
        <v>0</v>
      </c>
      <c r="X12" s="137">
        <f t="shared" si="9"/>
        <v>0</v>
      </c>
      <c r="Y12" s="137">
        <f>SUM(R12:X12)</f>
        <v>0</v>
      </c>
      <c r="AB12" s="121" t="str">
        <f>$H$49</f>
        <v>🐻생필품</v>
      </c>
      <c r="AC12" s="122">
        <f>$K$55</f>
        <v>0</v>
      </c>
      <c r="AD12" s="123">
        <f t="shared" si="4"/>
        <v>1.0004</v>
      </c>
      <c r="AE12" s="123">
        <f t="shared" si="5"/>
        <v>1.0004</v>
      </c>
      <c r="AF12" s="123" t="str">
        <f t="shared" si="6"/>
        <v>🐻생필품</v>
      </c>
      <c r="AG12" s="122">
        <f t="shared" si="7"/>
        <v>0</v>
      </c>
    </row>
    <row r="13">
      <c r="C13" s="46"/>
      <c r="D13" s="138"/>
      <c r="E13" s="114" t="s">
        <v>58</v>
      </c>
      <c r="F13" s="115">
        <f t="shared" si="2"/>
        <v>0</v>
      </c>
      <c r="I13" s="94"/>
      <c r="J13" s="94"/>
      <c r="R13" s="127">
        <f t="shared" ref="R13:X13" si="10">R11+7</f>
        <v>46005</v>
      </c>
      <c r="S13" s="128">
        <f t="shared" si="10"/>
        <v>46006</v>
      </c>
      <c r="T13" s="117">
        <f t="shared" si="10"/>
        <v>46007</v>
      </c>
      <c r="U13" s="117">
        <f t="shared" si="10"/>
        <v>46008</v>
      </c>
      <c r="V13" s="118">
        <f t="shared" si="10"/>
        <v>46009</v>
      </c>
      <c r="W13" s="129">
        <f t="shared" si="10"/>
        <v>46010</v>
      </c>
      <c r="X13" s="130">
        <f t="shared" si="10"/>
        <v>46011</v>
      </c>
      <c r="Y13" s="131"/>
      <c r="AB13" s="121" t="str">
        <f>$M$25</f>
        <v>🍪식비</v>
      </c>
      <c r="AC13" s="122">
        <f>$P$31</f>
        <v>0</v>
      </c>
      <c r="AD13" s="123">
        <f t="shared" si="4"/>
        <v>1.0005</v>
      </c>
      <c r="AE13" s="123">
        <f t="shared" si="5"/>
        <v>1.0005</v>
      </c>
      <c r="AF13" s="123" t="str">
        <f t="shared" si="6"/>
        <v>🍪식비</v>
      </c>
      <c r="AG13" s="122">
        <f t="shared" si="7"/>
        <v>0</v>
      </c>
    </row>
    <row r="14">
      <c r="C14" s="132" t="s">
        <v>137</v>
      </c>
      <c r="D14" s="133">
        <f>SUM($K$31+$K$39+$K$47+$K$55+$P$31+$P$39+$P$47+$P$55+X31+X39+X47+X55)</f>
        <v>0</v>
      </c>
      <c r="E14" s="114" t="s">
        <v>59</v>
      </c>
      <c r="F14" s="115">
        <f t="shared" si="2"/>
        <v>0</v>
      </c>
      <c r="I14" s="139"/>
      <c r="J14" s="94"/>
      <c r="R14" s="134">
        <f t="shared" ref="R14:X14" si="11">SUMIFS($K$62:$K$500,$H$62:$H$500,R13,$I$62:$I$500,"&lt;&gt;수입",$I$62:$I$500,"&lt;&gt;저축")</f>
        <v>0</v>
      </c>
      <c r="S14" s="135">
        <f t="shared" si="11"/>
        <v>0</v>
      </c>
      <c r="T14" s="136">
        <f t="shared" si="11"/>
        <v>0</v>
      </c>
      <c r="U14" s="136">
        <f t="shared" si="11"/>
        <v>0</v>
      </c>
      <c r="V14" s="134">
        <f t="shared" si="11"/>
        <v>0</v>
      </c>
      <c r="W14" s="137">
        <f t="shared" si="11"/>
        <v>0</v>
      </c>
      <c r="X14" s="137">
        <f t="shared" si="11"/>
        <v>0</v>
      </c>
      <c r="Y14" s="137">
        <f>SUM(R14:X14)</f>
        <v>0</v>
      </c>
      <c r="AB14" s="121" t="str">
        <f>$M$33</f>
        <v>🐻식비</v>
      </c>
      <c r="AC14" s="122">
        <f>$P$39</f>
        <v>0</v>
      </c>
      <c r="AD14" s="123">
        <f t="shared" si="4"/>
        <v>1.0006</v>
      </c>
      <c r="AE14" s="123">
        <f t="shared" si="5"/>
        <v>1.0006</v>
      </c>
      <c r="AF14" s="123" t="str">
        <f t="shared" si="6"/>
        <v>🐻식비</v>
      </c>
      <c r="AG14" s="122">
        <f t="shared" si="7"/>
        <v>0</v>
      </c>
    </row>
    <row r="15">
      <c r="C15" s="46"/>
      <c r="D15" s="138"/>
      <c r="E15" s="114" t="s">
        <v>60</v>
      </c>
      <c r="F15" s="115">
        <f t="shared" si="2"/>
        <v>0</v>
      </c>
      <c r="I15" s="139"/>
      <c r="J15" s="94"/>
      <c r="R15" s="127">
        <f t="shared" ref="R15:X15" si="12">R13+7</f>
        <v>46012</v>
      </c>
      <c r="S15" s="128">
        <f t="shared" si="12"/>
        <v>46013</v>
      </c>
      <c r="T15" s="117">
        <f t="shared" si="12"/>
        <v>46014</v>
      </c>
      <c r="U15" s="117">
        <f t="shared" si="12"/>
        <v>46015</v>
      </c>
      <c r="V15" s="118">
        <f t="shared" si="12"/>
        <v>46016</v>
      </c>
      <c r="W15" s="129">
        <f t="shared" si="12"/>
        <v>46017</v>
      </c>
      <c r="X15" s="130">
        <f t="shared" si="12"/>
        <v>46018</v>
      </c>
      <c r="Y15" s="131"/>
      <c r="AB15" s="121" t="str">
        <f>$M$41</f>
        <v>🍪여가비</v>
      </c>
      <c r="AC15" s="122">
        <f>$P$47</f>
        <v>0</v>
      </c>
      <c r="AD15" s="123">
        <f t="shared" si="4"/>
        <v>1.0007</v>
      </c>
      <c r="AE15" s="123">
        <f t="shared" si="5"/>
        <v>1.0007</v>
      </c>
      <c r="AF15" s="123" t="str">
        <f t="shared" si="6"/>
        <v>🍪여가비</v>
      </c>
      <c r="AG15" s="122">
        <f t="shared" si="7"/>
        <v>0</v>
      </c>
    </row>
    <row r="16">
      <c r="C16" s="132" t="s">
        <v>138</v>
      </c>
      <c r="D16" s="133">
        <f>F43</f>
        <v>0</v>
      </c>
      <c r="E16" s="114" t="s">
        <v>61</v>
      </c>
      <c r="F16" s="115">
        <f t="shared" si="2"/>
        <v>0</v>
      </c>
      <c r="H16" s="140" t="s">
        <v>139</v>
      </c>
      <c r="I16" s="141"/>
      <c r="J16" s="141"/>
      <c r="K16" s="53"/>
      <c r="R16" s="134">
        <f t="shared" ref="R16:X16" si="13">SUMIFS($K$62:$K$500,$H$62:$H$500,R15,$I$62:$I$500,"&lt;&gt;수입",$I$62:$I$500,"&lt;&gt;저축")</f>
        <v>0</v>
      </c>
      <c r="S16" s="135">
        <f t="shared" si="13"/>
        <v>0</v>
      </c>
      <c r="T16" s="136">
        <f t="shared" si="13"/>
        <v>0</v>
      </c>
      <c r="U16" s="136">
        <f t="shared" si="13"/>
        <v>0</v>
      </c>
      <c r="V16" s="134">
        <f t="shared" si="13"/>
        <v>0</v>
      </c>
      <c r="W16" s="137">
        <f t="shared" si="13"/>
        <v>0</v>
      </c>
      <c r="X16" s="137">
        <f t="shared" si="13"/>
        <v>0</v>
      </c>
      <c r="Y16" s="137">
        <f>SUM(R16:X16)</f>
        <v>0</v>
      </c>
      <c r="AB16" s="121" t="str">
        <f>$M$49</f>
        <v>🐻여가비</v>
      </c>
      <c r="AC16" s="122">
        <f>$P$55</f>
        <v>0</v>
      </c>
      <c r="AD16" s="123">
        <f t="shared" si="4"/>
        <v>1.0008</v>
      </c>
      <c r="AE16" s="123">
        <f t="shared" si="5"/>
        <v>1.0008</v>
      </c>
      <c r="AF16" s="123" t="str">
        <f t="shared" si="6"/>
        <v>🐻여가비</v>
      </c>
      <c r="AG16" s="122">
        <f t="shared" si="7"/>
        <v>0</v>
      </c>
    </row>
    <row r="17">
      <c r="C17" s="46"/>
      <c r="D17" s="138"/>
      <c r="E17" s="114" t="s">
        <v>62</v>
      </c>
      <c r="F17" s="115">
        <f t="shared" si="2"/>
        <v>0</v>
      </c>
      <c r="H17" s="142"/>
      <c r="I17" s="143"/>
      <c r="J17" s="144"/>
      <c r="K17" s="145"/>
      <c r="R17" s="127">
        <f t="shared" ref="R17:X17" si="14">R15+7</f>
        <v>46019</v>
      </c>
      <c r="S17" s="128">
        <f t="shared" si="14"/>
        <v>46020</v>
      </c>
      <c r="T17" s="117">
        <f t="shared" si="14"/>
        <v>46021</v>
      </c>
      <c r="U17" s="117">
        <f t="shared" si="14"/>
        <v>46022</v>
      </c>
      <c r="V17" s="118">
        <f t="shared" si="14"/>
        <v>46023</v>
      </c>
      <c r="W17" s="129">
        <f t="shared" si="14"/>
        <v>46024</v>
      </c>
      <c r="X17" s="130">
        <f t="shared" si="14"/>
        <v>46025</v>
      </c>
      <c r="Y17" s="131"/>
      <c r="AB17" s="121" t="str">
        <f>$R$25</f>
        <v>🍪기타</v>
      </c>
      <c r="AC17" s="122">
        <f>$X$31</f>
        <v>0</v>
      </c>
      <c r="AD17" s="123">
        <f t="shared" si="4"/>
        <v>1.0009</v>
      </c>
      <c r="AE17" s="123">
        <f t="shared" si="5"/>
        <v>1.0009</v>
      </c>
      <c r="AF17" s="123" t="str">
        <f t="shared" si="6"/>
        <v>🍪기타</v>
      </c>
      <c r="AG17" s="122">
        <f t="shared" si="7"/>
        <v>0</v>
      </c>
    </row>
    <row r="18">
      <c r="C18" s="146" t="s">
        <v>140</v>
      </c>
      <c r="D18" s="147">
        <f>D12-D14-D16</f>
        <v>0</v>
      </c>
      <c r="E18" s="114" t="s">
        <v>63</v>
      </c>
      <c r="F18" s="115">
        <f t="shared" si="2"/>
        <v>0</v>
      </c>
      <c r="H18" s="142"/>
      <c r="I18" s="143"/>
      <c r="J18" s="144"/>
      <c r="K18" s="145"/>
      <c r="R18" s="126">
        <f t="shared" ref="R18:X18" si="15">SUMIFS($K$62:$K$500,$H$62:$H$500,R17,$I$62:$I$500,"&lt;&gt;수입",$I$62:$I$500,"&lt;&gt;저축")</f>
        <v>0</v>
      </c>
      <c r="S18" s="148">
        <f t="shared" si="15"/>
        <v>0</v>
      </c>
      <c r="T18" s="149">
        <f t="shared" si="15"/>
        <v>0</v>
      </c>
      <c r="U18" s="149">
        <f t="shared" si="15"/>
        <v>0</v>
      </c>
      <c r="V18" s="126">
        <f t="shared" si="15"/>
        <v>0</v>
      </c>
      <c r="W18" s="150">
        <f t="shared" si="15"/>
        <v>0</v>
      </c>
      <c r="X18" s="150">
        <f t="shared" si="15"/>
        <v>0</v>
      </c>
      <c r="Y18" s="150">
        <f>SUM(R18:X18)</f>
        <v>0</v>
      </c>
      <c r="AB18" s="121" t="str">
        <f>$R$33</f>
        <v>🐻기타</v>
      </c>
      <c r="AC18" s="122">
        <f>$X$39</f>
        <v>0</v>
      </c>
      <c r="AD18" s="123">
        <f t="shared" si="4"/>
        <v>1.001</v>
      </c>
      <c r="AE18" s="123">
        <f t="shared" si="5"/>
        <v>1.001</v>
      </c>
      <c r="AF18" s="123" t="str">
        <f t="shared" si="6"/>
        <v>🐻기타</v>
      </c>
      <c r="AG18" s="122">
        <f t="shared" si="7"/>
        <v>0</v>
      </c>
    </row>
    <row r="19">
      <c r="C19" s="151" t="s">
        <v>141</v>
      </c>
      <c r="D19" s="152" t="str">
        <f>(D16+D18)/D12</f>
        <v>#DIV/0!</v>
      </c>
      <c r="E19" s="114" t="s">
        <v>64</v>
      </c>
      <c r="F19" s="115">
        <f t="shared" si="2"/>
        <v>0</v>
      </c>
      <c r="H19" s="142"/>
      <c r="I19" s="143"/>
      <c r="J19" s="144"/>
      <c r="K19" s="145"/>
      <c r="R19" s="153">
        <f t="shared" ref="R19:X19" si="16">R17+7</f>
        <v>46026</v>
      </c>
      <c r="S19" s="154">
        <f t="shared" si="16"/>
        <v>46027</v>
      </c>
      <c r="T19" s="155">
        <f t="shared" si="16"/>
        <v>46028</v>
      </c>
      <c r="U19" s="155">
        <f t="shared" si="16"/>
        <v>46029</v>
      </c>
      <c r="V19" s="156">
        <f t="shared" si="16"/>
        <v>46030</v>
      </c>
      <c r="W19" s="157">
        <f t="shared" si="16"/>
        <v>46031</v>
      </c>
      <c r="X19" s="158">
        <f t="shared" si="16"/>
        <v>46032</v>
      </c>
      <c r="Y19" s="159"/>
      <c r="AB19" s="121" t="str">
        <f>$R$41</f>
        <v>🍪이벤트성</v>
      </c>
      <c r="AC19" s="122">
        <f>$X$47</f>
        <v>0</v>
      </c>
      <c r="AD19" s="123">
        <f t="shared" si="4"/>
        <v>1.0011</v>
      </c>
      <c r="AE19" s="123">
        <f t="shared" si="5"/>
        <v>1.0011</v>
      </c>
      <c r="AF19" s="123" t="str">
        <f t="shared" si="6"/>
        <v>🍪이벤트성</v>
      </c>
      <c r="AG19" s="122">
        <f t="shared" si="7"/>
        <v>0</v>
      </c>
    </row>
    <row r="20">
      <c r="C20" s="160" t="s">
        <v>142</v>
      </c>
      <c r="D20" s="161" t="str">
        <f>D18/D12</f>
        <v>#DIV/0!</v>
      </c>
      <c r="E20" s="162" t="s">
        <v>65</v>
      </c>
      <c r="F20" s="163">
        <f>SUM($F$9:$F$19)</f>
        <v>0</v>
      </c>
      <c r="H20" s="164"/>
      <c r="I20" s="165"/>
      <c r="J20" s="166"/>
      <c r="K20" s="55"/>
      <c r="R20" s="126">
        <f t="shared" ref="R20:X20" si="17">SUMIFS($K$62:$K$500,$H$62:$H$500,R19,$I$62:$I$500,"&lt;&gt;수입",$I$62:$I$500,"&lt;&gt;저축")</f>
        <v>0</v>
      </c>
      <c r="S20" s="148">
        <f t="shared" si="17"/>
        <v>0</v>
      </c>
      <c r="T20" s="149">
        <f t="shared" si="17"/>
        <v>0</v>
      </c>
      <c r="U20" s="149">
        <f t="shared" si="17"/>
        <v>0</v>
      </c>
      <c r="V20" s="126">
        <f t="shared" si="17"/>
        <v>0</v>
      </c>
      <c r="W20" s="150">
        <f t="shared" si="17"/>
        <v>0</v>
      </c>
      <c r="X20" s="150">
        <f t="shared" si="17"/>
        <v>0</v>
      </c>
      <c r="Y20" s="150">
        <f>SUM(R20:X20)</f>
        <v>0</v>
      </c>
      <c r="AB20" s="121" t="str">
        <f>$R$49</f>
        <v>🐻 이벤트성</v>
      </c>
      <c r="AC20" s="122">
        <f>$X$55</f>
        <v>0</v>
      </c>
      <c r="AD20" s="123">
        <f t="shared" si="4"/>
        <v>1.0012</v>
      </c>
      <c r="AE20" s="123">
        <f t="shared" si="5"/>
        <v>1.0012</v>
      </c>
      <c r="AF20" s="123" t="str">
        <f t="shared" si="6"/>
        <v>🐻 이벤트성</v>
      </c>
      <c r="AG20" s="122">
        <f t="shared" si="7"/>
        <v>0</v>
      </c>
    </row>
    <row r="21">
      <c r="E21" s="34" t="s">
        <v>66</v>
      </c>
      <c r="I21" s="139"/>
      <c r="J21" s="94"/>
    </row>
    <row r="24">
      <c r="C24" s="105" t="s">
        <v>1</v>
      </c>
      <c r="D24" s="167" t="s">
        <v>2</v>
      </c>
      <c r="E24" s="167" t="s">
        <v>143</v>
      </c>
      <c r="F24" s="106" t="s">
        <v>69</v>
      </c>
      <c r="H24" s="105" t="s">
        <v>1</v>
      </c>
      <c r="I24" s="167" t="s">
        <v>2</v>
      </c>
      <c r="J24" s="167" t="s">
        <v>144</v>
      </c>
      <c r="K24" s="106" t="s">
        <v>69</v>
      </c>
      <c r="M24" s="105" t="s">
        <v>1</v>
      </c>
      <c r="N24" s="167" t="s">
        <v>2</v>
      </c>
      <c r="O24" s="167" t="s">
        <v>144</v>
      </c>
      <c r="P24" s="106" t="s">
        <v>69</v>
      </c>
      <c r="R24" s="168" t="s">
        <v>1</v>
      </c>
      <c r="S24" s="169"/>
      <c r="T24" s="170" t="s">
        <v>2</v>
      </c>
      <c r="U24" s="169"/>
      <c r="V24" s="170" t="s">
        <v>144</v>
      </c>
      <c r="W24" s="169"/>
      <c r="X24" s="170" t="s">
        <v>69</v>
      </c>
      <c r="Y24" s="53"/>
    </row>
    <row r="25">
      <c r="C25" s="171" t="s">
        <v>3</v>
      </c>
      <c r="D25" s="41" t="s">
        <v>4</v>
      </c>
      <c r="E25" s="172"/>
      <c r="F25" s="115">
        <f t="shared" ref="F25:F32" si="18">SUMIFS($K$62:$K$500,$I$62:$I$500,$C$25,$J$62:$J$500,D25)</f>
        <v>0</v>
      </c>
      <c r="H25" s="173" t="s">
        <v>14</v>
      </c>
      <c r="I25" s="41" t="s">
        <v>15</v>
      </c>
      <c r="J25" s="172"/>
      <c r="K25" s="115">
        <f t="shared" ref="K25:K30" si="19">SUMIFS($K$62:$K$500,$I$62:$I$500,$H$25,$J$62:$J$500,I25)</f>
        <v>0</v>
      </c>
      <c r="M25" s="173" t="s">
        <v>26</v>
      </c>
      <c r="N25" s="41" t="s">
        <v>27</v>
      </c>
      <c r="O25" s="172"/>
      <c r="P25" s="115">
        <f t="shared" ref="P25:P30" si="20">SUMIFS($K$62:$K$500,$I$62:$I$500,$M$25,$J$62:$J$500,N25)</f>
        <v>0</v>
      </c>
      <c r="R25" s="174" t="s">
        <v>39</v>
      </c>
      <c r="S25" s="175"/>
      <c r="T25" s="176" t="s">
        <v>40</v>
      </c>
      <c r="U25" s="143"/>
      <c r="V25" s="177"/>
      <c r="W25" s="175"/>
      <c r="X25" s="178">
        <f t="shared" ref="X25:X30" si="21">SUMIFS($K$62:$K$500,$I$62:$I$500,$R$25,$J$62:$J$500,T25)</f>
        <v>0</v>
      </c>
      <c r="Y25" s="145"/>
    </row>
    <row r="26">
      <c r="C26" s="45"/>
      <c r="D26" s="41" t="s">
        <v>5</v>
      </c>
      <c r="E26" s="179"/>
      <c r="F26" s="115">
        <f t="shared" si="18"/>
        <v>0</v>
      </c>
      <c r="H26" s="45"/>
      <c r="I26" s="41" t="s">
        <v>16</v>
      </c>
      <c r="J26" s="179"/>
      <c r="K26" s="115">
        <f t="shared" si="19"/>
        <v>0</v>
      </c>
      <c r="M26" s="45"/>
      <c r="N26" s="41" t="s">
        <v>28</v>
      </c>
      <c r="O26" s="179"/>
      <c r="P26" s="115">
        <f t="shared" si="20"/>
        <v>0</v>
      </c>
      <c r="R26" s="180"/>
      <c r="S26" s="181"/>
      <c r="T26" s="176" t="s">
        <v>41</v>
      </c>
      <c r="U26" s="143"/>
      <c r="V26" s="182"/>
      <c r="W26" s="181"/>
      <c r="X26" s="178">
        <f t="shared" si="21"/>
        <v>0</v>
      </c>
      <c r="Y26" s="145"/>
    </row>
    <row r="27">
      <c r="C27" s="45"/>
      <c r="D27" s="41" t="s">
        <v>6</v>
      </c>
      <c r="E27" s="179"/>
      <c r="F27" s="115">
        <f t="shared" si="18"/>
        <v>0</v>
      </c>
      <c r="H27" s="45"/>
      <c r="I27" s="41" t="s">
        <v>17</v>
      </c>
      <c r="J27" s="179"/>
      <c r="K27" s="115">
        <f t="shared" si="19"/>
        <v>0</v>
      </c>
      <c r="M27" s="45"/>
      <c r="N27" s="41" t="s">
        <v>29</v>
      </c>
      <c r="O27" s="179"/>
      <c r="P27" s="115">
        <f t="shared" si="20"/>
        <v>0</v>
      </c>
      <c r="R27" s="180"/>
      <c r="S27" s="181"/>
      <c r="T27" s="176" t="s">
        <v>42</v>
      </c>
      <c r="U27" s="143"/>
      <c r="V27" s="182"/>
      <c r="W27" s="181"/>
      <c r="X27" s="178">
        <f t="shared" si="21"/>
        <v>0</v>
      </c>
      <c r="Y27" s="145"/>
    </row>
    <row r="28">
      <c r="C28" s="45"/>
      <c r="D28" s="41" t="s">
        <v>7</v>
      </c>
      <c r="E28" s="179"/>
      <c r="F28" s="115">
        <f t="shared" si="18"/>
        <v>0</v>
      </c>
      <c r="H28" s="45"/>
      <c r="I28" s="41" t="s">
        <v>18</v>
      </c>
      <c r="J28" s="179"/>
      <c r="K28" s="115">
        <f t="shared" si="19"/>
        <v>0</v>
      </c>
      <c r="M28" s="45"/>
      <c r="N28" s="41" t="s">
        <v>30</v>
      </c>
      <c r="O28" s="179"/>
      <c r="P28" s="115">
        <f t="shared" si="20"/>
        <v>0</v>
      </c>
      <c r="R28" s="180"/>
      <c r="S28" s="181"/>
      <c r="T28" s="176" t="s">
        <v>43</v>
      </c>
      <c r="U28" s="143"/>
      <c r="V28" s="182"/>
      <c r="W28" s="181"/>
      <c r="X28" s="178">
        <f t="shared" si="21"/>
        <v>0</v>
      </c>
      <c r="Y28" s="145"/>
    </row>
    <row r="29">
      <c r="C29" s="45"/>
      <c r="D29" s="41" t="s">
        <v>8</v>
      </c>
      <c r="E29" s="179"/>
      <c r="F29" s="115">
        <f t="shared" si="18"/>
        <v>0</v>
      </c>
      <c r="H29" s="45"/>
      <c r="I29" s="41" t="s">
        <v>19</v>
      </c>
      <c r="J29" s="179"/>
      <c r="K29" s="115">
        <f t="shared" si="19"/>
        <v>0</v>
      </c>
      <c r="M29" s="45"/>
      <c r="N29" s="41" t="s">
        <v>8</v>
      </c>
      <c r="O29" s="179"/>
      <c r="P29" s="115">
        <f t="shared" si="20"/>
        <v>0</v>
      </c>
      <c r="R29" s="180"/>
      <c r="S29" s="181"/>
      <c r="T29" s="176" t="s">
        <v>44</v>
      </c>
      <c r="U29" s="143"/>
      <c r="V29" s="182"/>
      <c r="W29" s="181"/>
      <c r="X29" s="178">
        <f t="shared" si="21"/>
        <v>0</v>
      </c>
      <c r="Y29" s="145"/>
    </row>
    <row r="30">
      <c r="C30" s="45"/>
      <c r="D30" s="41"/>
      <c r="E30" s="179"/>
      <c r="F30" s="115">
        <f t="shared" si="18"/>
        <v>0</v>
      </c>
      <c r="H30" s="46"/>
      <c r="I30" s="41"/>
      <c r="J30" s="183"/>
      <c r="K30" s="115">
        <f t="shared" si="19"/>
        <v>0</v>
      </c>
      <c r="M30" s="46"/>
      <c r="N30" s="41"/>
      <c r="O30" s="183"/>
      <c r="P30" s="115">
        <f t="shared" si="20"/>
        <v>0</v>
      </c>
      <c r="R30" s="184"/>
      <c r="S30" s="185"/>
      <c r="T30" s="176"/>
      <c r="U30" s="143"/>
      <c r="V30" s="186"/>
      <c r="W30" s="185"/>
      <c r="X30" s="178">
        <f t="shared" si="21"/>
        <v>0</v>
      </c>
      <c r="Y30" s="145"/>
    </row>
    <row r="31">
      <c r="C31" s="45"/>
      <c r="D31" s="41"/>
      <c r="E31" s="179"/>
      <c r="F31" s="115">
        <f t="shared" si="18"/>
        <v>0</v>
      </c>
      <c r="H31" s="187" t="str">
        <f>IF(H25=0,"","총"&amp;H25)</f>
        <v>총🍪고정비</v>
      </c>
      <c r="I31" s="188"/>
      <c r="J31" s="175"/>
      <c r="K31" s="189">
        <f>SUM(K25:K30)</f>
        <v>0</v>
      </c>
      <c r="M31" s="187" t="str">
        <f>IF(M25=0,"","총"&amp;M25)</f>
        <v>총🍪식비</v>
      </c>
      <c r="N31" s="188"/>
      <c r="O31" s="175"/>
      <c r="P31" s="189">
        <f>SUM(P25:P30)</f>
        <v>0</v>
      </c>
      <c r="R31" s="187" t="str">
        <f>IF(R25=0,"","총"&amp;R25)</f>
        <v>총🍪기타</v>
      </c>
      <c r="S31" s="188"/>
      <c r="T31" s="188"/>
      <c r="U31" s="188"/>
      <c r="V31" s="188"/>
      <c r="W31" s="175"/>
      <c r="X31" s="190">
        <f>SUM(X25:X30)</f>
        <v>0</v>
      </c>
      <c r="Y31" s="145"/>
    </row>
    <row r="32">
      <c r="C32" s="46"/>
      <c r="D32" s="41"/>
      <c r="E32" s="183"/>
      <c r="F32" s="115">
        <f t="shared" si="18"/>
        <v>0</v>
      </c>
      <c r="H32" s="184"/>
      <c r="I32" s="191"/>
      <c r="J32" s="185"/>
      <c r="K32" s="192">
        <f>K31-J25</f>
        <v>0</v>
      </c>
      <c r="M32" s="184"/>
      <c r="N32" s="191"/>
      <c r="O32" s="185"/>
      <c r="P32" s="193">
        <f>P31-O25</f>
        <v>0</v>
      </c>
      <c r="R32" s="184"/>
      <c r="S32" s="191"/>
      <c r="T32" s="191"/>
      <c r="U32" s="191"/>
      <c r="V32" s="191"/>
      <c r="W32" s="185"/>
      <c r="X32" s="194">
        <f>X31-V25</f>
        <v>0</v>
      </c>
      <c r="Y32" s="145"/>
    </row>
    <row r="33">
      <c r="C33" s="187" t="str">
        <f>IF(C25=0,"","총"&amp;C25)</f>
        <v>총수입</v>
      </c>
      <c r="D33" s="188"/>
      <c r="E33" s="175"/>
      <c r="F33" s="189">
        <f>SUM(F25:F32)</f>
        <v>0</v>
      </c>
      <c r="H33" s="173" t="s">
        <v>21</v>
      </c>
      <c r="I33" s="41" t="s">
        <v>15</v>
      </c>
      <c r="J33" s="172"/>
      <c r="K33" s="115">
        <f t="shared" ref="K33:K38" si="22">SUMIFS($K$62:$K$500,$I$62:$I$500,$H$33,$J$62:$J$500,I33)</f>
        <v>0</v>
      </c>
      <c r="M33" s="173" t="s">
        <v>31</v>
      </c>
      <c r="N33" s="41" t="s">
        <v>27</v>
      </c>
      <c r="O33" s="172"/>
      <c r="P33" s="115">
        <f t="shared" ref="P33:P38" si="23">SUMIFS($K$62:$K$500,$I$62:$I$500,$M$33,$J$62:$J$500,N33)</f>
        <v>0</v>
      </c>
      <c r="R33" s="174" t="s">
        <v>45</v>
      </c>
      <c r="S33" s="175"/>
      <c r="T33" s="176" t="s">
        <v>40</v>
      </c>
      <c r="U33" s="143"/>
      <c r="V33" s="177"/>
      <c r="W33" s="175"/>
      <c r="X33" s="178">
        <f t="shared" ref="X33:X38" si="24">SUMIFS($K$62:$K$500,$I$62:$I$500,$R$33,$J$62:$J$500,T33)</f>
        <v>0</v>
      </c>
      <c r="Y33" s="145"/>
    </row>
    <row r="34">
      <c r="C34" s="184"/>
      <c r="D34" s="191"/>
      <c r="E34" s="185"/>
      <c r="F34" s="195">
        <f>F33-E25</f>
        <v>0</v>
      </c>
      <c r="H34" s="45"/>
      <c r="I34" s="41" t="s">
        <v>17</v>
      </c>
      <c r="J34" s="179"/>
      <c r="K34" s="115">
        <f t="shared" si="22"/>
        <v>0</v>
      </c>
      <c r="M34" s="45"/>
      <c r="N34" s="41" t="s">
        <v>28</v>
      </c>
      <c r="O34" s="179"/>
      <c r="P34" s="115">
        <f t="shared" si="23"/>
        <v>0</v>
      </c>
      <c r="R34" s="180"/>
      <c r="S34" s="181"/>
      <c r="T34" s="176" t="s">
        <v>41</v>
      </c>
      <c r="U34" s="143"/>
      <c r="V34" s="182"/>
      <c r="W34" s="181"/>
      <c r="X34" s="178">
        <f t="shared" si="24"/>
        <v>0</v>
      </c>
      <c r="Y34" s="145"/>
    </row>
    <row r="35">
      <c r="C35" s="171" t="s">
        <v>9</v>
      </c>
      <c r="D35" s="41" t="s">
        <v>10</v>
      </c>
      <c r="E35" s="172"/>
      <c r="F35" s="115">
        <f t="shared" ref="F35:F42" si="25">SUMIFS($K$62:$K$500,$I$62:$I$500,$C$35,$J$62:$J$500,D35)</f>
        <v>0</v>
      </c>
      <c r="H35" s="45"/>
      <c r="I35" s="41" t="s">
        <v>18</v>
      </c>
      <c r="J35" s="179"/>
      <c r="K35" s="115">
        <f t="shared" si="22"/>
        <v>0</v>
      </c>
      <c r="M35" s="45"/>
      <c r="N35" s="41" t="s">
        <v>29</v>
      </c>
      <c r="O35" s="179"/>
      <c r="P35" s="115">
        <f t="shared" si="23"/>
        <v>0</v>
      </c>
      <c r="R35" s="180"/>
      <c r="S35" s="181"/>
      <c r="T35" s="176" t="s">
        <v>42</v>
      </c>
      <c r="U35" s="143"/>
      <c r="V35" s="182"/>
      <c r="W35" s="181"/>
      <c r="X35" s="178">
        <f t="shared" si="24"/>
        <v>0</v>
      </c>
      <c r="Y35" s="145"/>
    </row>
    <row r="36">
      <c r="C36" s="45"/>
      <c r="D36" s="41" t="s">
        <v>11</v>
      </c>
      <c r="E36" s="179"/>
      <c r="F36" s="115">
        <f t="shared" si="25"/>
        <v>0</v>
      </c>
      <c r="H36" s="45"/>
      <c r="I36" s="41" t="s">
        <v>19</v>
      </c>
      <c r="J36" s="179"/>
      <c r="K36" s="115">
        <f t="shared" si="22"/>
        <v>0</v>
      </c>
      <c r="M36" s="45"/>
      <c r="N36" s="41" t="s">
        <v>30</v>
      </c>
      <c r="O36" s="179"/>
      <c r="P36" s="115">
        <f t="shared" si="23"/>
        <v>0</v>
      </c>
      <c r="R36" s="180"/>
      <c r="S36" s="181"/>
      <c r="T36" s="176" t="s">
        <v>43</v>
      </c>
      <c r="U36" s="143"/>
      <c r="V36" s="182"/>
      <c r="W36" s="181"/>
      <c r="X36" s="178">
        <f t="shared" si="24"/>
        <v>0</v>
      </c>
      <c r="Y36" s="145"/>
    </row>
    <row r="37">
      <c r="C37" s="45"/>
      <c r="D37" s="41" t="s">
        <v>12</v>
      </c>
      <c r="E37" s="179"/>
      <c r="F37" s="115">
        <f t="shared" si="25"/>
        <v>0</v>
      </c>
      <c r="H37" s="45"/>
      <c r="I37" s="41" t="s">
        <v>20</v>
      </c>
      <c r="J37" s="179"/>
      <c r="K37" s="115">
        <f t="shared" si="22"/>
        <v>0</v>
      </c>
      <c r="M37" s="45"/>
      <c r="N37" s="41" t="s">
        <v>8</v>
      </c>
      <c r="O37" s="179"/>
      <c r="P37" s="115">
        <f t="shared" si="23"/>
        <v>0</v>
      </c>
      <c r="R37" s="180"/>
      <c r="S37" s="181"/>
      <c r="T37" s="176" t="s">
        <v>44</v>
      </c>
      <c r="U37" s="143"/>
      <c r="V37" s="182"/>
      <c r="W37" s="181"/>
      <c r="X37" s="178">
        <f t="shared" si="24"/>
        <v>0</v>
      </c>
      <c r="Y37" s="145"/>
    </row>
    <row r="38">
      <c r="C38" s="45"/>
      <c r="D38" s="41" t="s">
        <v>13</v>
      </c>
      <c r="E38" s="179"/>
      <c r="F38" s="115">
        <f t="shared" si="25"/>
        <v>0</v>
      </c>
      <c r="H38" s="46"/>
      <c r="I38" s="41"/>
      <c r="J38" s="183"/>
      <c r="K38" s="115">
        <f t="shared" si="22"/>
        <v>0</v>
      </c>
      <c r="M38" s="46"/>
      <c r="N38" s="41"/>
      <c r="O38" s="183"/>
      <c r="P38" s="115">
        <f t="shared" si="23"/>
        <v>0</v>
      </c>
      <c r="R38" s="184"/>
      <c r="S38" s="185"/>
      <c r="T38" s="176"/>
      <c r="U38" s="143"/>
      <c r="V38" s="186"/>
      <c r="W38" s="185"/>
      <c r="X38" s="178">
        <f t="shared" si="24"/>
        <v>0</v>
      </c>
      <c r="Y38" s="145"/>
    </row>
    <row r="39">
      <c r="C39" s="45"/>
      <c r="D39" s="41"/>
      <c r="E39" s="179"/>
      <c r="F39" s="115">
        <f t="shared" si="25"/>
        <v>0</v>
      </c>
      <c r="H39" s="187" t="str">
        <f>IF(H33=0,"","총"&amp;H33)</f>
        <v>총🐻고정비</v>
      </c>
      <c r="I39" s="188"/>
      <c r="J39" s="175"/>
      <c r="K39" s="189">
        <f>SUM(K33:K38)</f>
        <v>0</v>
      </c>
      <c r="M39" s="187" t="str">
        <f>IF(M33=0,"","총"&amp;M33)</f>
        <v>총🐻식비</v>
      </c>
      <c r="N39" s="188"/>
      <c r="O39" s="175"/>
      <c r="P39" s="189">
        <f>SUM(P33:P38)</f>
        <v>0</v>
      </c>
      <c r="R39" s="187" t="str">
        <f>IF(R33=0,"","총"&amp;R33)</f>
        <v>총🐻기타</v>
      </c>
      <c r="S39" s="188"/>
      <c r="T39" s="188"/>
      <c r="U39" s="188"/>
      <c r="V39" s="188"/>
      <c r="W39" s="175"/>
      <c r="X39" s="190">
        <f>SUM(X33:X38)</f>
        <v>0</v>
      </c>
      <c r="Y39" s="145"/>
    </row>
    <row r="40">
      <c r="C40" s="45"/>
      <c r="D40" s="41"/>
      <c r="E40" s="179"/>
      <c r="F40" s="115">
        <f t="shared" si="25"/>
        <v>0</v>
      </c>
      <c r="H40" s="184"/>
      <c r="I40" s="191"/>
      <c r="J40" s="185"/>
      <c r="K40" s="193">
        <f>K39-J33</f>
        <v>0</v>
      </c>
      <c r="M40" s="184"/>
      <c r="N40" s="191"/>
      <c r="O40" s="185"/>
      <c r="P40" s="193">
        <f>P39-O33</f>
        <v>0</v>
      </c>
      <c r="R40" s="184"/>
      <c r="S40" s="191"/>
      <c r="T40" s="191"/>
      <c r="U40" s="191"/>
      <c r="V40" s="191"/>
      <c r="W40" s="185"/>
      <c r="X40" s="194">
        <f>X39-V33</f>
        <v>0</v>
      </c>
      <c r="Y40" s="145"/>
    </row>
    <row r="41">
      <c r="C41" s="45"/>
      <c r="D41" s="41"/>
      <c r="E41" s="179"/>
      <c r="F41" s="115">
        <f t="shared" si="25"/>
        <v>0</v>
      </c>
      <c r="H41" s="173" t="s">
        <v>22</v>
      </c>
      <c r="I41" s="41" t="s">
        <v>23</v>
      </c>
      <c r="J41" s="172"/>
      <c r="K41" s="115">
        <f t="shared" ref="K41:K46" si="26">SUMIFS($K$62:$K$500,$I$62:$I$500,$H$41,$J$62:$J$500,I41)</f>
        <v>0</v>
      </c>
      <c r="M41" s="173" t="s">
        <v>32</v>
      </c>
      <c r="N41" s="41" t="s">
        <v>33</v>
      </c>
      <c r="O41" s="172"/>
      <c r="P41" s="115">
        <f t="shared" ref="P41:P46" si="27">SUMIFS($K$62:$K$500,$I$62:$I$500,$M$41,$J$62:$J$500,N41)</f>
        <v>0</v>
      </c>
      <c r="R41" s="174" t="s">
        <v>46</v>
      </c>
      <c r="S41" s="175"/>
      <c r="T41" s="176" t="s">
        <v>47</v>
      </c>
      <c r="U41" s="143"/>
      <c r="V41" s="177"/>
      <c r="W41" s="175"/>
      <c r="X41" s="178">
        <f t="shared" ref="X41:X46" si="28">SUMIFS($K$62:$K$500,$I$62:$I$500,$R$41,$J$62:$J$500,T41)</f>
        <v>0</v>
      </c>
      <c r="Y41" s="145"/>
    </row>
    <row r="42">
      <c r="C42" s="46"/>
      <c r="D42" s="41"/>
      <c r="E42" s="183"/>
      <c r="F42" s="115">
        <f t="shared" si="25"/>
        <v>0</v>
      </c>
      <c r="H42" s="45"/>
      <c r="I42" s="41" t="s">
        <v>24</v>
      </c>
      <c r="J42" s="179"/>
      <c r="K42" s="115">
        <f t="shared" si="26"/>
        <v>0</v>
      </c>
      <c r="M42" s="45"/>
      <c r="N42" s="41" t="s">
        <v>34</v>
      </c>
      <c r="O42" s="179"/>
      <c r="P42" s="115">
        <f t="shared" si="27"/>
        <v>0</v>
      </c>
      <c r="R42" s="180"/>
      <c r="S42" s="181"/>
      <c r="T42" s="176" t="s">
        <v>48</v>
      </c>
      <c r="U42" s="143"/>
      <c r="V42" s="182"/>
      <c r="W42" s="181"/>
      <c r="X42" s="178">
        <f t="shared" si="28"/>
        <v>0</v>
      </c>
      <c r="Y42" s="145"/>
    </row>
    <row r="43">
      <c r="C43" s="187" t="str">
        <f>IF(C35=0,"","총"&amp;C35)</f>
        <v>총저축</v>
      </c>
      <c r="D43" s="188"/>
      <c r="E43" s="175"/>
      <c r="F43" s="189">
        <f>SUM(F35:F42)</f>
        <v>0</v>
      </c>
      <c r="H43" s="45"/>
      <c r="I43" s="41" t="s">
        <v>8</v>
      </c>
      <c r="J43" s="179"/>
      <c r="K43" s="115">
        <f t="shared" si="26"/>
        <v>0</v>
      </c>
      <c r="M43" s="45"/>
      <c r="N43" s="41" t="s">
        <v>35</v>
      </c>
      <c r="O43" s="179"/>
      <c r="P43" s="115">
        <f t="shared" si="27"/>
        <v>0</v>
      </c>
      <c r="R43" s="180"/>
      <c r="S43" s="181"/>
      <c r="T43" s="176" t="s">
        <v>49</v>
      </c>
      <c r="U43" s="143"/>
      <c r="V43" s="182"/>
      <c r="W43" s="181"/>
      <c r="X43" s="178">
        <f t="shared" si="28"/>
        <v>0</v>
      </c>
      <c r="Y43" s="145"/>
    </row>
    <row r="44">
      <c r="C44" s="196"/>
      <c r="D44" s="197"/>
      <c r="E44" s="198"/>
      <c r="F44" s="199">
        <f>F43-E35</f>
        <v>0</v>
      </c>
      <c r="H44" s="45"/>
      <c r="I44" s="41"/>
      <c r="J44" s="179"/>
      <c r="K44" s="115">
        <f t="shared" si="26"/>
        <v>0</v>
      </c>
      <c r="M44" s="45"/>
      <c r="N44" s="41" t="s">
        <v>36</v>
      </c>
      <c r="O44" s="179"/>
      <c r="P44" s="115">
        <f t="shared" si="27"/>
        <v>0</v>
      </c>
      <c r="R44" s="180"/>
      <c r="S44" s="181"/>
      <c r="T44" s="176" t="s">
        <v>50</v>
      </c>
      <c r="U44" s="143"/>
      <c r="V44" s="182"/>
      <c r="W44" s="181"/>
      <c r="X44" s="178">
        <f t="shared" si="28"/>
        <v>0</v>
      </c>
      <c r="Y44" s="145"/>
    </row>
    <row r="45">
      <c r="H45" s="45"/>
      <c r="I45" s="41"/>
      <c r="J45" s="179"/>
      <c r="K45" s="115">
        <f t="shared" si="26"/>
        <v>0</v>
      </c>
      <c r="M45" s="45"/>
      <c r="N45" s="41" t="s">
        <v>37</v>
      </c>
      <c r="O45" s="179"/>
      <c r="P45" s="115">
        <f t="shared" si="27"/>
        <v>0</v>
      </c>
      <c r="R45" s="180"/>
      <c r="S45" s="181"/>
      <c r="T45" s="176" t="s">
        <v>8</v>
      </c>
      <c r="U45" s="143"/>
      <c r="V45" s="182"/>
      <c r="W45" s="181"/>
      <c r="X45" s="178">
        <f t="shared" si="28"/>
        <v>0</v>
      </c>
      <c r="Y45" s="145"/>
    </row>
    <row r="46">
      <c r="H46" s="46"/>
      <c r="I46" s="41"/>
      <c r="J46" s="183"/>
      <c r="K46" s="115">
        <f t="shared" si="26"/>
        <v>0</v>
      </c>
      <c r="M46" s="46"/>
      <c r="N46" s="41"/>
      <c r="O46" s="183"/>
      <c r="P46" s="115">
        <f t="shared" si="27"/>
        <v>0</v>
      </c>
      <c r="R46" s="184"/>
      <c r="S46" s="185"/>
      <c r="T46" s="176" t="s">
        <v>51</v>
      </c>
      <c r="U46" s="143"/>
      <c r="V46" s="186"/>
      <c r="W46" s="185"/>
      <c r="X46" s="178">
        <f t="shared" si="28"/>
        <v>0</v>
      </c>
      <c r="Y46" s="145"/>
    </row>
    <row r="47">
      <c r="H47" s="187" t="str">
        <f>IF(H41=0,"","총"&amp;H41)</f>
        <v>총🍪생필품</v>
      </c>
      <c r="I47" s="188"/>
      <c r="J47" s="175"/>
      <c r="K47" s="189">
        <f>SUM(K41:K46)</f>
        <v>0</v>
      </c>
      <c r="M47" s="187" t="str">
        <f>IF(M41=0,"","총"&amp;M41)</f>
        <v>총🍪여가비</v>
      </c>
      <c r="N47" s="188"/>
      <c r="O47" s="175"/>
      <c r="P47" s="189">
        <f>SUM(P41:P46)</f>
        <v>0</v>
      </c>
      <c r="R47" s="187" t="str">
        <f>IF(R41=0,"","총"&amp;R41)</f>
        <v>총🍪이벤트성</v>
      </c>
      <c r="S47" s="188"/>
      <c r="T47" s="188"/>
      <c r="U47" s="188"/>
      <c r="V47" s="188"/>
      <c r="W47" s="175"/>
      <c r="X47" s="190">
        <f>SUM(X41:X46)</f>
        <v>0</v>
      </c>
      <c r="Y47" s="145"/>
    </row>
    <row r="48">
      <c r="H48" s="184"/>
      <c r="I48" s="191"/>
      <c r="J48" s="185"/>
      <c r="K48" s="193">
        <f>K47-J41</f>
        <v>0</v>
      </c>
      <c r="M48" s="184"/>
      <c r="N48" s="191"/>
      <c r="O48" s="185"/>
      <c r="P48" s="193">
        <f>P47-O41</f>
        <v>0</v>
      </c>
      <c r="R48" s="184"/>
      <c r="S48" s="191"/>
      <c r="T48" s="191"/>
      <c r="U48" s="191"/>
      <c r="V48" s="191"/>
      <c r="W48" s="185"/>
      <c r="X48" s="194">
        <f>X47-V41</f>
        <v>0</v>
      </c>
      <c r="Y48" s="145"/>
    </row>
    <row r="49">
      <c r="H49" s="173" t="s">
        <v>25</v>
      </c>
      <c r="I49" s="41" t="s">
        <v>23</v>
      </c>
      <c r="J49" s="172"/>
      <c r="K49" s="115">
        <f t="shared" ref="K49:K54" si="29">SUMIFS($K$62:$K$500,$I$62:$I$500,$H$49,$J$62:$J$500,I49)</f>
        <v>0</v>
      </c>
      <c r="M49" s="173" t="s">
        <v>38</v>
      </c>
      <c r="N49" s="41" t="s">
        <v>33</v>
      </c>
      <c r="O49" s="172"/>
      <c r="P49" s="115">
        <f t="shared" ref="P49:P54" si="30">SUMIFS($K$62:$K$500,$I$62:$I$500,$M$49,$J$62:$J$500,N49)</f>
        <v>0</v>
      </c>
      <c r="R49" s="174" t="s">
        <v>52</v>
      </c>
      <c r="S49" s="175"/>
      <c r="T49" s="176" t="s">
        <v>47</v>
      </c>
      <c r="U49" s="143"/>
      <c r="V49" s="177"/>
      <c r="W49" s="175"/>
      <c r="X49" s="178">
        <f t="shared" ref="X49:X54" si="31">SUMIFS($K$62:$K$500,$I$62:$I$500,$R$49,$J$62:$J$500,T49)</f>
        <v>0</v>
      </c>
      <c r="Y49" s="145"/>
    </row>
    <row r="50">
      <c r="H50" s="45"/>
      <c r="I50" s="41" t="s">
        <v>24</v>
      </c>
      <c r="J50" s="179"/>
      <c r="K50" s="115">
        <f t="shared" si="29"/>
        <v>0</v>
      </c>
      <c r="M50" s="45"/>
      <c r="N50" s="41" t="s">
        <v>34</v>
      </c>
      <c r="O50" s="179"/>
      <c r="P50" s="115">
        <f t="shared" si="30"/>
        <v>0</v>
      </c>
      <c r="R50" s="180"/>
      <c r="S50" s="181"/>
      <c r="T50" s="176" t="s">
        <v>48</v>
      </c>
      <c r="U50" s="143"/>
      <c r="V50" s="182"/>
      <c r="W50" s="181"/>
      <c r="X50" s="178">
        <f t="shared" si="31"/>
        <v>0</v>
      </c>
      <c r="Y50" s="145"/>
    </row>
    <row r="51">
      <c r="H51" s="45"/>
      <c r="I51" s="41" t="s">
        <v>8</v>
      </c>
      <c r="J51" s="179"/>
      <c r="K51" s="115">
        <f t="shared" si="29"/>
        <v>0</v>
      </c>
      <c r="M51" s="45"/>
      <c r="N51" s="41" t="s">
        <v>35</v>
      </c>
      <c r="O51" s="179"/>
      <c r="P51" s="115">
        <f t="shared" si="30"/>
        <v>0</v>
      </c>
      <c r="R51" s="180"/>
      <c r="S51" s="181"/>
      <c r="T51" s="176" t="s">
        <v>49</v>
      </c>
      <c r="U51" s="143"/>
      <c r="V51" s="182"/>
      <c r="W51" s="181"/>
      <c r="X51" s="178">
        <f t="shared" si="31"/>
        <v>0</v>
      </c>
      <c r="Y51" s="145"/>
    </row>
    <row r="52">
      <c r="H52" s="45"/>
      <c r="I52" s="41"/>
      <c r="J52" s="179"/>
      <c r="K52" s="115">
        <f t="shared" si="29"/>
        <v>0</v>
      </c>
      <c r="M52" s="45"/>
      <c r="N52" s="41" t="s">
        <v>36</v>
      </c>
      <c r="O52" s="179"/>
      <c r="P52" s="115">
        <f t="shared" si="30"/>
        <v>0</v>
      </c>
      <c r="R52" s="180"/>
      <c r="S52" s="181"/>
      <c r="T52" s="176" t="s">
        <v>50</v>
      </c>
      <c r="U52" s="143"/>
      <c r="V52" s="182"/>
      <c r="W52" s="181"/>
      <c r="X52" s="178">
        <f t="shared" si="31"/>
        <v>0</v>
      </c>
      <c r="Y52" s="145"/>
    </row>
    <row r="53">
      <c r="H53" s="45"/>
      <c r="I53" s="41"/>
      <c r="J53" s="179"/>
      <c r="K53" s="115">
        <f t="shared" si="29"/>
        <v>0</v>
      </c>
      <c r="M53" s="45"/>
      <c r="N53" s="41" t="s">
        <v>37</v>
      </c>
      <c r="O53" s="179"/>
      <c r="P53" s="115">
        <f t="shared" si="30"/>
        <v>0</v>
      </c>
      <c r="R53" s="180"/>
      <c r="S53" s="181"/>
      <c r="T53" s="176" t="s">
        <v>8</v>
      </c>
      <c r="U53" s="143"/>
      <c r="V53" s="182"/>
      <c r="W53" s="181"/>
      <c r="X53" s="178">
        <f t="shared" si="31"/>
        <v>0</v>
      </c>
      <c r="Y53" s="145"/>
    </row>
    <row r="54">
      <c r="H54" s="46"/>
      <c r="I54" s="41"/>
      <c r="J54" s="183"/>
      <c r="K54" s="115">
        <f t="shared" si="29"/>
        <v>0</v>
      </c>
      <c r="M54" s="46"/>
      <c r="N54" s="41"/>
      <c r="O54" s="183"/>
      <c r="P54" s="115">
        <f t="shared" si="30"/>
        <v>0</v>
      </c>
      <c r="R54" s="184"/>
      <c r="S54" s="185"/>
      <c r="T54" s="176" t="s">
        <v>51</v>
      </c>
      <c r="U54" s="143"/>
      <c r="V54" s="186"/>
      <c r="W54" s="185"/>
      <c r="X54" s="178">
        <f t="shared" si="31"/>
        <v>0</v>
      </c>
      <c r="Y54" s="145"/>
    </row>
    <row r="55">
      <c r="H55" s="187" t="str">
        <f>IF(H49=0,"","총"&amp;H49)</f>
        <v>총🐻생필품</v>
      </c>
      <c r="I55" s="188"/>
      <c r="J55" s="175"/>
      <c r="K55" s="189">
        <f>SUM(K49:K54)</f>
        <v>0</v>
      </c>
      <c r="M55" s="187" t="str">
        <f>IF(M49=0,"","총"&amp;M49)</f>
        <v>총🐻여가비</v>
      </c>
      <c r="N55" s="188"/>
      <c r="O55" s="175"/>
      <c r="P55" s="189">
        <f>SUM(P49:P54)</f>
        <v>0</v>
      </c>
      <c r="R55" s="187" t="str">
        <f>IF(R49=0,"","총"&amp;R49)</f>
        <v>총🐻 이벤트성</v>
      </c>
      <c r="S55" s="188"/>
      <c r="T55" s="188"/>
      <c r="U55" s="188"/>
      <c r="V55" s="188"/>
      <c r="W55" s="175"/>
      <c r="X55" s="190">
        <f>SUM(X49:X54)</f>
        <v>0</v>
      </c>
      <c r="Y55" s="145"/>
    </row>
    <row r="56">
      <c r="H56" s="196"/>
      <c r="I56" s="197"/>
      <c r="J56" s="198"/>
      <c r="K56" s="200">
        <f>K55-J49</f>
        <v>0</v>
      </c>
      <c r="M56" s="196"/>
      <c r="N56" s="197"/>
      <c r="O56" s="198"/>
      <c r="P56" s="200">
        <f>P55-O49</f>
        <v>0</v>
      </c>
      <c r="R56" s="196"/>
      <c r="S56" s="197"/>
      <c r="T56" s="197"/>
      <c r="U56" s="197"/>
      <c r="V56" s="197"/>
      <c r="W56" s="198"/>
      <c r="X56" s="201">
        <f>X55-V49</f>
        <v>0</v>
      </c>
      <c r="Y56" s="55"/>
    </row>
    <row r="60">
      <c r="V60" s="202" t="s">
        <v>145</v>
      </c>
      <c r="W60" s="8"/>
      <c r="X60" s="203">
        <f>SUM(J49,J41,J33,J25,O25,O33,O41,O49,V49,V41,V33,V25)</f>
        <v>0</v>
      </c>
      <c r="Y60" s="8"/>
    </row>
    <row r="61">
      <c r="H61" s="204" t="s">
        <v>146</v>
      </c>
      <c r="I61" s="205" t="s">
        <v>1</v>
      </c>
      <c r="J61" s="205" t="s">
        <v>2</v>
      </c>
      <c r="K61" s="205" t="s">
        <v>128</v>
      </c>
      <c r="L61" s="206" t="s">
        <v>53</v>
      </c>
      <c r="M61" s="169"/>
      <c r="N61" s="206" t="s">
        <v>147</v>
      </c>
      <c r="O61" s="141"/>
      <c r="P61" s="141"/>
      <c r="Q61" s="169"/>
      <c r="R61" s="206" t="s">
        <v>148</v>
      </c>
      <c r="S61" s="141"/>
      <c r="T61" s="53"/>
      <c r="V61" s="202" t="s">
        <v>149</v>
      </c>
      <c r="W61" s="8"/>
      <c r="X61" s="207">
        <f>X60-SUM($K$31+$K$39+$K$47+$K$55+$P$31+$P$39+$P$47+$P$55+$X$31+$X$39+$X$47+$X$55)</f>
        <v>0</v>
      </c>
      <c r="Y61" s="8"/>
    </row>
    <row r="62">
      <c r="H62" s="208"/>
      <c r="I62" s="209"/>
      <c r="J62" s="209"/>
      <c r="K62" s="210"/>
      <c r="L62" s="211"/>
      <c r="M62" s="143"/>
      <c r="N62" s="213"/>
      <c r="O62" s="212"/>
      <c r="P62" s="212"/>
      <c r="Q62" s="143"/>
      <c r="R62" s="211"/>
      <c r="S62" s="212"/>
      <c r="T62" s="145"/>
      <c r="AB62" s="214" t="str">
        <f>IFERROR(__xludf.DUMMYFUNCTION("FILTER('설정시트'!$D$7:$L$20,'설정시트'!$C$7:$C$20=I62)"),"#N/A")</f>
        <v>#N/A</v>
      </c>
      <c r="AC62" s="214"/>
      <c r="AD62" s="214"/>
      <c r="AE62" s="214"/>
      <c r="AF62" s="214"/>
      <c r="AG62" s="214"/>
      <c r="AH62" s="214"/>
      <c r="AI62" s="214"/>
    </row>
    <row r="63">
      <c r="H63" s="208"/>
      <c r="I63" s="209"/>
      <c r="J63" s="209"/>
      <c r="K63" s="210"/>
      <c r="L63" s="211"/>
      <c r="M63" s="143"/>
      <c r="N63" s="213"/>
      <c r="O63" s="212"/>
      <c r="P63" s="212"/>
      <c r="Q63" s="143"/>
      <c r="R63" s="213"/>
      <c r="S63" s="212"/>
      <c r="T63" s="145"/>
      <c r="AB63" s="214" t="str">
        <f>IFERROR(__xludf.DUMMYFUNCTION("FILTER('설정시트'!$D$7:$L$20,'설정시트'!$C$7:$C$20=I63)"),"#N/A")</f>
        <v>#N/A</v>
      </c>
      <c r="AC63" s="214"/>
      <c r="AD63" s="214"/>
      <c r="AE63" s="214"/>
      <c r="AF63" s="214"/>
      <c r="AG63" s="214"/>
      <c r="AH63" s="214"/>
      <c r="AI63" s="214"/>
    </row>
    <row r="64">
      <c r="H64" s="208"/>
      <c r="I64" s="209"/>
      <c r="J64" s="209"/>
      <c r="K64" s="210"/>
      <c r="L64" s="211"/>
      <c r="M64" s="143"/>
      <c r="N64" s="213"/>
      <c r="O64" s="212"/>
      <c r="P64" s="212"/>
      <c r="Q64" s="143"/>
      <c r="R64" s="213"/>
      <c r="S64" s="212"/>
      <c r="T64" s="145"/>
      <c r="AB64" s="214" t="str">
        <f>IFERROR(__xludf.DUMMYFUNCTION("FILTER('설정시트'!$D$7:$L$20,'설정시트'!$C$7:$C$20=I64)"),"#N/A")</f>
        <v>#N/A</v>
      </c>
      <c r="AC64" s="214"/>
      <c r="AD64" s="214"/>
      <c r="AE64" s="214"/>
      <c r="AF64" s="214"/>
      <c r="AG64" s="214"/>
      <c r="AH64" s="214"/>
      <c r="AI64" s="214"/>
    </row>
    <row r="65">
      <c r="H65" s="208"/>
      <c r="I65" s="209"/>
      <c r="J65" s="209"/>
      <c r="K65" s="210"/>
      <c r="L65" s="211"/>
      <c r="M65" s="143"/>
      <c r="N65" s="213"/>
      <c r="O65" s="212"/>
      <c r="P65" s="212"/>
      <c r="Q65" s="143"/>
      <c r="R65" s="213"/>
      <c r="S65" s="212"/>
      <c r="T65" s="145"/>
      <c r="AB65" s="214" t="str">
        <f>IFERROR(__xludf.DUMMYFUNCTION("FILTER('설정시트'!$D$7:$L$20,'설정시트'!$C$7:$C$20=I65)"),"#N/A")</f>
        <v>#N/A</v>
      </c>
      <c r="AC65" s="214"/>
      <c r="AD65" s="214"/>
      <c r="AE65" s="214"/>
      <c r="AF65" s="214"/>
      <c r="AG65" s="214"/>
      <c r="AH65" s="214"/>
      <c r="AI65" s="214"/>
    </row>
    <row r="66">
      <c r="H66" s="208"/>
      <c r="I66" s="209"/>
      <c r="J66" s="209"/>
      <c r="K66" s="210"/>
      <c r="L66" s="211"/>
      <c r="M66" s="143"/>
      <c r="N66" s="213"/>
      <c r="O66" s="212"/>
      <c r="P66" s="212"/>
      <c r="Q66" s="143"/>
      <c r="R66" s="213"/>
      <c r="S66" s="212"/>
      <c r="T66" s="145"/>
      <c r="AB66" s="214" t="str">
        <f>IFERROR(__xludf.DUMMYFUNCTION("FILTER('설정시트'!$D$7:$L$20,'설정시트'!$C$7:$C$20=I66)"),"#N/A")</f>
        <v>#N/A</v>
      </c>
      <c r="AC66" s="214"/>
      <c r="AD66" s="214"/>
      <c r="AE66" s="214"/>
      <c r="AF66" s="214"/>
      <c r="AG66" s="214"/>
      <c r="AH66" s="214"/>
      <c r="AI66" s="214"/>
    </row>
    <row r="67">
      <c r="H67" s="208"/>
      <c r="I67" s="209"/>
      <c r="J67" s="209"/>
      <c r="K67" s="210"/>
      <c r="L67" s="211"/>
      <c r="M67" s="143"/>
      <c r="N67" s="213"/>
      <c r="O67" s="212"/>
      <c r="P67" s="212"/>
      <c r="Q67" s="143"/>
      <c r="R67" s="213"/>
      <c r="S67" s="212"/>
      <c r="T67" s="145"/>
      <c r="AB67" s="214" t="str">
        <f>IFERROR(__xludf.DUMMYFUNCTION("FILTER('설정시트'!$D$7:$L$20,'설정시트'!$C$7:$C$20=I67)"),"#N/A")</f>
        <v>#N/A</v>
      </c>
      <c r="AC67" s="214"/>
      <c r="AD67" s="214"/>
      <c r="AE67" s="214"/>
      <c r="AF67" s="214"/>
      <c r="AG67" s="214"/>
      <c r="AH67" s="214"/>
      <c r="AI67" s="214"/>
    </row>
    <row r="68">
      <c r="H68" s="208"/>
      <c r="I68" s="209"/>
      <c r="J68" s="209"/>
      <c r="K68" s="210"/>
      <c r="L68" s="211"/>
      <c r="M68" s="143"/>
      <c r="N68" s="213"/>
      <c r="O68" s="212"/>
      <c r="P68" s="212"/>
      <c r="Q68" s="143"/>
      <c r="R68" s="213"/>
      <c r="S68" s="212"/>
      <c r="T68" s="145"/>
      <c r="AB68" s="214" t="str">
        <f>IFERROR(__xludf.DUMMYFUNCTION("FILTER('설정시트'!$D$7:$L$20,'설정시트'!$C$7:$C$20=I68)"),"#N/A")</f>
        <v>#N/A</v>
      </c>
      <c r="AC68" s="214"/>
      <c r="AD68" s="214"/>
      <c r="AE68" s="214"/>
      <c r="AF68" s="214"/>
      <c r="AG68" s="214"/>
      <c r="AH68" s="214"/>
      <c r="AI68" s="214"/>
    </row>
    <row r="69">
      <c r="H69" s="208"/>
      <c r="I69" s="209"/>
      <c r="J69" s="209"/>
      <c r="K69" s="210"/>
      <c r="L69" s="211"/>
      <c r="M69" s="143"/>
      <c r="N69" s="213"/>
      <c r="O69" s="212"/>
      <c r="P69" s="212"/>
      <c r="Q69" s="143"/>
      <c r="R69" s="213"/>
      <c r="S69" s="212"/>
      <c r="T69" s="145"/>
      <c r="AB69" s="214" t="str">
        <f>IFERROR(__xludf.DUMMYFUNCTION("FILTER('설정시트'!$D$7:$L$20,'설정시트'!$C$7:$C$20=I69)"),"#N/A")</f>
        <v>#N/A</v>
      </c>
      <c r="AC69" s="214"/>
      <c r="AD69" s="214"/>
      <c r="AE69" s="214"/>
      <c r="AF69" s="214"/>
      <c r="AG69" s="214"/>
      <c r="AH69" s="214"/>
      <c r="AI69" s="214"/>
    </row>
    <row r="70">
      <c r="H70" s="208"/>
      <c r="I70" s="209"/>
      <c r="J70" s="209"/>
      <c r="K70" s="210"/>
      <c r="L70" s="211"/>
      <c r="M70" s="143"/>
      <c r="N70" s="213"/>
      <c r="O70" s="212"/>
      <c r="P70" s="212"/>
      <c r="Q70" s="143"/>
      <c r="R70" s="213"/>
      <c r="S70" s="212"/>
      <c r="T70" s="145"/>
      <c r="AB70" s="214" t="str">
        <f>IFERROR(__xludf.DUMMYFUNCTION("FILTER('설정시트'!$D$7:$L$20,'설정시트'!$C$7:$C$20=I70)"),"#N/A")</f>
        <v>#N/A</v>
      </c>
      <c r="AC70" s="214"/>
      <c r="AD70" s="214"/>
      <c r="AE70" s="214"/>
      <c r="AF70" s="214"/>
      <c r="AG70" s="214"/>
      <c r="AH70" s="214"/>
      <c r="AI70" s="214"/>
    </row>
    <row r="71">
      <c r="H71" s="208"/>
      <c r="I71" s="209"/>
      <c r="J71" s="209"/>
      <c r="K71" s="210"/>
      <c r="L71" s="211"/>
      <c r="M71" s="143"/>
      <c r="N71" s="213"/>
      <c r="O71" s="212"/>
      <c r="P71" s="212"/>
      <c r="Q71" s="143"/>
      <c r="R71" s="213"/>
      <c r="S71" s="212"/>
      <c r="T71" s="145"/>
      <c r="AB71" s="214" t="str">
        <f>IFERROR(__xludf.DUMMYFUNCTION("FILTER('설정시트'!$D$7:$L$20,'설정시트'!$C$7:$C$20=I71)"),"#N/A")</f>
        <v>#N/A</v>
      </c>
      <c r="AC71" s="214"/>
      <c r="AD71" s="214"/>
      <c r="AE71" s="214"/>
      <c r="AF71" s="214"/>
      <c r="AG71" s="214"/>
      <c r="AH71" s="214"/>
      <c r="AI71" s="214"/>
    </row>
    <row r="72">
      <c r="H72" s="208"/>
      <c r="I72" s="209"/>
      <c r="J72" s="209"/>
      <c r="K72" s="210"/>
      <c r="L72" s="211"/>
      <c r="M72" s="143"/>
      <c r="N72" s="213"/>
      <c r="O72" s="212"/>
      <c r="P72" s="212"/>
      <c r="Q72" s="143"/>
      <c r="R72" s="213"/>
      <c r="S72" s="212"/>
      <c r="T72" s="145"/>
      <c r="AB72" s="214" t="str">
        <f>IFERROR(__xludf.DUMMYFUNCTION("FILTER('설정시트'!$D$7:$L$20,'설정시트'!$C$7:$C$20=I72)"),"#N/A")</f>
        <v>#N/A</v>
      </c>
      <c r="AC72" s="214"/>
      <c r="AD72" s="214"/>
      <c r="AE72" s="214"/>
      <c r="AF72" s="214"/>
      <c r="AG72" s="214"/>
      <c r="AH72" s="214"/>
      <c r="AI72" s="214"/>
    </row>
    <row r="73">
      <c r="H73" s="208"/>
      <c r="I73" s="209"/>
      <c r="J73" s="209"/>
      <c r="K73" s="210"/>
      <c r="L73" s="211"/>
      <c r="M73" s="143"/>
      <c r="N73" s="213"/>
      <c r="O73" s="212"/>
      <c r="P73" s="212"/>
      <c r="Q73" s="143"/>
      <c r="R73" s="213"/>
      <c r="S73" s="212"/>
      <c r="T73" s="145"/>
      <c r="AB73" s="214" t="str">
        <f>IFERROR(__xludf.DUMMYFUNCTION("FILTER('설정시트'!$D$7:$L$20,'설정시트'!$C$7:$C$20=I73)"),"#N/A")</f>
        <v>#N/A</v>
      </c>
      <c r="AC73" s="214"/>
      <c r="AD73" s="214"/>
      <c r="AE73" s="214"/>
      <c r="AF73" s="214"/>
      <c r="AG73" s="214"/>
      <c r="AH73" s="214"/>
      <c r="AI73" s="214"/>
    </row>
    <row r="74">
      <c r="H74" s="208"/>
      <c r="I74" s="209"/>
      <c r="J74" s="209"/>
      <c r="K74" s="210"/>
      <c r="L74" s="211"/>
      <c r="M74" s="143"/>
      <c r="N74" s="213"/>
      <c r="O74" s="212"/>
      <c r="P74" s="212"/>
      <c r="Q74" s="143"/>
      <c r="R74" s="213"/>
      <c r="S74" s="212"/>
      <c r="T74" s="145"/>
      <c r="AB74" s="214" t="str">
        <f>IFERROR(__xludf.DUMMYFUNCTION("FILTER('설정시트'!$D$7:$L$20,'설정시트'!$C$7:$C$20=I74)"),"#N/A")</f>
        <v>#N/A</v>
      </c>
      <c r="AC74" s="214"/>
      <c r="AD74" s="214"/>
      <c r="AE74" s="214"/>
      <c r="AF74" s="214"/>
      <c r="AG74" s="214"/>
      <c r="AH74" s="214"/>
      <c r="AI74" s="214"/>
    </row>
    <row r="75">
      <c r="H75" s="208"/>
      <c r="I75" s="209"/>
      <c r="J75" s="209"/>
      <c r="K75" s="210"/>
      <c r="L75" s="211"/>
      <c r="M75" s="143"/>
      <c r="N75" s="213"/>
      <c r="O75" s="212"/>
      <c r="P75" s="212"/>
      <c r="Q75" s="143"/>
      <c r="R75" s="213"/>
      <c r="S75" s="212"/>
      <c r="T75" s="145"/>
      <c r="AB75" s="214" t="str">
        <f>IFERROR(__xludf.DUMMYFUNCTION("FILTER('설정시트'!$D$7:$L$20,'설정시트'!$C$7:$C$20=I75)"),"#N/A")</f>
        <v>#N/A</v>
      </c>
      <c r="AC75" s="214"/>
      <c r="AD75" s="214"/>
      <c r="AE75" s="214"/>
      <c r="AF75" s="214"/>
      <c r="AG75" s="214"/>
      <c r="AH75" s="214"/>
      <c r="AI75" s="214"/>
    </row>
    <row r="76">
      <c r="H76" s="208"/>
      <c r="I76" s="209"/>
      <c r="J76" s="209"/>
      <c r="K76" s="210"/>
      <c r="L76" s="211"/>
      <c r="M76" s="143"/>
      <c r="N76" s="213"/>
      <c r="O76" s="212"/>
      <c r="P76" s="212"/>
      <c r="Q76" s="143"/>
      <c r="R76" s="213"/>
      <c r="S76" s="212"/>
      <c r="T76" s="145"/>
      <c r="AB76" s="214" t="str">
        <f>IFERROR(__xludf.DUMMYFUNCTION("FILTER('설정시트'!$D$7:$L$20,'설정시트'!$C$7:$C$20=I76)"),"#N/A")</f>
        <v>#N/A</v>
      </c>
      <c r="AC76" s="214"/>
      <c r="AD76" s="214"/>
      <c r="AE76" s="214"/>
      <c r="AF76" s="214"/>
      <c r="AG76" s="214"/>
      <c r="AH76" s="214"/>
      <c r="AI76" s="214"/>
    </row>
    <row r="77">
      <c r="H77" s="208"/>
      <c r="I77" s="209"/>
      <c r="J77" s="209"/>
      <c r="K77" s="210"/>
      <c r="L77" s="211"/>
      <c r="M77" s="143"/>
      <c r="N77" s="213"/>
      <c r="O77" s="212"/>
      <c r="P77" s="212"/>
      <c r="Q77" s="143"/>
      <c r="R77" s="213"/>
      <c r="S77" s="212"/>
      <c r="T77" s="145"/>
      <c r="AB77" s="214" t="str">
        <f>IFERROR(__xludf.DUMMYFUNCTION("FILTER('설정시트'!$D$7:$L$20,'설정시트'!$C$7:$C$20=I77)"),"#N/A")</f>
        <v>#N/A</v>
      </c>
      <c r="AC77" s="214"/>
      <c r="AD77" s="214"/>
      <c r="AE77" s="214"/>
      <c r="AF77" s="214"/>
      <c r="AG77" s="214"/>
      <c r="AH77" s="214"/>
      <c r="AI77" s="214"/>
    </row>
    <row r="78">
      <c r="H78" s="208"/>
      <c r="I78" s="209"/>
      <c r="J78" s="209"/>
      <c r="K78" s="210"/>
      <c r="L78" s="211"/>
      <c r="M78" s="143"/>
      <c r="N78" s="213"/>
      <c r="O78" s="212"/>
      <c r="P78" s="212"/>
      <c r="Q78" s="143"/>
      <c r="R78" s="213"/>
      <c r="S78" s="212"/>
      <c r="T78" s="145"/>
      <c r="AB78" s="214" t="str">
        <f>IFERROR(__xludf.DUMMYFUNCTION("FILTER('설정시트'!$D$7:$L$20,'설정시트'!$C$7:$C$20=I78)"),"#N/A")</f>
        <v>#N/A</v>
      </c>
      <c r="AC78" s="214"/>
      <c r="AD78" s="214"/>
      <c r="AE78" s="214"/>
      <c r="AF78" s="214"/>
      <c r="AG78" s="214"/>
      <c r="AH78" s="214"/>
      <c r="AI78" s="214"/>
    </row>
    <row r="79">
      <c r="H79" s="208"/>
      <c r="I79" s="209"/>
      <c r="J79" s="209"/>
      <c r="K79" s="210"/>
      <c r="L79" s="211"/>
      <c r="M79" s="143"/>
      <c r="N79" s="213"/>
      <c r="O79" s="212"/>
      <c r="P79" s="212"/>
      <c r="Q79" s="143"/>
      <c r="R79" s="213"/>
      <c r="S79" s="212"/>
      <c r="T79" s="145"/>
      <c r="AB79" s="214" t="str">
        <f>IFERROR(__xludf.DUMMYFUNCTION("FILTER('설정시트'!$D$7:$L$20,'설정시트'!$C$7:$C$20=I79)"),"#N/A")</f>
        <v>#N/A</v>
      </c>
      <c r="AC79" s="214"/>
      <c r="AD79" s="214"/>
      <c r="AE79" s="214"/>
      <c r="AF79" s="214"/>
      <c r="AG79" s="214"/>
      <c r="AH79" s="214"/>
      <c r="AI79" s="214"/>
    </row>
    <row r="80">
      <c r="H80" s="208"/>
      <c r="I80" s="209"/>
      <c r="J80" s="209"/>
      <c r="K80" s="210"/>
      <c r="L80" s="211"/>
      <c r="M80" s="143"/>
      <c r="N80" s="213"/>
      <c r="O80" s="212"/>
      <c r="P80" s="212"/>
      <c r="Q80" s="143"/>
      <c r="R80" s="213"/>
      <c r="S80" s="212"/>
      <c r="T80" s="145"/>
      <c r="AB80" s="214" t="str">
        <f>IFERROR(__xludf.DUMMYFUNCTION("FILTER('설정시트'!$D$7:$L$20,'설정시트'!$C$7:$C$20=I80)"),"#N/A")</f>
        <v>#N/A</v>
      </c>
      <c r="AC80" s="214"/>
      <c r="AD80" s="214"/>
      <c r="AE80" s="214"/>
      <c r="AF80" s="214"/>
      <c r="AG80" s="214"/>
      <c r="AH80" s="214"/>
      <c r="AI80" s="214"/>
    </row>
    <row r="81">
      <c r="H81" s="208"/>
      <c r="I81" s="209"/>
      <c r="J81" s="209"/>
      <c r="K81" s="210"/>
      <c r="L81" s="211"/>
      <c r="M81" s="143"/>
      <c r="N81" s="213"/>
      <c r="O81" s="212"/>
      <c r="P81" s="212"/>
      <c r="Q81" s="143"/>
      <c r="R81" s="213"/>
      <c r="S81" s="212"/>
      <c r="T81" s="145"/>
      <c r="AB81" s="214" t="str">
        <f>IFERROR(__xludf.DUMMYFUNCTION("FILTER('설정시트'!$D$7:$L$20,'설정시트'!$C$7:$C$20=I81)"),"#N/A")</f>
        <v>#N/A</v>
      </c>
      <c r="AC81" s="214"/>
      <c r="AD81" s="214"/>
      <c r="AE81" s="214"/>
      <c r="AF81" s="214"/>
      <c r="AG81" s="214"/>
      <c r="AH81" s="214"/>
      <c r="AI81" s="214"/>
    </row>
    <row r="82">
      <c r="H82" s="208"/>
      <c r="I82" s="209"/>
      <c r="J82" s="209"/>
      <c r="K82" s="210"/>
      <c r="L82" s="211"/>
      <c r="M82" s="143"/>
      <c r="N82" s="213"/>
      <c r="O82" s="212"/>
      <c r="P82" s="212"/>
      <c r="Q82" s="143"/>
      <c r="R82" s="213"/>
      <c r="S82" s="212"/>
      <c r="T82" s="145"/>
      <c r="AB82" s="214" t="str">
        <f>IFERROR(__xludf.DUMMYFUNCTION("FILTER('설정시트'!$D$7:$L$20,'설정시트'!$C$7:$C$20=I82)"),"#N/A")</f>
        <v>#N/A</v>
      </c>
      <c r="AC82" s="214"/>
      <c r="AD82" s="214"/>
      <c r="AE82" s="214"/>
      <c r="AF82" s="214"/>
      <c r="AG82" s="214"/>
      <c r="AH82" s="214"/>
      <c r="AI82" s="214"/>
    </row>
    <row r="83">
      <c r="H83" s="208"/>
      <c r="I83" s="209"/>
      <c r="J83" s="209"/>
      <c r="K83" s="210"/>
      <c r="L83" s="211"/>
      <c r="M83" s="143"/>
      <c r="N83" s="213"/>
      <c r="O83" s="212"/>
      <c r="P83" s="212"/>
      <c r="Q83" s="143"/>
      <c r="R83" s="213"/>
      <c r="S83" s="212"/>
      <c r="T83" s="145"/>
      <c r="AB83" s="214" t="str">
        <f>IFERROR(__xludf.DUMMYFUNCTION("FILTER('설정시트'!$D$7:$L$20,'설정시트'!$C$7:$C$20=I83)"),"#N/A")</f>
        <v>#N/A</v>
      </c>
      <c r="AC83" s="214"/>
      <c r="AD83" s="214"/>
      <c r="AE83" s="214"/>
      <c r="AF83" s="214"/>
      <c r="AG83" s="214"/>
      <c r="AH83" s="214"/>
      <c r="AI83" s="214"/>
    </row>
    <row r="84">
      <c r="H84" s="208"/>
      <c r="I84" s="209"/>
      <c r="J84" s="209"/>
      <c r="K84" s="210"/>
      <c r="L84" s="211"/>
      <c r="M84" s="143"/>
      <c r="N84" s="213"/>
      <c r="O84" s="212"/>
      <c r="P84" s="212"/>
      <c r="Q84" s="143"/>
      <c r="R84" s="213"/>
      <c r="S84" s="212"/>
      <c r="T84" s="145"/>
      <c r="AB84" s="214" t="str">
        <f>IFERROR(__xludf.DUMMYFUNCTION("FILTER('설정시트'!$D$7:$L$20,'설정시트'!$C$7:$C$20=I84)"),"#N/A")</f>
        <v>#N/A</v>
      </c>
      <c r="AC84" s="214"/>
      <c r="AD84" s="214"/>
      <c r="AE84" s="214"/>
      <c r="AF84" s="214"/>
      <c r="AG84" s="214"/>
      <c r="AH84" s="214"/>
      <c r="AI84" s="214"/>
    </row>
    <row r="85">
      <c r="H85" s="208"/>
      <c r="I85" s="209"/>
      <c r="J85" s="209"/>
      <c r="K85" s="210"/>
      <c r="L85" s="211"/>
      <c r="M85" s="143"/>
      <c r="N85" s="213"/>
      <c r="O85" s="212"/>
      <c r="P85" s="212"/>
      <c r="Q85" s="143"/>
      <c r="R85" s="213"/>
      <c r="S85" s="212"/>
      <c r="T85" s="145"/>
      <c r="AB85" s="214" t="str">
        <f>IFERROR(__xludf.DUMMYFUNCTION("FILTER('설정시트'!$D$7:$L$20,'설정시트'!$C$7:$C$20=I85)"),"#N/A")</f>
        <v>#N/A</v>
      </c>
      <c r="AC85" s="214"/>
      <c r="AD85" s="214"/>
      <c r="AE85" s="214"/>
      <c r="AF85" s="214"/>
      <c r="AG85" s="214"/>
      <c r="AH85" s="214"/>
      <c r="AI85" s="214"/>
    </row>
    <row r="86">
      <c r="H86" s="208"/>
      <c r="I86" s="209"/>
      <c r="J86" s="209"/>
      <c r="K86" s="210"/>
      <c r="L86" s="211"/>
      <c r="M86" s="143"/>
      <c r="N86" s="213"/>
      <c r="O86" s="212"/>
      <c r="P86" s="212"/>
      <c r="Q86" s="143"/>
      <c r="R86" s="213"/>
      <c r="S86" s="212"/>
      <c r="T86" s="145"/>
      <c r="AB86" s="214" t="str">
        <f>IFERROR(__xludf.DUMMYFUNCTION("FILTER('설정시트'!$D$7:$L$20,'설정시트'!$C$7:$C$20=I86)"),"#N/A")</f>
        <v>#N/A</v>
      </c>
      <c r="AC86" s="214"/>
      <c r="AD86" s="214"/>
      <c r="AE86" s="214"/>
      <c r="AF86" s="214"/>
      <c r="AG86" s="214"/>
      <c r="AH86" s="214"/>
      <c r="AI86" s="214"/>
    </row>
    <row r="87">
      <c r="H87" s="208"/>
      <c r="I87" s="209"/>
      <c r="J87" s="209"/>
      <c r="K87" s="210"/>
      <c r="L87" s="211"/>
      <c r="M87" s="143"/>
      <c r="N87" s="213"/>
      <c r="O87" s="212"/>
      <c r="P87" s="212"/>
      <c r="Q87" s="143"/>
      <c r="R87" s="213"/>
      <c r="S87" s="212"/>
      <c r="T87" s="145"/>
      <c r="AB87" s="214" t="str">
        <f>IFERROR(__xludf.DUMMYFUNCTION("FILTER('설정시트'!$D$7:$L$20,'설정시트'!$C$7:$C$20=I87)"),"#N/A")</f>
        <v>#N/A</v>
      </c>
      <c r="AC87" s="214"/>
      <c r="AD87" s="214"/>
      <c r="AE87" s="214"/>
      <c r="AF87" s="214"/>
      <c r="AG87" s="214"/>
      <c r="AH87" s="214"/>
      <c r="AI87" s="214"/>
    </row>
    <row r="88">
      <c r="H88" s="208"/>
      <c r="I88" s="209"/>
      <c r="J88" s="209"/>
      <c r="K88" s="210"/>
      <c r="L88" s="211"/>
      <c r="M88" s="143"/>
      <c r="N88" s="213"/>
      <c r="O88" s="212"/>
      <c r="P88" s="212"/>
      <c r="Q88" s="143"/>
      <c r="R88" s="213"/>
      <c r="S88" s="212"/>
      <c r="T88" s="145"/>
      <c r="AB88" s="214" t="str">
        <f>IFERROR(__xludf.DUMMYFUNCTION("FILTER('설정시트'!$D$7:$L$20,'설정시트'!$C$7:$C$20=I88)"),"#N/A")</f>
        <v>#N/A</v>
      </c>
      <c r="AC88" s="214"/>
      <c r="AD88" s="214"/>
      <c r="AE88" s="214"/>
      <c r="AF88" s="214"/>
      <c r="AG88" s="214"/>
      <c r="AH88" s="214"/>
      <c r="AI88" s="214"/>
    </row>
    <row r="89">
      <c r="H89" s="208"/>
      <c r="I89" s="209"/>
      <c r="J89" s="209"/>
      <c r="K89" s="210"/>
      <c r="L89" s="211"/>
      <c r="M89" s="143"/>
      <c r="N89" s="213"/>
      <c r="O89" s="212"/>
      <c r="P89" s="212"/>
      <c r="Q89" s="143"/>
      <c r="R89" s="213"/>
      <c r="S89" s="212"/>
      <c r="T89" s="145"/>
      <c r="AB89" s="214" t="str">
        <f>IFERROR(__xludf.DUMMYFUNCTION("FILTER('설정시트'!$D$7:$L$20,'설정시트'!$C$7:$C$20=I89)"),"#N/A")</f>
        <v>#N/A</v>
      </c>
      <c r="AC89" s="214"/>
      <c r="AD89" s="214"/>
      <c r="AE89" s="214"/>
      <c r="AF89" s="214"/>
      <c r="AG89" s="214"/>
      <c r="AH89" s="214"/>
      <c r="AI89" s="214"/>
    </row>
    <row r="90">
      <c r="H90" s="208"/>
      <c r="I90" s="209"/>
      <c r="J90" s="209"/>
      <c r="K90" s="210"/>
      <c r="L90" s="211"/>
      <c r="M90" s="143"/>
      <c r="N90" s="213"/>
      <c r="O90" s="212"/>
      <c r="P90" s="212"/>
      <c r="Q90" s="143"/>
      <c r="R90" s="213"/>
      <c r="S90" s="212"/>
      <c r="T90" s="145"/>
      <c r="AB90" s="214" t="str">
        <f>IFERROR(__xludf.DUMMYFUNCTION("FILTER('설정시트'!$D$7:$L$20,'설정시트'!$C$7:$C$20=I90)"),"#N/A")</f>
        <v>#N/A</v>
      </c>
      <c r="AC90" s="214"/>
      <c r="AD90" s="214"/>
      <c r="AE90" s="214"/>
      <c r="AF90" s="214"/>
      <c r="AG90" s="214"/>
      <c r="AH90" s="214"/>
      <c r="AI90" s="214"/>
    </row>
    <row r="91">
      <c r="H91" s="208"/>
      <c r="I91" s="209"/>
      <c r="J91" s="209"/>
      <c r="K91" s="210"/>
      <c r="L91" s="211"/>
      <c r="M91" s="143"/>
      <c r="N91" s="213"/>
      <c r="O91" s="212"/>
      <c r="P91" s="212"/>
      <c r="Q91" s="143"/>
      <c r="R91" s="213"/>
      <c r="S91" s="212"/>
      <c r="T91" s="145"/>
      <c r="AB91" s="214" t="str">
        <f>IFERROR(__xludf.DUMMYFUNCTION("FILTER('설정시트'!$D$7:$L$20,'설정시트'!$C$7:$C$20=I91)"),"#N/A")</f>
        <v>#N/A</v>
      </c>
      <c r="AC91" s="214"/>
      <c r="AD91" s="214"/>
      <c r="AE91" s="214"/>
      <c r="AF91" s="214"/>
      <c r="AG91" s="214"/>
      <c r="AH91" s="214"/>
      <c r="AI91" s="214"/>
    </row>
    <row r="92">
      <c r="H92" s="208"/>
      <c r="I92" s="209"/>
      <c r="J92" s="209"/>
      <c r="K92" s="210"/>
      <c r="L92" s="211"/>
      <c r="M92" s="143"/>
      <c r="N92" s="213"/>
      <c r="O92" s="212"/>
      <c r="P92" s="212"/>
      <c r="Q92" s="143"/>
      <c r="R92" s="213"/>
      <c r="S92" s="212"/>
      <c r="T92" s="145"/>
      <c r="AB92" s="214" t="str">
        <f>IFERROR(__xludf.DUMMYFUNCTION("FILTER('설정시트'!$D$7:$L$20,'설정시트'!$C$7:$C$20=I92)"),"#N/A")</f>
        <v>#N/A</v>
      </c>
      <c r="AC92" s="214"/>
      <c r="AD92" s="214"/>
      <c r="AE92" s="214"/>
      <c r="AF92" s="214"/>
      <c r="AG92" s="214"/>
      <c r="AH92" s="214"/>
      <c r="AI92" s="214"/>
    </row>
    <row r="93">
      <c r="H93" s="208"/>
      <c r="I93" s="209"/>
      <c r="J93" s="209"/>
      <c r="K93" s="210"/>
      <c r="L93" s="211"/>
      <c r="M93" s="143"/>
      <c r="N93" s="213"/>
      <c r="O93" s="212"/>
      <c r="P93" s="212"/>
      <c r="Q93" s="143"/>
      <c r="R93" s="213"/>
      <c r="S93" s="212"/>
      <c r="T93" s="145"/>
      <c r="AB93" s="214" t="str">
        <f>IFERROR(__xludf.DUMMYFUNCTION("FILTER('설정시트'!$D$7:$L$20,'설정시트'!$C$7:$C$20=I93)"),"#N/A")</f>
        <v>#N/A</v>
      </c>
      <c r="AC93" s="214"/>
      <c r="AD93" s="214"/>
      <c r="AE93" s="214"/>
      <c r="AF93" s="214"/>
      <c r="AG93" s="214"/>
      <c r="AH93" s="214"/>
      <c r="AI93" s="214"/>
    </row>
    <row r="94">
      <c r="H94" s="208"/>
      <c r="I94" s="209"/>
      <c r="J94" s="209"/>
      <c r="K94" s="210"/>
      <c r="L94" s="211"/>
      <c r="M94" s="143"/>
      <c r="N94" s="213"/>
      <c r="O94" s="212"/>
      <c r="P94" s="212"/>
      <c r="Q94" s="143"/>
      <c r="R94" s="213"/>
      <c r="S94" s="212"/>
      <c r="T94" s="145"/>
      <c r="AB94" s="214" t="str">
        <f>IFERROR(__xludf.DUMMYFUNCTION("FILTER('설정시트'!$D$7:$L$20,'설정시트'!$C$7:$C$20=I94)"),"#N/A")</f>
        <v>#N/A</v>
      </c>
      <c r="AC94" s="214"/>
      <c r="AD94" s="214"/>
      <c r="AE94" s="214"/>
      <c r="AF94" s="214"/>
      <c r="AG94" s="214"/>
      <c r="AH94" s="214"/>
      <c r="AI94" s="214"/>
    </row>
    <row r="95">
      <c r="H95" s="208"/>
      <c r="I95" s="209"/>
      <c r="J95" s="209"/>
      <c r="K95" s="210"/>
      <c r="L95" s="211"/>
      <c r="M95" s="143"/>
      <c r="N95" s="213"/>
      <c r="O95" s="212"/>
      <c r="P95" s="212"/>
      <c r="Q95" s="143"/>
      <c r="R95" s="213"/>
      <c r="S95" s="212"/>
      <c r="T95" s="145"/>
      <c r="AB95" s="214" t="str">
        <f>IFERROR(__xludf.DUMMYFUNCTION("FILTER('설정시트'!$D$7:$L$20,'설정시트'!$C$7:$C$20=I95)"),"#N/A")</f>
        <v>#N/A</v>
      </c>
      <c r="AC95" s="214"/>
      <c r="AD95" s="214"/>
      <c r="AE95" s="214"/>
      <c r="AF95" s="214"/>
      <c r="AG95" s="214"/>
      <c r="AH95" s="214"/>
      <c r="AI95" s="214"/>
    </row>
    <row r="96">
      <c r="H96" s="208"/>
      <c r="I96" s="209"/>
      <c r="J96" s="209"/>
      <c r="K96" s="210"/>
      <c r="L96" s="211"/>
      <c r="M96" s="143"/>
      <c r="N96" s="213"/>
      <c r="O96" s="212"/>
      <c r="P96" s="212"/>
      <c r="Q96" s="143"/>
      <c r="R96" s="213"/>
      <c r="S96" s="212"/>
      <c r="T96" s="145"/>
      <c r="AB96" s="214" t="str">
        <f>IFERROR(__xludf.DUMMYFUNCTION("FILTER('설정시트'!$D$7:$L$20,'설정시트'!$C$7:$C$20=I96)"),"#N/A")</f>
        <v>#N/A</v>
      </c>
      <c r="AC96" s="214"/>
      <c r="AD96" s="214"/>
      <c r="AE96" s="214"/>
      <c r="AF96" s="214"/>
      <c r="AG96" s="214"/>
      <c r="AH96" s="214"/>
      <c r="AI96" s="214"/>
    </row>
    <row r="97">
      <c r="H97" s="208"/>
      <c r="I97" s="209"/>
      <c r="J97" s="209"/>
      <c r="K97" s="210"/>
      <c r="L97" s="211"/>
      <c r="M97" s="143"/>
      <c r="N97" s="213"/>
      <c r="O97" s="212"/>
      <c r="P97" s="212"/>
      <c r="Q97" s="143"/>
      <c r="R97" s="213"/>
      <c r="S97" s="212"/>
      <c r="T97" s="145"/>
      <c r="AB97" s="214" t="str">
        <f>IFERROR(__xludf.DUMMYFUNCTION("FILTER('설정시트'!$D$7:$L$20,'설정시트'!$C$7:$C$20=I97)"),"#N/A")</f>
        <v>#N/A</v>
      </c>
      <c r="AC97" s="214"/>
      <c r="AD97" s="214"/>
      <c r="AE97" s="214"/>
      <c r="AF97" s="214"/>
      <c r="AG97" s="214"/>
      <c r="AH97" s="214"/>
      <c r="AI97" s="214"/>
    </row>
    <row r="98">
      <c r="H98" s="208"/>
      <c r="I98" s="209"/>
      <c r="J98" s="209"/>
      <c r="K98" s="210"/>
      <c r="L98" s="211"/>
      <c r="M98" s="143"/>
      <c r="N98" s="213"/>
      <c r="O98" s="212"/>
      <c r="P98" s="212"/>
      <c r="Q98" s="143"/>
      <c r="R98" s="213"/>
      <c r="S98" s="212"/>
      <c r="T98" s="145"/>
      <c r="AB98" s="214" t="str">
        <f>IFERROR(__xludf.DUMMYFUNCTION("FILTER('설정시트'!$D$7:$L$20,'설정시트'!$C$7:$C$20=I98)"),"#N/A")</f>
        <v>#N/A</v>
      </c>
      <c r="AC98" s="214"/>
      <c r="AD98" s="214"/>
      <c r="AE98" s="214"/>
      <c r="AF98" s="214"/>
      <c r="AG98" s="214"/>
      <c r="AH98" s="214"/>
      <c r="AI98" s="214"/>
    </row>
    <row r="99">
      <c r="H99" s="208"/>
      <c r="I99" s="209"/>
      <c r="J99" s="209"/>
      <c r="K99" s="210"/>
      <c r="L99" s="211"/>
      <c r="M99" s="143"/>
      <c r="N99" s="213"/>
      <c r="O99" s="212"/>
      <c r="P99" s="212"/>
      <c r="Q99" s="143"/>
      <c r="R99" s="213"/>
      <c r="S99" s="212"/>
      <c r="T99" s="145"/>
      <c r="AB99" s="214" t="str">
        <f>IFERROR(__xludf.DUMMYFUNCTION("FILTER('설정시트'!$D$7:$L$20,'설정시트'!$C$7:$C$20=I99)"),"#N/A")</f>
        <v>#N/A</v>
      </c>
      <c r="AC99" s="214"/>
      <c r="AD99" s="214"/>
      <c r="AE99" s="214"/>
      <c r="AF99" s="214"/>
      <c r="AG99" s="214"/>
      <c r="AH99" s="214"/>
      <c r="AI99" s="214"/>
    </row>
    <row r="100">
      <c r="H100" s="208"/>
      <c r="I100" s="209"/>
      <c r="J100" s="209"/>
      <c r="K100" s="210"/>
      <c r="L100" s="211"/>
      <c r="M100" s="143"/>
      <c r="N100" s="213"/>
      <c r="O100" s="212"/>
      <c r="P100" s="212"/>
      <c r="Q100" s="143"/>
      <c r="R100" s="213"/>
      <c r="S100" s="212"/>
      <c r="T100" s="145"/>
      <c r="AB100" s="214" t="str">
        <f>IFERROR(__xludf.DUMMYFUNCTION("FILTER('설정시트'!$D$7:$L$20,'설정시트'!$C$7:$C$20=I100)"),"#N/A")</f>
        <v>#N/A</v>
      </c>
      <c r="AC100" s="214"/>
      <c r="AD100" s="214"/>
      <c r="AE100" s="214"/>
      <c r="AF100" s="214"/>
      <c r="AG100" s="214"/>
      <c r="AH100" s="214"/>
      <c r="AI100" s="214"/>
    </row>
    <row r="101">
      <c r="H101" s="208"/>
      <c r="I101" s="209"/>
      <c r="J101" s="209"/>
      <c r="K101" s="210"/>
      <c r="L101" s="211"/>
      <c r="M101" s="143"/>
      <c r="N101" s="213"/>
      <c r="O101" s="212"/>
      <c r="P101" s="212"/>
      <c r="Q101" s="143"/>
      <c r="R101" s="213"/>
      <c r="S101" s="212"/>
      <c r="T101" s="145"/>
      <c r="AB101" s="214" t="str">
        <f>IFERROR(__xludf.DUMMYFUNCTION("FILTER('설정시트'!$D$7:$L$20,'설정시트'!$C$7:$C$20=I101)"),"#N/A")</f>
        <v>#N/A</v>
      </c>
      <c r="AC101" s="214"/>
      <c r="AD101" s="214"/>
      <c r="AE101" s="214"/>
      <c r="AF101" s="214"/>
      <c r="AG101" s="214"/>
      <c r="AH101" s="214"/>
      <c r="AI101" s="214"/>
    </row>
    <row r="102">
      <c r="H102" s="208"/>
      <c r="I102" s="209"/>
      <c r="J102" s="209"/>
      <c r="K102" s="216"/>
      <c r="L102" s="211"/>
      <c r="M102" s="143"/>
      <c r="N102" s="213"/>
      <c r="O102" s="212"/>
      <c r="P102" s="212"/>
      <c r="Q102" s="143"/>
      <c r="R102" s="213"/>
      <c r="S102" s="212"/>
      <c r="T102" s="145"/>
      <c r="AB102" s="214" t="str">
        <f>IFERROR(__xludf.DUMMYFUNCTION("FILTER('설정시트'!$D$7:$L$20,'설정시트'!$C$7:$C$20=I102)"),"#N/A")</f>
        <v>#N/A</v>
      </c>
      <c r="AC102" s="214"/>
      <c r="AD102" s="214"/>
      <c r="AE102" s="214"/>
      <c r="AF102" s="214"/>
      <c r="AG102" s="214"/>
      <c r="AH102" s="214"/>
      <c r="AI102" s="214"/>
    </row>
    <row r="103">
      <c r="H103" s="208"/>
      <c r="I103" s="209"/>
      <c r="J103" s="209"/>
      <c r="K103" s="210"/>
      <c r="L103" s="211"/>
      <c r="M103" s="143"/>
      <c r="N103" s="213"/>
      <c r="O103" s="212"/>
      <c r="P103" s="212"/>
      <c r="Q103" s="143"/>
      <c r="R103" s="213"/>
      <c r="S103" s="212"/>
      <c r="T103" s="145"/>
      <c r="AB103" s="214" t="str">
        <f>IFERROR(__xludf.DUMMYFUNCTION("FILTER('설정시트'!$D$7:$L$20,'설정시트'!$C$7:$C$20=I103)"),"#N/A")</f>
        <v>#N/A</v>
      </c>
      <c r="AC103" s="214"/>
      <c r="AD103" s="214"/>
      <c r="AE103" s="214"/>
      <c r="AF103" s="214"/>
      <c r="AG103" s="214"/>
      <c r="AH103" s="214"/>
      <c r="AI103" s="214"/>
    </row>
    <row r="104">
      <c r="H104" s="208"/>
      <c r="I104" s="209"/>
      <c r="J104" s="209"/>
      <c r="K104" s="210"/>
      <c r="L104" s="211"/>
      <c r="M104" s="143"/>
      <c r="N104" s="213"/>
      <c r="O104" s="212"/>
      <c r="P104" s="212"/>
      <c r="Q104" s="143"/>
      <c r="R104" s="213"/>
      <c r="S104" s="212"/>
      <c r="T104" s="145"/>
      <c r="AB104" s="214" t="str">
        <f>IFERROR(__xludf.DUMMYFUNCTION("FILTER('설정시트'!$D$7:$L$20,'설정시트'!$C$7:$C$20=I104)"),"#N/A")</f>
        <v>#N/A</v>
      </c>
      <c r="AC104" s="214"/>
      <c r="AD104" s="214"/>
      <c r="AE104" s="214"/>
      <c r="AF104" s="214"/>
      <c r="AG104" s="214"/>
      <c r="AH104" s="214"/>
      <c r="AI104" s="214"/>
    </row>
    <row r="105">
      <c r="H105" s="208"/>
      <c r="I105" s="209"/>
      <c r="J105" s="209"/>
      <c r="K105" s="210"/>
      <c r="L105" s="211"/>
      <c r="M105" s="143"/>
      <c r="N105" s="213"/>
      <c r="O105" s="212"/>
      <c r="P105" s="212"/>
      <c r="Q105" s="143"/>
      <c r="R105" s="213"/>
      <c r="S105" s="212"/>
      <c r="T105" s="145"/>
      <c r="AB105" s="214" t="str">
        <f>IFERROR(__xludf.DUMMYFUNCTION("FILTER('설정시트'!$D$7:$L$20,'설정시트'!$C$7:$C$20=I105)"),"#N/A")</f>
        <v>#N/A</v>
      </c>
      <c r="AC105" s="214"/>
      <c r="AD105" s="214"/>
      <c r="AE105" s="214"/>
      <c r="AF105" s="214"/>
      <c r="AG105" s="214"/>
      <c r="AH105" s="214"/>
      <c r="AI105" s="214"/>
    </row>
    <row r="106">
      <c r="H106" s="208"/>
      <c r="I106" s="209"/>
      <c r="J106" s="209"/>
      <c r="K106" s="216"/>
      <c r="L106" s="211"/>
      <c r="M106" s="143"/>
      <c r="N106" s="213"/>
      <c r="O106" s="212"/>
      <c r="P106" s="212"/>
      <c r="Q106" s="143"/>
      <c r="R106" s="213"/>
      <c r="S106" s="212"/>
      <c r="T106" s="145"/>
      <c r="AB106" s="214" t="str">
        <f>IFERROR(__xludf.DUMMYFUNCTION("FILTER('설정시트'!$D$7:$L$20,'설정시트'!$C$7:$C$20=I106)"),"#N/A")</f>
        <v>#N/A</v>
      </c>
      <c r="AC106" s="214"/>
      <c r="AD106" s="214"/>
      <c r="AE106" s="214"/>
      <c r="AF106" s="214"/>
      <c r="AG106" s="214"/>
      <c r="AH106" s="214"/>
      <c r="AI106" s="214"/>
    </row>
    <row r="107">
      <c r="H107" s="208"/>
      <c r="I107" s="209"/>
      <c r="J107" s="209"/>
      <c r="K107" s="216"/>
      <c r="L107" s="211"/>
      <c r="M107" s="143"/>
      <c r="N107" s="213"/>
      <c r="O107" s="212"/>
      <c r="P107" s="212"/>
      <c r="Q107" s="143"/>
      <c r="R107" s="213"/>
      <c r="S107" s="212"/>
      <c r="T107" s="145"/>
      <c r="AB107" s="214" t="str">
        <f>IFERROR(__xludf.DUMMYFUNCTION("FILTER('설정시트'!$D$7:$L$20,'설정시트'!$C$7:$C$20=I107)"),"#N/A")</f>
        <v>#N/A</v>
      </c>
      <c r="AC107" s="214"/>
      <c r="AD107" s="214"/>
      <c r="AE107" s="214"/>
      <c r="AF107" s="214"/>
      <c r="AG107" s="214"/>
      <c r="AH107" s="214"/>
      <c r="AI107" s="214"/>
    </row>
    <row r="108">
      <c r="H108" s="208"/>
      <c r="I108" s="209"/>
      <c r="J108" s="209"/>
      <c r="K108" s="216"/>
      <c r="L108" s="211"/>
      <c r="M108" s="143"/>
      <c r="N108" s="213"/>
      <c r="O108" s="212"/>
      <c r="P108" s="212"/>
      <c r="Q108" s="143"/>
      <c r="R108" s="213"/>
      <c r="S108" s="212"/>
      <c r="T108" s="145"/>
      <c r="AB108" s="214" t="str">
        <f>IFERROR(__xludf.DUMMYFUNCTION("FILTER('설정시트'!$D$7:$L$20,'설정시트'!$C$7:$C$20=I108)"),"#N/A")</f>
        <v>#N/A</v>
      </c>
      <c r="AC108" s="214"/>
      <c r="AD108" s="214"/>
      <c r="AE108" s="214"/>
      <c r="AF108" s="214"/>
      <c r="AG108" s="214"/>
      <c r="AH108" s="214"/>
      <c r="AI108" s="214"/>
    </row>
    <row r="109">
      <c r="H109" s="208"/>
      <c r="I109" s="209"/>
      <c r="J109" s="209"/>
      <c r="K109" s="216"/>
      <c r="L109" s="211"/>
      <c r="M109" s="143"/>
      <c r="N109" s="213"/>
      <c r="O109" s="212"/>
      <c r="P109" s="212"/>
      <c r="Q109" s="143"/>
      <c r="R109" s="213"/>
      <c r="S109" s="212"/>
      <c r="T109" s="145"/>
      <c r="AB109" s="214" t="str">
        <f>IFERROR(__xludf.DUMMYFUNCTION("FILTER('설정시트'!$D$7:$L$20,'설정시트'!$C$7:$C$20=I109)"),"#N/A")</f>
        <v>#N/A</v>
      </c>
      <c r="AC109" s="214"/>
      <c r="AD109" s="214"/>
      <c r="AE109" s="214"/>
      <c r="AF109" s="214"/>
      <c r="AG109" s="214"/>
      <c r="AH109" s="214"/>
      <c r="AI109" s="214"/>
    </row>
    <row r="110">
      <c r="H110" s="208"/>
      <c r="I110" s="209"/>
      <c r="J110" s="209"/>
      <c r="K110" s="216"/>
      <c r="L110" s="211"/>
      <c r="M110" s="143"/>
      <c r="N110" s="213"/>
      <c r="O110" s="212"/>
      <c r="P110" s="212"/>
      <c r="Q110" s="143"/>
      <c r="R110" s="213"/>
      <c r="S110" s="212"/>
      <c r="T110" s="145"/>
      <c r="AB110" s="214" t="str">
        <f>IFERROR(__xludf.DUMMYFUNCTION("FILTER('설정시트'!$D$7:$L$20,'설정시트'!$C$7:$C$20=I110)"),"#N/A")</f>
        <v>#N/A</v>
      </c>
      <c r="AC110" s="214"/>
      <c r="AD110" s="214"/>
      <c r="AE110" s="214"/>
      <c r="AF110" s="214"/>
      <c r="AG110" s="214"/>
      <c r="AH110" s="214"/>
      <c r="AI110" s="214"/>
    </row>
    <row r="111">
      <c r="H111" s="208"/>
      <c r="I111" s="209"/>
      <c r="J111" s="209"/>
      <c r="K111" s="216"/>
      <c r="L111" s="211"/>
      <c r="M111" s="143"/>
      <c r="N111" s="213"/>
      <c r="O111" s="212"/>
      <c r="P111" s="212"/>
      <c r="Q111" s="143"/>
      <c r="R111" s="213"/>
      <c r="S111" s="212"/>
      <c r="T111" s="145"/>
      <c r="AB111" s="214" t="str">
        <f>IFERROR(__xludf.DUMMYFUNCTION("FILTER('설정시트'!$D$7:$L$20,'설정시트'!$C$7:$C$20=I111)"),"#N/A")</f>
        <v>#N/A</v>
      </c>
      <c r="AC111" s="214"/>
      <c r="AD111" s="214"/>
      <c r="AE111" s="214"/>
      <c r="AF111" s="214"/>
      <c r="AG111" s="214"/>
      <c r="AH111" s="214"/>
      <c r="AI111" s="214"/>
    </row>
    <row r="112">
      <c r="H112" s="208"/>
      <c r="I112" s="209"/>
      <c r="J112" s="209"/>
      <c r="K112" s="216"/>
      <c r="L112" s="211"/>
      <c r="M112" s="143"/>
      <c r="N112" s="213"/>
      <c r="O112" s="212"/>
      <c r="P112" s="212"/>
      <c r="Q112" s="143"/>
      <c r="R112" s="213"/>
      <c r="S112" s="212"/>
      <c r="T112" s="145"/>
      <c r="AB112" s="214" t="str">
        <f>IFERROR(__xludf.DUMMYFUNCTION("FILTER('설정시트'!$D$7:$L$20,'설정시트'!$C$7:$C$20=I112)"),"#N/A")</f>
        <v>#N/A</v>
      </c>
      <c r="AC112" s="214"/>
      <c r="AD112" s="214"/>
      <c r="AE112" s="214"/>
      <c r="AF112" s="214"/>
      <c r="AG112" s="214"/>
      <c r="AH112" s="214"/>
      <c r="AI112" s="214"/>
    </row>
    <row r="113">
      <c r="H113" s="208"/>
      <c r="I113" s="209"/>
      <c r="J113" s="209"/>
      <c r="K113" s="216"/>
      <c r="L113" s="211"/>
      <c r="M113" s="143"/>
      <c r="N113" s="213"/>
      <c r="O113" s="212"/>
      <c r="P113" s="212"/>
      <c r="Q113" s="143"/>
      <c r="R113" s="213"/>
      <c r="S113" s="212"/>
      <c r="T113" s="145"/>
      <c r="AB113" s="214" t="str">
        <f>IFERROR(__xludf.DUMMYFUNCTION("FILTER('설정시트'!$D$7:$L$20,'설정시트'!$C$7:$C$20=I113)"),"#N/A")</f>
        <v>#N/A</v>
      </c>
      <c r="AC113" s="214"/>
      <c r="AD113" s="214"/>
      <c r="AE113" s="214"/>
      <c r="AF113" s="214"/>
      <c r="AG113" s="214"/>
      <c r="AH113" s="214"/>
      <c r="AI113" s="214"/>
    </row>
    <row r="114">
      <c r="H114" s="208"/>
      <c r="I114" s="209"/>
      <c r="J114" s="209"/>
      <c r="K114" s="216"/>
      <c r="L114" s="211"/>
      <c r="M114" s="143"/>
      <c r="N114" s="213"/>
      <c r="O114" s="212"/>
      <c r="P114" s="212"/>
      <c r="Q114" s="143"/>
      <c r="R114" s="213"/>
      <c r="S114" s="212"/>
      <c r="T114" s="145"/>
      <c r="AB114" s="214" t="str">
        <f>IFERROR(__xludf.DUMMYFUNCTION("FILTER('설정시트'!$D$7:$L$20,'설정시트'!$C$7:$C$20=I114)"),"#N/A")</f>
        <v>#N/A</v>
      </c>
      <c r="AC114" s="214"/>
      <c r="AD114" s="214"/>
      <c r="AE114" s="214"/>
      <c r="AF114" s="214"/>
      <c r="AG114" s="214"/>
      <c r="AH114" s="214"/>
      <c r="AI114" s="214"/>
    </row>
    <row r="115">
      <c r="H115" s="208"/>
      <c r="I115" s="209"/>
      <c r="J115" s="209"/>
      <c r="K115" s="216"/>
      <c r="L115" s="211"/>
      <c r="M115" s="143"/>
      <c r="N115" s="213"/>
      <c r="O115" s="212"/>
      <c r="P115" s="212"/>
      <c r="Q115" s="143"/>
      <c r="R115" s="213"/>
      <c r="S115" s="212"/>
      <c r="T115" s="145"/>
      <c r="AB115" s="214" t="str">
        <f>IFERROR(__xludf.DUMMYFUNCTION("FILTER('설정시트'!$D$7:$L$20,'설정시트'!$C$7:$C$20=I115)"),"#N/A")</f>
        <v>#N/A</v>
      </c>
      <c r="AC115" s="214"/>
      <c r="AD115" s="214"/>
      <c r="AE115" s="214"/>
      <c r="AF115" s="214"/>
      <c r="AG115" s="214"/>
      <c r="AH115" s="214"/>
      <c r="AI115" s="214"/>
    </row>
    <row r="116">
      <c r="H116" s="208"/>
      <c r="I116" s="209"/>
      <c r="J116" s="209"/>
      <c r="K116" s="216"/>
      <c r="L116" s="211"/>
      <c r="M116" s="143"/>
      <c r="N116" s="213"/>
      <c r="O116" s="212"/>
      <c r="P116" s="212"/>
      <c r="Q116" s="143"/>
      <c r="R116" s="213"/>
      <c r="S116" s="212"/>
      <c r="T116" s="145"/>
      <c r="AB116" s="214" t="str">
        <f>IFERROR(__xludf.DUMMYFUNCTION("FILTER('설정시트'!$D$7:$L$20,'설정시트'!$C$7:$C$20=I116)"),"#N/A")</f>
        <v>#N/A</v>
      </c>
      <c r="AC116" s="214"/>
      <c r="AD116" s="214"/>
      <c r="AE116" s="214"/>
      <c r="AF116" s="214"/>
      <c r="AG116" s="214"/>
      <c r="AH116" s="214"/>
      <c r="AI116" s="214"/>
    </row>
    <row r="117">
      <c r="H117" s="208"/>
      <c r="I117" s="217"/>
      <c r="J117" s="217"/>
      <c r="K117" s="218"/>
      <c r="L117" s="211"/>
      <c r="M117" s="143"/>
      <c r="N117" s="213"/>
      <c r="O117" s="212"/>
      <c r="P117" s="212"/>
      <c r="Q117" s="143"/>
      <c r="R117" s="213"/>
      <c r="S117" s="212"/>
      <c r="T117" s="145"/>
      <c r="AB117" s="214" t="str">
        <f>IFERROR(__xludf.DUMMYFUNCTION("FILTER('설정시트'!$D$7:$L$20,'설정시트'!$C$7:$C$20=I117)"),"#N/A")</f>
        <v>#N/A</v>
      </c>
      <c r="AC117" s="214"/>
      <c r="AD117" s="214"/>
      <c r="AE117" s="214"/>
      <c r="AF117" s="214"/>
      <c r="AG117" s="214"/>
      <c r="AH117" s="214"/>
      <c r="AI117" s="214"/>
    </row>
    <row r="118">
      <c r="H118" s="208"/>
      <c r="I118" s="217"/>
      <c r="J118" s="217"/>
      <c r="K118" s="218"/>
      <c r="L118" s="211"/>
      <c r="M118" s="143"/>
      <c r="N118" s="213"/>
      <c r="O118" s="212"/>
      <c r="P118" s="212"/>
      <c r="Q118" s="143"/>
      <c r="R118" s="213"/>
      <c r="S118" s="212"/>
      <c r="T118" s="145"/>
      <c r="AB118" s="214" t="str">
        <f>IFERROR(__xludf.DUMMYFUNCTION("FILTER('설정시트'!$D$7:$L$20,'설정시트'!$C$7:$C$20=I118)"),"#N/A")</f>
        <v>#N/A</v>
      </c>
      <c r="AC118" s="214"/>
      <c r="AD118" s="214"/>
      <c r="AE118" s="214"/>
      <c r="AF118" s="214"/>
      <c r="AG118" s="214"/>
      <c r="AH118" s="214"/>
      <c r="AI118" s="214"/>
    </row>
    <row r="119">
      <c r="H119" s="208"/>
      <c r="I119" s="217"/>
      <c r="J119" s="217"/>
      <c r="K119" s="218"/>
      <c r="L119" s="211"/>
      <c r="M119" s="143"/>
      <c r="N119" s="213"/>
      <c r="O119" s="212"/>
      <c r="P119" s="212"/>
      <c r="Q119" s="143"/>
      <c r="R119" s="213"/>
      <c r="S119" s="212"/>
      <c r="T119" s="145"/>
      <c r="AB119" s="214" t="str">
        <f>IFERROR(__xludf.DUMMYFUNCTION("FILTER('설정시트'!$D$7:$L$20,'설정시트'!$C$7:$C$20=I119)"),"#N/A")</f>
        <v>#N/A</v>
      </c>
      <c r="AC119" s="214"/>
      <c r="AD119" s="214"/>
      <c r="AE119" s="214"/>
      <c r="AF119" s="214"/>
      <c r="AG119" s="214"/>
      <c r="AH119" s="214"/>
      <c r="AI119" s="214"/>
    </row>
    <row r="120">
      <c r="H120" s="208"/>
      <c r="I120" s="217"/>
      <c r="J120" s="217"/>
      <c r="K120" s="218"/>
      <c r="L120" s="211"/>
      <c r="M120" s="143"/>
      <c r="N120" s="213"/>
      <c r="O120" s="212"/>
      <c r="P120" s="212"/>
      <c r="Q120" s="143"/>
      <c r="R120" s="213"/>
      <c r="S120" s="212"/>
      <c r="T120" s="145"/>
      <c r="AB120" s="214" t="str">
        <f>IFERROR(__xludf.DUMMYFUNCTION("FILTER('설정시트'!$D$7:$L$20,'설정시트'!$C$7:$C$20=I120)"),"#N/A")</f>
        <v>#N/A</v>
      </c>
      <c r="AC120" s="214"/>
      <c r="AD120" s="214"/>
      <c r="AE120" s="214"/>
      <c r="AF120" s="214"/>
      <c r="AG120" s="214"/>
      <c r="AH120" s="214"/>
      <c r="AI120" s="214"/>
    </row>
    <row r="121">
      <c r="H121" s="208"/>
      <c r="I121" s="217"/>
      <c r="J121" s="217"/>
      <c r="K121" s="218"/>
      <c r="L121" s="211"/>
      <c r="M121" s="143"/>
      <c r="N121" s="213"/>
      <c r="O121" s="212"/>
      <c r="P121" s="212"/>
      <c r="Q121" s="143"/>
      <c r="R121" s="213"/>
      <c r="S121" s="212"/>
      <c r="T121" s="145"/>
      <c r="AB121" s="214" t="str">
        <f>IFERROR(__xludf.DUMMYFUNCTION("FILTER('설정시트'!$D$7:$L$20,'설정시트'!$C$7:$C$20=I121)"),"#N/A")</f>
        <v>#N/A</v>
      </c>
      <c r="AC121" s="214"/>
      <c r="AD121" s="214"/>
      <c r="AE121" s="214"/>
      <c r="AF121" s="214"/>
      <c r="AG121" s="214"/>
      <c r="AH121" s="214"/>
      <c r="AI121" s="214"/>
    </row>
    <row r="122">
      <c r="H122" s="208"/>
      <c r="I122" s="217"/>
      <c r="J122" s="217"/>
      <c r="K122" s="218"/>
      <c r="L122" s="211"/>
      <c r="M122" s="143"/>
      <c r="N122" s="213"/>
      <c r="O122" s="212"/>
      <c r="P122" s="212"/>
      <c r="Q122" s="143"/>
      <c r="R122" s="213"/>
      <c r="S122" s="212"/>
      <c r="T122" s="145"/>
      <c r="AB122" s="214" t="str">
        <f>IFERROR(__xludf.DUMMYFUNCTION("FILTER('설정시트'!$D$7:$L$20,'설정시트'!$C$7:$C$20=I122)"),"#N/A")</f>
        <v>#N/A</v>
      </c>
      <c r="AC122" s="214"/>
      <c r="AD122" s="214"/>
      <c r="AE122" s="214"/>
      <c r="AF122" s="214"/>
      <c r="AG122" s="214"/>
      <c r="AH122" s="214"/>
      <c r="AI122" s="214"/>
    </row>
    <row r="123">
      <c r="H123" s="208"/>
      <c r="I123" s="217"/>
      <c r="J123" s="217"/>
      <c r="K123" s="218"/>
      <c r="L123" s="211"/>
      <c r="M123" s="143"/>
      <c r="N123" s="213"/>
      <c r="O123" s="212"/>
      <c r="P123" s="212"/>
      <c r="Q123" s="143"/>
      <c r="R123" s="213"/>
      <c r="S123" s="212"/>
      <c r="T123" s="145"/>
      <c r="AB123" s="214" t="str">
        <f>IFERROR(__xludf.DUMMYFUNCTION("FILTER('설정시트'!$D$7:$L$20,'설정시트'!$C$7:$C$20=I123)"),"#N/A")</f>
        <v>#N/A</v>
      </c>
      <c r="AC123" s="214"/>
      <c r="AD123" s="214"/>
      <c r="AE123" s="214"/>
      <c r="AF123" s="214"/>
      <c r="AG123" s="214"/>
      <c r="AH123" s="214"/>
      <c r="AI123" s="214"/>
    </row>
    <row r="124">
      <c r="H124" s="208"/>
      <c r="I124" s="217"/>
      <c r="J124" s="217"/>
      <c r="K124" s="218"/>
      <c r="L124" s="211"/>
      <c r="M124" s="143"/>
      <c r="N124" s="213"/>
      <c r="O124" s="212"/>
      <c r="P124" s="212"/>
      <c r="Q124" s="143"/>
      <c r="R124" s="213"/>
      <c r="S124" s="212"/>
      <c r="T124" s="145"/>
      <c r="AB124" s="214" t="str">
        <f>IFERROR(__xludf.DUMMYFUNCTION("FILTER('설정시트'!$D$7:$L$20,'설정시트'!$C$7:$C$20=I124)"),"#N/A")</f>
        <v>#N/A</v>
      </c>
      <c r="AC124" s="214"/>
      <c r="AD124" s="214"/>
      <c r="AE124" s="214"/>
      <c r="AF124" s="214"/>
      <c r="AG124" s="214"/>
      <c r="AH124" s="214"/>
      <c r="AI124" s="214"/>
    </row>
    <row r="125">
      <c r="H125" s="208"/>
      <c r="I125" s="217"/>
      <c r="J125" s="217"/>
      <c r="K125" s="218"/>
      <c r="L125" s="211"/>
      <c r="M125" s="143"/>
      <c r="N125" s="213"/>
      <c r="O125" s="212"/>
      <c r="P125" s="212"/>
      <c r="Q125" s="143"/>
      <c r="R125" s="213"/>
      <c r="S125" s="212"/>
      <c r="T125" s="145"/>
      <c r="AB125" s="214" t="str">
        <f>IFERROR(__xludf.DUMMYFUNCTION("FILTER('설정시트'!$D$7:$L$20,'설정시트'!$C$7:$C$20=I125)"),"#N/A")</f>
        <v>#N/A</v>
      </c>
      <c r="AC125" s="214"/>
      <c r="AD125" s="214"/>
      <c r="AE125" s="214"/>
      <c r="AF125" s="214"/>
      <c r="AG125" s="214"/>
      <c r="AH125" s="214"/>
      <c r="AI125" s="214"/>
    </row>
    <row r="126">
      <c r="H126" s="208"/>
      <c r="I126" s="217"/>
      <c r="J126" s="217"/>
      <c r="K126" s="218"/>
      <c r="L126" s="211"/>
      <c r="M126" s="143"/>
      <c r="N126" s="213"/>
      <c r="O126" s="212"/>
      <c r="P126" s="212"/>
      <c r="Q126" s="143"/>
      <c r="R126" s="213"/>
      <c r="S126" s="212"/>
      <c r="T126" s="145"/>
      <c r="AB126" s="214" t="str">
        <f>IFERROR(__xludf.DUMMYFUNCTION("FILTER('설정시트'!$D$7:$L$20,'설정시트'!$C$7:$C$20=I126)"),"#N/A")</f>
        <v>#N/A</v>
      </c>
      <c r="AC126" s="214"/>
      <c r="AD126" s="214"/>
      <c r="AE126" s="214"/>
      <c r="AF126" s="214"/>
      <c r="AG126" s="214"/>
      <c r="AH126" s="214"/>
      <c r="AI126" s="214"/>
    </row>
    <row r="127">
      <c r="H127" s="208"/>
      <c r="I127" s="217"/>
      <c r="J127" s="217"/>
      <c r="K127" s="218"/>
      <c r="L127" s="211"/>
      <c r="M127" s="143"/>
      <c r="N127" s="213"/>
      <c r="O127" s="212"/>
      <c r="P127" s="212"/>
      <c r="Q127" s="143"/>
      <c r="R127" s="213"/>
      <c r="S127" s="212"/>
      <c r="T127" s="145"/>
      <c r="AB127" s="214" t="str">
        <f>IFERROR(__xludf.DUMMYFUNCTION("FILTER('설정시트'!$D$7:$L$20,'설정시트'!$C$7:$C$20=I127)"),"#N/A")</f>
        <v>#N/A</v>
      </c>
      <c r="AC127" s="214"/>
      <c r="AD127" s="214"/>
      <c r="AE127" s="214"/>
      <c r="AF127" s="214"/>
      <c r="AG127" s="214"/>
      <c r="AH127" s="214"/>
      <c r="AI127" s="214"/>
    </row>
    <row r="128">
      <c r="H128" s="208"/>
      <c r="I128" s="217"/>
      <c r="J128" s="217"/>
      <c r="K128" s="218"/>
      <c r="L128" s="211"/>
      <c r="M128" s="143"/>
      <c r="N128" s="213"/>
      <c r="O128" s="212"/>
      <c r="P128" s="212"/>
      <c r="Q128" s="143"/>
      <c r="R128" s="213"/>
      <c r="S128" s="212"/>
      <c r="T128" s="145"/>
      <c r="AB128" s="214" t="str">
        <f>IFERROR(__xludf.DUMMYFUNCTION("FILTER('설정시트'!$D$7:$L$20,'설정시트'!$C$7:$C$20=I128)"),"#N/A")</f>
        <v>#N/A</v>
      </c>
      <c r="AC128" s="214"/>
      <c r="AD128" s="214"/>
      <c r="AE128" s="214"/>
      <c r="AF128" s="214"/>
      <c r="AG128" s="214"/>
      <c r="AH128" s="214"/>
      <c r="AI128" s="214"/>
    </row>
    <row r="129">
      <c r="H129" s="208"/>
      <c r="I129" s="217"/>
      <c r="J129" s="217"/>
      <c r="K129" s="218"/>
      <c r="L129" s="211"/>
      <c r="M129" s="143"/>
      <c r="N129" s="213"/>
      <c r="O129" s="212"/>
      <c r="P129" s="212"/>
      <c r="Q129" s="143"/>
      <c r="R129" s="213"/>
      <c r="S129" s="212"/>
      <c r="T129" s="145"/>
      <c r="AB129" s="214" t="str">
        <f>IFERROR(__xludf.DUMMYFUNCTION("FILTER('설정시트'!$D$7:$L$20,'설정시트'!$C$7:$C$20=I129)"),"#N/A")</f>
        <v>#N/A</v>
      </c>
      <c r="AC129" s="214"/>
      <c r="AD129" s="214"/>
      <c r="AE129" s="214"/>
      <c r="AF129" s="214"/>
      <c r="AG129" s="214"/>
      <c r="AH129" s="214"/>
      <c r="AI129" s="214"/>
    </row>
    <row r="130">
      <c r="H130" s="208"/>
      <c r="I130" s="217"/>
      <c r="J130" s="217"/>
      <c r="K130" s="218"/>
      <c r="L130" s="211"/>
      <c r="M130" s="143"/>
      <c r="N130" s="213"/>
      <c r="O130" s="212"/>
      <c r="P130" s="212"/>
      <c r="Q130" s="143"/>
      <c r="R130" s="213"/>
      <c r="S130" s="212"/>
      <c r="T130" s="145"/>
      <c r="AB130" s="214" t="str">
        <f>IFERROR(__xludf.DUMMYFUNCTION("FILTER('설정시트'!$D$7:$L$20,'설정시트'!$C$7:$C$20=I130)"),"#N/A")</f>
        <v>#N/A</v>
      </c>
      <c r="AC130" s="214"/>
      <c r="AD130" s="214"/>
      <c r="AE130" s="214"/>
      <c r="AF130" s="214"/>
      <c r="AG130" s="214"/>
      <c r="AH130" s="214"/>
      <c r="AI130" s="214"/>
    </row>
    <row r="131">
      <c r="H131" s="208"/>
      <c r="I131" s="217"/>
      <c r="J131" s="217"/>
      <c r="K131" s="218"/>
      <c r="L131" s="211"/>
      <c r="M131" s="143"/>
      <c r="N131" s="213"/>
      <c r="O131" s="212"/>
      <c r="P131" s="212"/>
      <c r="Q131" s="143"/>
      <c r="R131" s="213"/>
      <c r="S131" s="212"/>
      <c r="T131" s="145"/>
      <c r="AB131" s="214" t="str">
        <f>IFERROR(__xludf.DUMMYFUNCTION("FILTER('설정시트'!$D$7:$L$20,'설정시트'!$C$7:$C$20=I131)"),"#N/A")</f>
        <v>#N/A</v>
      </c>
      <c r="AC131" s="214"/>
      <c r="AD131" s="214"/>
      <c r="AE131" s="214"/>
      <c r="AF131" s="214"/>
      <c r="AG131" s="214"/>
      <c r="AH131" s="214"/>
      <c r="AI131" s="214"/>
    </row>
    <row r="132">
      <c r="H132" s="208"/>
      <c r="I132" s="217"/>
      <c r="J132" s="217"/>
      <c r="K132" s="218"/>
      <c r="L132" s="211"/>
      <c r="M132" s="143"/>
      <c r="N132" s="213"/>
      <c r="O132" s="212"/>
      <c r="P132" s="212"/>
      <c r="Q132" s="143"/>
      <c r="R132" s="213"/>
      <c r="S132" s="212"/>
      <c r="T132" s="145"/>
      <c r="AB132" s="214" t="str">
        <f>IFERROR(__xludf.DUMMYFUNCTION("FILTER('설정시트'!$D$7:$L$20,'설정시트'!$C$7:$C$20=I132)"),"#N/A")</f>
        <v>#N/A</v>
      </c>
      <c r="AC132" s="214"/>
      <c r="AD132" s="214"/>
      <c r="AE132" s="214"/>
      <c r="AF132" s="214"/>
      <c r="AG132" s="214"/>
      <c r="AH132" s="214"/>
      <c r="AI132" s="214"/>
    </row>
    <row r="133">
      <c r="H133" s="208"/>
      <c r="I133" s="217"/>
      <c r="J133" s="217"/>
      <c r="K133" s="218"/>
      <c r="L133" s="211"/>
      <c r="M133" s="143"/>
      <c r="N133" s="213"/>
      <c r="O133" s="212"/>
      <c r="P133" s="212"/>
      <c r="Q133" s="143"/>
      <c r="R133" s="213"/>
      <c r="S133" s="212"/>
      <c r="T133" s="145"/>
      <c r="AB133" s="214" t="str">
        <f>IFERROR(__xludf.DUMMYFUNCTION("FILTER('설정시트'!$D$7:$L$20,'설정시트'!$C$7:$C$20=I133)"),"#N/A")</f>
        <v>#N/A</v>
      </c>
      <c r="AC133" s="214"/>
      <c r="AD133" s="214"/>
      <c r="AE133" s="214"/>
      <c r="AF133" s="214"/>
      <c r="AG133" s="214"/>
      <c r="AH133" s="214"/>
      <c r="AI133" s="214"/>
    </row>
    <row r="134">
      <c r="H134" s="208"/>
      <c r="I134" s="217"/>
      <c r="J134" s="217"/>
      <c r="K134" s="218"/>
      <c r="L134" s="211"/>
      <c r="M134" s="143"/>
      <c r="N134" s="213"/>
      <c r="O134" s="212"/>
      <c r="P134" s="212"/>
      <c r="Q134" s="143"/>
      <c r="R134" s="213"/>
      <c r="S134" s="212"/>
      <c r="T134" s="145"/>
      <c r="AB134" s="214" t="str">
        <f>IFERROR(__xludf.DUMMYFUNCTION("FILTER('설정시트'!$D$7:$L$20,'설정시트'!$C$7:$C$20=I134)"),"#N/A")</f>
        <v>#N/A</v>
      </c>
      <c r="AC134" s="214"/>
      <c r="AD134" s="214"/>
      <c r="AE134" s="214"/>
      <c r="AF134" s="214"/>
      <c r="AG134" s="214"/>
      <c r="AH134" s="214"/>
      <c r="AI134" s="214"/>
    </row>
    <row r="135">
      <c r="H135" s="208"/>
      <c r="I135" s="217"/>
      <c r="J135" s="217"/>
      <c r="K135" s="218"/>
      <c r="L135" s="211"/>
      <c r="M135" s="143"/>
      <c r="N135" s="213"/>
      <c r="O135" s="212"/>
      <c r="P135" s="212"/>
      <c r="Q135" s="143"/>
      <c r="R135" s="213"/>
      <c r="S135" s="212"/>
      <c r="T135" s="145"/>
      <c r="AB135" s="214" t="str">
        <f>IFERROR(__xludf.DUMMYFUNCTION("FILTER('설정시트'!$D$7:$L$20,'설정시트'!$C$7:$C$20=I135)"),"#N/A")</f>
        <v>#N/A</v>
      </c>
      <c r="AC135" s="214"/>
      <c r="AD135" s="214"/>
      <c r="AE135" s="214"/>
      <c r="AF135" s="214"/>
      <c r="AG135" s="214"/>
      <c r="AH135" s="214"/>
      <c r="AI135" s="214"/>
    </row>
    <row r="136">
      <c r="H136" s="208"/>
      <c r="I136" s="217"/>
      <c r="J136" s="217"/>
      <c r="K136" s="218"/>
      <c r="L136" s="211"/>
      <c r="M136" s="143"/>
      <c r="N136" s="213"/>
      <c r="O136" s="212"/>
      <c r="P136" s="212"/>
      <c r="Q136" s="143"/>
      <c r="R136" s="213"/>
      <c r="S136" s="212"/>
      <c r="T136" s="145"/>
      <c r="AB136" s="214" t="str">
        <f>IFERROR(__xludf.DUMMYFUNCTION("FILTER('설정시트'!$D$7:$L$20,'설정시트'!$C$7:$C$20=I136)"),"#N/A")</f>
        <v>#N/A</v>
      </c>
      <c r="AC136" s="214"/>
      <c r="AD136" s="214"/>
      <c r="AE136" s="214"/>
      <c r="AF136" s="214"/>
      <c r="AG136" s="214"/>
      <c r="AH136" s="214"/>
      <c r="AI136" s="214"/>
    </row>
    <row r="137">
      <c r="H137" s="208"/>
      <c r="I137" s="217"/>
      <c r="J137" s="217"/>
      <c r="K137" s="218"/>
      <c r="L137" s="211"/>
      <c r="M137" s="143"/>
      <c r="N137" s="213"/>
      <c r="O137" s="212"/>
      <c r="P137" s="212"/>
      <c r="Q137" s="143"/>
      <c r="R137" s="213"/>
      <c r="S137" s="212"/>
      <c r="T137" s="145"/>
      <c r="AB137" s="214" t="str">
        <f>IFERROR(__xludf.DUMMYFUNCTION("FILTER('설정시트'!$D$7:$L$20,'설정시트'!$C$7:$C$20=I137)"),"#N/A")</f>
        <v>#N/A</v>
      </c>
      <c r="AC137" s="214"/>
      <c r="AD137" s="214"/>
      <c r="AE137" s="214"/>
      <c r="AF137" s="214"/>
      <c r="AG137" s="214"/>
      <c r="AH137" s="214"/>
      <c r="AI137" s="214"/>
    </row>
    <row r="138">
      <c r="H138" s="208"/>
      <c r="I138" s="217"/>
      <c r="J138" s="217"/>
      <c r="K138" s="218"/>
      <c r="L138" s="211"/>
      <c r="M138" s="143"/>
      <c r="N138" s="213"/>
      <c r="O138" s="212"/>
      <c r="P138" s="212"/>
      <c r="Q138" s="143"/>
      <c r="R138" s="213"/>
      <c r="S138" s="212"/>
      <c r="T138" s="145"/>
      <c r="AB138" s="214" t="str">
        <f>IFERROR(__xludf.DUMMYFUNCTION("FILTER('설정시트'!$D$7:$L$20,'설정시트'!$C$7:$C$20=I138)"),"#N/A")</f>
        <v>#N/A</v>
      </c>
      <c r="AC138" s="214"/>
      <c r="AD138" s="214"/>
      <c r="AE138" s="214"/>
      <c r="AF138" s="214"/>
      <c r="AG138" s="214"/>
      <c r="AH138" s="214"/>
      <c r="AI138" s="214"/>
    </row>
    <row r="139">
      <c r="H139" s="208"/>
      <c r="I139" s="217"/>
      <c r="J139" s="217"/>
      <c r="K139" s="218"/>
      <c r="L139" s="211"/>
      <c r="M139" s="143"/>
      <c r="N139" s="213"/>
      <c r="O139" s="212"/>
      <c r="P139" s="212"/>
      <c r="Q139" s="143"/>
      <c r="R139" s="213"/>
      <c r="S139" s="212"/>
      <c r="T139" s="145"/>
      <c r="AB139" s="214" t="str">
        <f>IFERROR(__xludf.DUMMYFUNCTION("FILTER('설정시트'!$D$7:$L$20,'설정시트'!$C$7:$C$20=I139)"),"#N/A")</f>
        <v>#N/A</v>
      </c>
      <c r="AC139" s="214"/>
      <c r="AD139" s="214"/>
      <c r="AE139" s="214"/>
      <c r="AF139" s="214"/>
      <c r="AG139" s="214"/>
      <c r="AH139" s="214"/>
      <c r="AI139" s="214"/>
    </row>
    <row r="140">
      <c r="H140" s="208"/>
      <c r="I140" s="217"/>
      <c r="J140" s="217"/>
      <c r="K140" s="218"/>
      <c r="L140" s="211"/>
      <c r="M140" s="143"/>
      <c r="N140" s="213"/>
      <c r="O140" s="212"/>
      <c r="P140" s="212"/>
      <c r="Q140" s="143"/>
      <c r="R140" s="213"/>
      <c r="S140" s="212"/>
      <c r="T140" s="145"/>
      <c r="AB140" s="214" t="str">
        <f>IFERROR(__xludf.DUMMYFUNCTION("FILTER('설정시트'!$D$7:$L$20,'설정시트'!$C$7:$C$20=I140)"),"#N/A")</f>
        <v>#N/A</v>
      </c>
      <c r="AC140" s="214"/>
      <c r="AD140" s="214"/>
      <c r="AE140" s="214"/>
      <c r="AF140" s="214"/>
      <c r="AG140" s="214"/>
      <c r="AH140" s="214"/>
      <c r="AI140" s="214"/>
    </row>
    <row r="141">
      <c r="H141" s="208"/>
      <c r="I141" s="217"/>
      <c r="J141" s="217"/>
      <c r="K141" s="218"/>
      <c r="L141" s="211"/>
      <c r="M141" s="143"/>
      <c r="N141" s="213"/>
      <c r="O141" s="212"/>
      <c r="P141" s="212"/>
      <c r="Q141" s="143"/>
      <c r="R141" s="213"/>
      <c r="S141" s="212"/>
      <c r="T141" s="145"/>
      <c r="AB141" s="214" t="str">
        <f>IFERROR(__xludf.DUMMYFUNCTION("FILTER('설정시트'!$D$7:$L$20,'설정시트'!$C$7:$C$20=I141)"),"#N/A")</f>
        <v>#N/A</v>
      </c>
      <c r="AC141" s="214"/>
      <c r="AD141" s="214"/>
      <c r="AE141" s="214"/>
      <c r="AF141" s="214"/>
      <c r="AG141" s="214"/>
      <c r="AH141" s="214"/>
      <c r="AI141" s="214"/>
    </row>
    <row r="142">
      <c r="H142" s="208"/>
      <c r="I142" s="217"/>
      <c r="J142" s="217"/>
      <c r="K142" s="218"/>
      <c r="L142" s="211"/>
      <c r="M142" s="143"/>
      <c r="N142" s="213"/>
      <c r="O142" s="212"/>
      <c r="P142" s="212"/>
      <c r="Q142" s="143"/>
      <c r="R142" s="213"/>
      <c r="S142" s="212"/>
      <c r="T142" s="145"/>
      <c r="AB142" s="214" t="str">
        <f>IFERROR(__xludf.DUMMYFUNCTION("FILTER('설정시트'!$D$7:$L$20,'설정시트'!$C$7:$C$20=I142)"),"#N/A")</f>
        <v>#N/A</v>
      </c>
      <c r="AC142" s="214"/>
      <c r="AD142" s="214"/>
      <c r="AE142" s="214"/>
      <c r="AF142" s="214"/>
      <c r="AG142" s="214"/>
      <c r="AH142" s="214"/>
      <c r="AI142" s="214"/>
    </row>
    <row r="143">
      <c r="H143" s="208"/>
      <c r="I143" s="217"/>
      <c r="J143" s="217"/>
      <c r="K143" s="218"/>
      <c r="L143" s="211"/>
      <c r="M143" s="143"/>
      <c r="N143" s="213"/>
      <c r="O143" s="212"/>
      <c r="P143" s="212"/>
      <c r="Q143" s="143"/>
      <c r="R143" s="213"/>
      <c r="S143" s="212"/>
      <c r="T143" s="145"/>
      <c r="AB143" s="214" t="str">
        <f>IFERROR(__xludf.DUMMYFUNCTION("FILTER('설정시트'!$D$7:$L$20,'설정시트'!$C$7:$C$20=I143)"),"#N/A")</f>
        <v>#N/A</v>
      </c>
      <c r="AC143" s="214"/>
      <c r="AD143" s="214"/>
      <c r="AE143" s="214"/>
      <c r="AF143" s="214"/>
      <c r="AG143" s="214"/>
      <c r="AH143" s="214"/>
      <c r="AI143" s="214"/>
    </row>
    <row r="144">
      <c r="H144" s="208"/>
      <c r="I144" s="217"/>
      <c r="J144" s="217"/>
      <c r="K144" s="218"/>
      <c r="L144" s="211"/>
      <c r="M144" s="143"/>
      <c r="N144" s="213"/>
      <c r="O144" s="212"/>
      <c r="P144" s="212"/>
      <c r="Q144" s="143"/>
      <c r="R144" s="213"/>
      <c r="S144" s="212"/>
      <c r="T144" s="145"/>
      <c r="AB144" s="214" t="str">
        <f>IFERROR(__xludf.DUMMYFUNCTION("FILTER('설정시트'!$D$7:$L$20,'설정시트'!$C$7:$C$20=I144)"),"#N/A")</f>
        <v>#N/A</v>
      </c>
      <c r="AC144" s="214"/>
      <c r="AD144" s="214"/>
      <c r="AE144" s="214"/>
      <c r="AF144" s="214"/>
      <c r="AG144" s="214"/>
      <c r="AH144" s="214"/>
      <c r="AI144" s="214"/>
    </row>
    <row r="145">
      <c r="H145" s="208"/>
      <c r="I145" s="217"/>
      <c r="J145" s="217"/>
      <c r="K145" s="218"/>
      <c r="L145" s="211"/>
      <c r="M145" s="143"/>
      <c r="N145" s="213"/>
      <c r="O145" s="212"/>
      <c r="P145" s="212"/>
      <c r="Q145" s="143"/>
      <c r="R145" s="213"/>
      <c r="S145" s="212"/>
      <c r="T145" s="145"/>
      <c r="AB145" s="214" t="str">
        <f>IFERROR(__xludf.DUMMYFUNCTION("FILTER('설정시트'!$D$7:$L$20,'설정시트'!$C$7:$C$20=I145)"),"#N/A")</f>
        <v>#N/A</v>
      </c>
      <c r="AC145" s="214"/>
      <c r="AD145" s="214"/>
      <c r="AE145" s="214"/>
      <c r="AF145" s="214"/>
      <c r="AG145" s="214"/>
      <c r="AH145" s="214"/>
      <c r="AI145" s="214"/>
    </row>
    <row r="146">
      <c r="H146" s="208"/>
      <c r="I146" s="217"/>
      <c r="J146" s="217"/>
      <c r="K146" s="218"/>
      <c r="L146" s="211"/>
      <c r="M146" s="143"/>
      <c r="N146" s="213"/>
      <c r="O146" s="212"/>
      <c r="P146" s="212"/>
      <c r="Q146" s="143"/>
      <c r="R146" s="213"/>
      <c r="S146" s="212"/>
      <c r="T146" s="145"/>
      <c r="AB146" s="214" t="str">
        <f>IFERROR(__xludf.DUMMYFUNCTION("FILTER('설정시트'!$D$7:$L$20,'설정시트'!$C$7:$C$20=I146)"),"#N/A")</f>
        <v>#N/A</v>
      </c>
      <c r="AC146" s="214"/>
      <c r="AD146" s="214"/>
      <c r="AE146" s="214"/>
      <c r="AF146" s="214"/>
      <c r="AG146" s="214"/>
      <c r="AH146" s="214"/>
      <c r="AI146" s="214"/>
    </row>
    <row r="147">
      <c r="H147" s="208"/>
      <c r="I147" s="217"/>
      <c r="J147" s="217"/>
      <c r="K147" s="218"/>
      <c r="L147" s="211"/>
      <c r="M147" s="143"/>
      <c r="N147" s="213"/>
      <c r="O147" s="212"/>
      <c r="P147" s="212"/>
      <c r="Q147" s="143"/>
      <c r="R147" s="213"/>
      <c r="S147" s="212"/>
      <c r="T147" s="145"/>
      <c r="AB147" s="214" t="str">
        <f>IFERROR(__xludf.DUMMYFUNCTION("FILTER('설정시트'!$D$7:$L$20,'설정시트'!$C$7:$C$20=I147)"),"#N/A")</f>
        <v>#N/A</v>
      </c>
      <c r="AC147" s="214"/>
      <c r="AD147" s="214"/>
      <c r="AE147" s="214"/>
      <c r="AF147" s="214"/>
      <c r="AG147" s="214"/>
      <c r="AH147" s="214"/>
      <c r="AI147" s="214"/>
    </row>
    <row r="148">
      <c r="H148" s="208"/>
      <c r="I148" s="217"/>
      <c r="J148" s="217"/>
      <c r="K148" s="218"/>
      <c r="L148" s="211"/>
      <c r="M148" s="143"/>
      <c r="N148" s="213"/>
      <c r="O148" s="212"/>
      <c r="P148" s="212"/>
      <c r="Q148" s="143"/>
      <c r="R148" s="213"/>
      <c r="S148" s="212"/>
      <c r="T148" s="145"/>
      <c r="AB148" s="214" t="str">
        <f>IFERROR(__xludf.DUMMYFUNCTION("FILTER('설정시트'!$D$7:$L$20,'설정시트'!$C$7:$C$20=I148)"),"#N/A")</f>
        <v>#N/A</v>
      </c>
      <c r="AC148" s="214"/>
      <c r="AD148" s="214"/>
      <c r="AE148" s="214"/>
      <c r="AF148" s="214"/>
      <c r="AG148" s="214"/>
      <c r="AH148" s="214"/>
      <c r="AI148" s="214"/>
    </row>
    <row r="149">
      <c r="H149" s="208"/>
      <c r="I149" s="217"/>
      <c r="J149" s="217"/>
      <c r="K149" s="218"/>
      <c r="L149" s="211"/>
      <c r="M149" s="143"/>
      <c r="N149" s="213"/>
      <c r="O149" s="212"/>
      <c r="P149" s="212"/>
      <c r="Q149" s="143"/>
      <c r="R149" s="213"/>
      <c r="S149" s="212"/>
      <c r="T149" s="145"/>
      <c r="AB149" s="214" t="str">
        <f>IFERROR(__xludf.DUMMYFUNCTION("FILTER('설정시트'!$D$7:$L$20,'설정시트'!$C$7:$C$20=I149)"),"#N/A")</f>
        <v>#N/A</v>
      </c>
      <c r="AC149" s="214"/>
      <c r="AD149" s="214"/>
      <c r="AE149" s="214"/>
      <c r="AF149" s="214"/>
      <c r="AG149" s="214"/>
      <c r="AH149" s="214"/>
      <c r="AI149" s="214"/>
    </row>
    <row r="150">
      <c r="H150" s="221"/>
      <c r="I150" s="217"/>
      <c r="J150" s="217"/>
      <c r="K150" s="218"/>
      <c r="L150" s="211"/>
      <c r="M150" s="143"/>
      <c r="N150" s="213"/>
      <c r="O150" s="212"/>
      <c r="P150" s="212"/>
      <c r="Q150" s="143"/>
      <c r="R150" s="213"/>
      <c r="S150" s="212"/>
      <c r="T150" s="145"/>
      <c r="AB150" s="214" t="str">
        <f>IFERROR(__xludf.DUMMYFUNCTION("FILTER('설정시트'!$D$7:$L$20,'설정시트'!$C$7:$C$20=I150)"),"#N/A")</f>
        <v>#N/A</v>
      </c>
      <c r="AC150" s="214"/>
      <c r="AD150" s="214"/>
      <c r="AE150" s="214"/>
      <c r="AF150" s="214"/>
      <c r="AG150" s="214"/>
      <c r="AH150" s="214"/>
      <c r="AI150" s="214"/>
    </row>
    <row r="151">
      <c r="H151" s="221"/>
      <c r="I151" s="222"/>
      <c r="J151" s="217"/>
      <c r="K151" s="220"/>
      <c r="L151" s="213"/>
      <c r="M151" s="143"/>
      <c r="N151" s="213"/>
      <c r="O151" s="212"/>
      <c r="P151" s="212"/>
      <c r="Q151" s="143"/>
      <c r="R151" s="213"/>
      <c r="S151" s="212"/>
      <c r="T151" s="145"/>
      <c r="AB151" s="214" t="str">
        <f>IFERROR(__xludf.DUMMYFUNCTION("FILTER('설정시트'!$D$7:$L$20,'설정시트'!$C$7:$C$20=I151)"),"#N/A")</f>
        <v>#N/A</v>
      </c>
      <c r="AC151" s="214"/>
      <c r="AD151" s="214"/>
      <c r="AE151" s="214"/>
      <c r="AF151" s="214"/>
      <c r="AG151" s="214"/>
      <c r="AH151" s="214"/>
      <c r="AI151" s="214"/>
    </row>
    <row r="152">
      <c r="H152" s="221"/>
      <c r="I152" s="222"/>
      <c r="J152" s="217"/>
      <c r="K152" s="220"/>
      <c r="L152" s="213"/>
      <c r="M152" s="143"/>
      <c r="N152" s="213"/>
      <c r="O152" s="212"/>
      <c r="P152" s="212"/>
      <c r="Q152" s="143"/>
      <c r="R152" s="213"/>
      <c r="S152" s="212"/>
      <c r="T152" s="145"/>
      <c r="AB152" s="214" t="str">
        <f>IFERROR(__xludf.DUMMYFUNCTION("FILTER('설정시트'!$D$7:$L$20,'설정시트'!$C$7:$C$20=I152)"),"#N/A")</f>
        <v>#N/A</v>
      </c>
      <c r="AC152" s="214"/>
      <c r="AD152" s="214"/>
      <c r="AE152" s="214"/>
      <c r="AF152" s="214"/>
      <c r="AG152" s="214"/>
      <c r="AH152" s="214"/>
      <c r="AI152" s="214"/>
    </row>
    <row r="153">
      <c r="H153" s="221"/>
      <c r="I153" s="222"/>
      <c r="J153" s="217"/>
      <c r="K153" s="220"/>
      <c r="L153" s="213"/>
      <c r="M153" s="143"/>
      <c r="N153" s="213"/>
      <c r="O153" s="212"/>
      <c r="P153" s="212"/>
      <c r="Q153" s="143"/>
      <c r="R153" s="213"/>
      <c r="S153" s="212"/>
      <c r="T153" s="145"/>
      <c r="AB153" s="214" t="str">
        <f>IFERROR(__xludf.DUMMYFUNCTION("FILTER('설정시트'!$D$7:$L$20,'설정시트'!$C$7:$C$20=I153)"),"#N/A")</f>
        <v>#N/A</v>
      </c>
      <c r="AC153" s="214"/>
      <c r="AD153" s="214"/>
      <c r="AE153" s="214"/>
      <c r="AF153" s="214"/>
      <c r="AG153" s="214"/>
      <c r="AH153" s="214"/>
      <c r="AI153" s="214"/>
    </row>
    <row r="154">
      <c r="H154" s="221"/>
      <c r="I154" s="222"/>
      <c r="J154" s="217"/>
      <c r="K154" s="220"/>
      <c r="L154" s="213"/>
      <c r="M154" s="143"/>
      <c r="N154" s="213"/>
      <c r="O154" s="212"/>
      <c r="P154" s="212"/>
      <c r="Q154" s="143"/>
      <c r="R154" s="213"/>
      <c r="S154" s="212"/>
      <c r="T154" s="145"/>
      <c r="AB154" s="214" t="str">
        <f>IFERROR(__xludf.DUMMYFUNCTION("FILTER('설정시트'!$D$7:$L$20,'설정시트'!$C$7:$C$20=I154)"),"#N/A")</f>
        <v>#N/A</v>
      </c>
      <c r="AC154" s="214"/>
      <c r="AD154" s="214"/>
      <c r="AE154" s="214"/>
      <c r="AF154" s="214"/>
      <c r="AG154" s="214"/>
      <c r="AH154" s="214"/>
      <c r="AI154" s="214"/>
    </row>
    <row r="155">
      <c r="H155" s="221"/>
      <c r="I155" s="222"/>
      <c r="J155" s="217"/>
      <c r="K155" s="220"/>
      <c r="L155" s="213"/>
      <c r="M155" s="143"/>
      <c r="N155" s="213"/>
      <c r="O155" s="212"/>
      <c r="P155" s="212"/>
      <c r="Q155" s="143"/>
      <c r="R155" s="213"/>
      <c r="S155" s="212"/>
      <c r="T155" s="145"/>
      <c r="AB155" s="214" t="str">
        <f>IFERROR(__xludf.DUMMYFUNCTION("FILTER('설정시트'!$D$7:$L$20,'설정시트'!$C$7:$C$20=I155)"),"#N/A")</f>
        <v>#N/A</v>
      </c>
      <c r="AC155" s="214"/>
      <c r="AD155" s="214"/>
      <c r="AE155" s="214"/>
      <c r="AF155" s="214"/>
      <c r="AG155" s="214"/>
      <c r="AH155" s="214"/>
      <c r="AI155" s="214"/>
    </row>
    <row r="156">
      <c r="H156" s="221"/>
      <c r="I156" s="222"/>
      <c r="J156" s="217"/>
      <c r="K156" s="220"/>
      <c r="L156" s="213"/>
      <c r="M156" s="143"/>
      <c r="N156" s="213"/>
      <c r="O156" s="212"/>
      <c r="P156" s="212"/>
      <c r="Q156" s="143"/>
      <c r="R156" s="213"/>
      <c r="S156" s="212"/>
      <c r="T156" s="145"/>
      <c r="AB156" s="214" t="str">
        <f>IFERROR(__xludf.DUMMYFUNCTION("FILTER('설정시트'!$D$7:$L$20,'설정시트'!$C$7:$C$20=I156)"),"#N/A")</f>
        <v>#N/A</v>
      </c>
      <c r="AC156" s="214"/>
      <c r="AD156" s="214"/>
      <c r="AE156" s="214"/>
      <c r="AF156" s="214"/>
      <c r="AG156" s="214"/>
      <c r="AH156" s="214"/>
      <c r="AI156" s="214"/>
    </row>
    <row r="157">
      <c r="H157" s="221"/>
      <c r="I157" s="222"/>
      <c r="J157" s="217"/>
      <c r="K157" s="220"/>
      <c r="L157" s="213"/>
      <c r="M157" s="143"/>
      <c r="N157" s="213"/>
      <c r="O157" s="212"/>
      <c r="P157" s="212"/>
      <c r="Q157" s="143"/>
      <c r="R157" s="213"/>
      <c r="S157" s="212"/>
      <c r="T157" s="145"/>
      <c r="AB157" s="214" t="str">
        <f>IFERROR(__xludf.DUMMYFUNCTION("FILTER('설정시트'!$D$7:$L$20,'설정시트'!$C$7:$C$20=I157)"),"#N/A")</f>
        <v>#N/A</v>
      </c>
      <c r="AC157" s="214"/>
      <c r="AD157" s="214"/>
      <c r="AE157" s="214"/>
      <c r="AF157" s="214"/>
      <c r="AG157" s="214"/>
      <c r="AH157" s="214"/>
      <c r="AI157" s="214"/>
    </row>
    <row r="158">
      <c r="H158" s="221"/>
      <c r="I158" s="222"/>
      <c r="J158" s="217"/>
      <c r="K158" s="220"/>
      <c r="L158" s="213"/>
      <c r="M158" s="143"/>
      <c r="N158" s="213"/>
      <c r="O158" s="212"/>
      <c r="P158" s="212"/>
      <c r="Q158" s="143"/>
      <c r="R158" s="213"/>
      <c r="S158" s="212"/>
      <c r="T158" s="145"/>
      <c r="AB158" s="214" t="str">
        <f>IFERROR(__xludf.DUMMYFUNCTION("FILTER('설정시트'!$D$7:$L$20,'설정시트'!$C$7:$C$20=I158)"),"#N/A")</f>
        <v>#N/A</v>
      </c>
      <c r="AC158" s="214"/>
      <c r="AD158" s="214"/>
      <c r="AE158" s="214"/>
      <c r="AF158" s="214"/>
      <c r="AG158" s="214"/>
      <c r="AH158" s="214"/>
      <c r="AI158" s="214"/>
    </row>
    <row r="159">
      <c r="H159" s="221"/>
      <c r="I159" s="222"/>
      <c r="J159" s="217"/>
      <c r="K159" s="220"/>
      <c r="L159" s="213"/>
      <c r="M159" s="143"/>
      <c r="N159" s="213"/>
      <c r="O159" s="212"/>
      <c r="P159" s="212"/>
      <c r="Q159" s="143"/>
      <c r="R159" s="213"/>
      <c r="S159" s="212"/>
      <c r="T159" s="145"/>
      <c r="AB159" s="214" t="str">
        <f>IFERROR(__xludf.DUMMYFUNCTION("FILTER('설정시트'!$D$7:$L$20,'설정시트'!$C$7:$C$20=I159)"),"#N/A")</f>
        <v>#N/A</v>
      </c>
      <c r="AC159" s="214"/>
      <c r="AD159" s="214"/>
      <c r="AE159" s="214"/>
      <c r="AF159" s="214"/>
      <c r="AG159" s="214"/>
      <c r="AH159" s="214"/>
      <c r="AI159" s="214"/>
    </row>
    <row r="160">
      <c r="H160" s="221"/>
      <c r="I160" s="222"/>
      <c r="J160" s="217"/>
      <c r="K160" s="220"/>
      <c r="L160" s="213"/>
      <c r="M160" s="143"/>
      <c r="N160" s="213"/>
      <c r="O160" s="212"/>
      <c r="P160" s="212"/>
      <c r="Q160" s="143"/>
      <c r="R160" s="213"/>
      <c r="S160" s="212"/>
      <c r="T160" s="145"/>
      <c r="AB160" s="214" t="str">
        <f>IFERROR(__xludf.DUMMYFUNCTION("FILTER('설정시트'!$D$7:$L$20,'설정시트'!$C$7:$C$20=I160)"),"#N/A")</f>
        <v>#N/A</v>
      </c>
      <c r="AC160" s="214"/>
      <c r="AD160" s="214"/>
      <c r="AE160" s="214"/>
      <c r="AF160" s="214"/>
      <c r="AG160" s="214"/>
      <c r="AH160" s="214"/>
      <c r="AI160" s="214"/>
    </row>
    <row r="161">
      <c r="H161" s="221"/>
      <c r="I161" s="222"/>
      <c r="J161" s="217"/>
      <c r="K161" s="220"/>
      <c r="L161" s="213"/>
      <c r="M161" s="143"/>
      <c r="N161" s="213"/>
      <c r="O161" s="212"/>
      <c r="P161" s="212"/>
      <c r="Q161" s="143"/>
      <c r="R161" s="213"/>
      <c r="S161" s="212"/>
      <c r="T161" s="145"/>
      <c r="AB161" s="214" t="str">
        <f>IFERROR(__xludf.DUMMYFUNCTION("FILTER('설정시트'!$D$7:$L$20,'설정시트'!$C$7:$C$20=I161)"),"#N/A")</f>
        <v>#N/A</v>
      </c>
      <c r="AC161" s="214"/>
      <c r="AD161" s="214"/>
      <c r="AE161" s="214"/>
      <c r="AF161" s="214"/>
      <c r="AG161" s="214"/>
      <c r="AH161" s="214"/>
      <c r="AI161" s="214"/>
    </row>
    <row r="162">
      <c r="H162" s="221"/>
      <c r="I162" s="222"/>
      <c r="J162" s="217"/>
      <c r="K162" s="220"/>
      <c r="L162" s="213"/>
      <c r="M162" s="143"/>
      <c r="N162" s="213"/>
      <c r="O162" s="212"/>
      <c r="P162" s="212"/>
      <c r="Q162" s="143"/>
      <c r="R162" s="213"/>
      <c r="S162" s="212"/>
      <c r="T162" s="145"/>
      <c r="AB162" s="214" t="str">
        <f>IFERROR(__xludf.DUMMYFUNCTION("FILTER('설정시트'!$D$7:$L$20,'설정시트'!$C$7:$C$20=I162)"),"#N/A")</f>
        <v>#N/A</v>
      </c>
      <c r="AC162" s="214"/>
      <c r="AD162" s="214"/>
      <c r="AE162" s="214"/>
      <c r="AF162" s="214"/>
      <c r="AG162" s="214"/>
      <c r="AH162" s="214"/>
      <c r="AI162" s="214"/>
    </row>
    <row r="163">
      <c r="H163" s="221"/>
      <c r="I163" s="222"/>
      <c r="J163" s="217"/>
      <c r="K163" s="220"/>
      <c r="L163" s="213"/>
      <c r="M163" s="143"/>
      <c r="N163" s="213"/>
      <c r="O163" s="212"/>
      <c r="P163" s="212"/>
      <c r="Q163" s="143"/>
      <c r="R163" s="213"/>
      <c r="S163" s="212"/>
      <c r="T163" s="145"/>
      <c r="AB163" s="214" t="str">
        <f>IFERROR(__xludf.DUMMYFUNCTION("FILTER('설정시트'!$D$7:$L$20,'설정시트'!$C$7:$C$20=I163)"),"#N/A")</f>
        <v>#N/A</v>
      </c>
      <c r="AC163" s="214"/>
      <c r="AD163" s="214"/>
      <c r="AE163" s="214"/>
      <c r="AF163" s="214"/>
      <c r="AG163" s="214"/>
      <c r="AH163" s="214"/>
      <c r="AI163" s="214"/>
    </row>
    <row r="164">
      <c r="H164" s="221"/>
      <c r="I164" s="222"/>
      <c r="J164" s="217"/>
      <c r="K164" s="220"/>
      <c r="L164" s="213"/>
      <c r="M164" s="143"/>
      <c r="N164" s="213"/>
      <c r="O164" s="212"/>
      <c r="P164" s="212"/>
      <c r="Q164" s="143"/>
      <c r="R164" s="213"/>
      <c r="S164" s="212"/>
      <c r="T164" s="145"/>
      <c r="AB164" s="214" t="str">
        <f>IFERROR(__xludf.DUMMYFUNCTION("FILTER('설정시트'!$D$7:$L$20,'설정시트'!$C$7:$C$20=I164)"),"#N/A")</f>
        <v>#N/A</v>
      </c>
      <c r="AC164" s="214"/>
      <c r="AD164" s="214"/>
      <c r="AE164" s="214"/>
      <c r="AF164" s="214"/>
      <c r="AG164" s="214"/>
      <c r="AH164" s="214"/>
      <c r="AI164" s="214"/>
    </row>
    <row r="165">
      <c r="H165" s="221"/>
      <c r="I165" s="222"/>
      <c r="J165" s="217"/>
      <c r="K165" s="220"/>
      <c r="L165" s="213"/>
      <c r="M165" s="143"/>
      <c r="N165" s="213"/>
      <c r="O165" s="212"/>
      <c r="P165" s="212"/>
      <c r="Q165" s="143"/>
      <c r="R165" s="213"/>
      <c r="S165" s="212"/>
      <c r="T165" s="145"/>
      <c r="AB165" s="214" t="str">
        <f>IFERROR(__xludf.DUMMYFUNCTION("FILTER('설정시트'!$D$7:$L$20,'설정시트'!$C$7:$C$20=I165)"),"#N/A")</f>
        <v>#N/A</v>
      </c>
      <c r="AC165" s="214"/>
      <c r="AD165" s="214"/>
      <c r="AE165" s="214"/>
      <c r="AF165" s="214"/>
      <c r="AG165" s="214"/>
      <c r="AH165" s="214"/>
      <c r="AI165" s="214"/>
    </row>
    <row r="166">
      <c r="H166" s="221"/>
      <c r="I166" s="222"/>
      <c r="J166" s="217"/>
      <c r="K166" s="220"/>
      <c r="L166" s="213"/>
      <c r="M166" s="143"/>
      <c r="N166" s="213"/>
      <c r="O166" s="212"/>
      <c r="P166" s="212"/>
      <c r="Q166" s="143"/>
      <c r="R166" s="213"/>
      <c r="S166" s="212"/>
      <c r="T166" s="145"/>
      <c r="AB166" s="214" t="str">
        <f>IFERROR(__xludf.DUMMYFUNCTION("FILTER('설정시트'!$D$7:$L$20,'설정시트'!$C$7:$C$20=I166)"),"#N/A")</f>
        <v>#N/A</v>
      </c>
      <c r="AC166" s="214"/>
      <c r="AD166" s="214"/>
      <c r="AE166" s="214"/>
      <c r="AF166" s="214"/>
      <c r="AG166" s="214"/>
      <c r="AH166" s="214"/>
      <c r="AI166" s="214"/>
    </row>
    <row r="167">
      <c r="H167" s="221"/>
      <c r="I167" s="222"/>
      <c r="J167" s="217"/>
      <c r="K167" s="220"/>
      <c r="L167" s="213"/>
      <c r="M167" s="143"/>
      <c r="N167" s="213"/>
      <c r="O167" s="212"/>
      <c r="P167" s="212"/>
      <c r="Q167" s="143"/>
      <c r="R167" s="213"/>
      <c r="S167" s="212"/>
      <c r="T167" s="145"/>
      <c r="AB167" s="214" t="str">
        <f>IFERROR(__xludf.DUMMYFUNCTION("FILTER('설정시트'!$D$7:$L$20,'설정시트'!$C$7:$C$20=I167)"),"#N/A")</f>
        <v>#N/A</v>
      </c>
      <c r="AC167" s="214"/>
      <c r="AD167" s="214"/>
      <c r="AE167" s="214"/>
      <c r="AF167" s="214"/>
      <c r="AG167" s="214"/>
      <c r="AH167" s="214"/>
      <c r="AI167" s="214"/>
    </row>
    <row r="168">
      <c r="H168" s="221"/>
      <c r="I168" s="222"/>
      <c r="J168" s="217"/>
      <c r="K168" s="220"/>
      <c r="L168" s="213"/>
      <c r="M168" s="143"/>
      <c r="N168" s="213"/>
      <c r="O168" s="212"/>
      <c r="P168" s="212"/>
      <c r="Q168" s="143"/>
      <c r="R168" s="213"/>
      <c r="S168" s="212"/>
      <c r="T168" s="145"/>
      <c r="AB168" s="214" t="str">
        <f>IFERROR(__xludf.DUMMYFUNCTION("FILTER('설정시트'!$D$7:$L$20,'설정시트'!$C$7:$C$20=I168)"),"#N/A")</f>
        <v>#N/A</v>
      </c>
      <c r="AC168" s="214"/>
      <c r="AD168" s="214"/>
      <c r="AE168" s="214"/>
      <c r="AF168" s="214"/>
      <c r="AG168" s="214"/>
      <c r="AH168" s="214"/>
      <c r="AI168" s="214"/>
    </row>
    <row r="169">
      <c r="H169" s="221"/>
      <c r="I169" s="222"/>
      <c r="J169" s="217"/>
      <c r="K169" s="220"/>
      <c r="L169" s="213"/>
      <c r="M169" s="143"/>
      <c r="N169" s="213"/>
      <c r="O169" s="212"/>
      <c r="P169" s="212"/>
      <c r="Q169" s="143"/>
      <c r="R169" s="213"/>
      <c r="S169" s="212"/>
      <c r="T169" s="145"/>
      <c r="AB169" s="214" t="str">
        <f>IFERROR(__xludf.DUMMYFUNCTION("FILTER('설정시트'!$D$7:$L$20,'설정시트'!$C$7:$C$20=I169)"),"#N/A")</f>
        <v>#N/A</v>
      </c>
      <c r="AC169" s="214"/>
      <c r="AD169" s="214"/>
      <c r="AE169" s="214"/>
      <c r="AF169" s="214"/>
      <c r="AG169" s="214"/>
      <c r="AH169" s="214"/>
      <c r="AI169" s="214"/>
    </row>
    <row r="170">
      <c r="H170" s="221"/>
      <c r="I170" s="222"/>
      <c r="J170" s="217"/>
      <c r="K170" s="220"/>
      <c r="L170" s="213"/>
      <c r="M170" s="143"/>
      <c r="N170" s="213"/>
      <c r="O170" s="212"/>
      <c r="P170" s="212"/>
      <c r="Q170" s="143"/>
      <c r="R170" s="213"/>
      <c r="S170" s="212"/>
      <c r="T170" s="145"/>
      <c r="AB170" s="214" t="str">
        <f>IFERROR(__xludf.DUMMYFUNCTION("FILTER('설정시트'!$D$7:$L$20,'설정시트'!$C$7:$C$20=I170)"),"#N/A")</f>
        <v>#N/A</v>
      </c>
      <c r="AC170" s="214"/>
      <c r="AD170" s="214"/>
      <c r="AE170" s="214"/>
      <c r="AF170" s="214"/>
      <c r="AG170" s="214"/>
      <c r="AH170" s="214"/>
      <c r="AI170" s="214"/>
    </row>
    <row r="171">
      <c r="H171" s="221"/>
      <c r="I171" s="222"/>
      <c r="J171" s="217"/>
      <c r="K171" s="220"/>
      <c r="L171" s="213"/>
      <c r="M171" s="143"/>
      <c r="N171" s="213"/>
      <c r="O171" s="212"/>
      <c r="P171" s="212"/>
      <c r="Q171" s="143"/>
      <c r="R171" s="213"/>
      <c r="S171" s="212"/>
      <c r="T171" s="145"/>
      <c r="AB171" s="214" t="str">
        <f>IFERROR(__xludf.DUMMYFUNCTION("FILTER('설정시트'!$D$7:$L$20,'설정시트'!$C$7:$C$20=I171)"),"#N/A")</f>
        <v>#N/A</v>
      </c>
      <c r="AC171" s="214"/>
      <c r="AD171" s="214"/>
      <c r="AE171" s="214"/>
      <c r="AF171" s="214"/>
      <c r="AG171" s="214"/>
      <c r="AH171" s="214"/>
      <c r="AI171" s="214"/>
    </row>
    <row r="172">
      <c r="H172" s="221"/>
      <c r="I172" s="222"/>
      <c r="J172" s="217"/>
      <c r="K172" s="220"/>
      <c r="L172" s="213"/>
      <c r="M172" s="143"/>
      <c r="N172" s="213"/>
      <c r="O172" s="212"/>
      <c r="P172" s="212"/>
      <c r="Q172" s="143"/>
      <c r="R172" s="213"/>
      <c r="S172" s="212"/>
      <c r="T172" s="145"/>
      <c r="AB172" s="214" t="str">
        <f>IFERROR(__xludf.DUMMYFUNCTION("FILTER('설정시트'!$D$7:$L$20,'설정시트'!$C$7:$C$20=I172)"),"#N/A")</f>
        <v>#N/A</v>
      </c>
      <c r="AC172" s="214"/>
      <c r="AD172" s="214"/>
      <c r="AE172" s="214"/>
      <c r="AF172" s="214"/>
      <c r="AG172" s="214"/>
      <c r="AH172" s="214"/>
      <c r="AI172" s="214"/>
    </row>
    <row r="173">
      <c r="H173" s="221"/>
      <c r="I173" s="222"/>
      <c r="J173" s="217"/>
      <c r="K173" s="220"/>
      <c r="L173" s="213"/>
      <c r="M173" s="143"/>
      <c r="N173" s="213"/>
      <c r="O173" s="212"/>
      <c r="P173" s="212"/>
      <c r="Q173" s="143"/>
      <c r="R173" s="213"/>
      <c r="S173" s="212"/>
      <c r="T173" s="145"/>
      <c r="AB173" s="214" t="str">
        <f>IFERROR(__xludf.DUMMYFUNCTION("FILTER('설정시트'!$D$7:$L$20,'설정시트'!$C$7:$C$20=I173)"),"#N/A")</f>
        <v>#N/A</v>
      </c>
      <c r="AC173" s="214"/>
      <c r="AD173" s="214"/>
      <c r="AE173" s="214"/>
      <c r="AF173" s="214"/>
      <c r="AG173" s="214"/>
      <c r="AH173" s="214"/>
      <c r="AI173" s="214"/>
    </row>
    <row r="174">
      <c r="H174" s="221"/>
      <c r="I174" s="222"/>
      <c r="J174" s="217"/>
      <c r="K174" s="220"/>
      <c r="L174" s="213"/>
      <c r="M174" s="143"/>
      <c r="N174" s="213"/>
      <c r="O174" s="212"/>
      <c r="P174" s="212"/>
      <c r="Q174" s="143"/>
      <c r="R174" s="213"/>
      <c r="S174" s="212"/>
      <c r="T174" s="145"/>
      <c r="AB174" s="214" t="str">
        <f>IFERROR(__xludf.DUMMYFUNCTION("FILTER('설정시트'!$D$7:$L$20,'설정시트'!$C$7:$C$20=I174)"),"#N/A")</f>
        <v>#N/A</v>
      </c>
      <c r="AC174" s="214"/>
      <c r="AD174" s="214"/>
      <c r="AE174" s="214"/>
      <c r="AF174" s="214"/>
      <c r="AG174" s="214"/>
      <c r="AH174" s="214"/>
      <c r="AI174" s="214"/>
    </row>
    <row r="175">
      <c r="H175" s="221"/>
      <c r="I175" s="222"/>
      <c r="J175" s="217"/>
      <c r="K175" s="220"/>
      <c r="L175" s="213"/>
      <c r="M175" s="143"/>
      <c r="N175" s="213"/>
      <c r="O175" s="212"/>
      <c r="P175" s="212"/>
      <c r="Q175" s="143"/>
      <c r="R175" s="213"/>
      <c r="S175" s="212"/>
      <c r="T175" s="145"/>
      <c r="AB175" s="214" t="str">
        <f>IFERROR(__xludf.DUMMYFUNCTION("FILTER('설정시트'!$D$7:$L$20,'설정시트'!$C$7:$C$20=I175)"),"#N/A")</f>
        <v>#N/A</v>
      </c>
      <c r="AC175" s="214"/>
      <c r="AD175" s="214"/>
      <c r="AE175" s="214"/>
      <c r="AF175" s="214"/>
      <c r="AG175" s="214"/>
      <c r="AH175" s="214"/>
      <c r="AI175" s="214"/>
    </row>
    <row r="176">
      <c r="H176" s="221"/>
      <c r="I176" s="222"/>
      <c r="J176" s="217"/>
      <c r="K176" s="220"/>
      <c r="L176" s="213"/>
      <c r="M176" s="143"/>
      <c r="N176" s="213"/>
      <c r="O176" s="212"/>
      <c r="P176" s="212"/>
      <c r="Q176" s="143"/>
      <c r="R176" s="213"/>
      <c r="S176" s="212"/>
      <c r="T176" s="145"/>
      <c r="AB176" s="214" t="str">
        <f>IFERROR(__xludf.DUMMYFUNCTION("FILTER('설정시트'!$D$7:$L$20,'설정시트'!$C$7:$C$20=I176)"),"#N/A")</f>
        <v>#N/A</v>
      </c>
      <c r="AC176" s="214"/>
      <c r="AD176" s="214"/>
      <c r="AE176" s="214"/>
      <c r="AF176" s="214"/>
      <c r="AG176" s="214"/>
      <c r="AH176" s="214"/>
      <c r="AI176" s="214"/>
    </row>
    <row r="177">
      <c r="H177" s="221"/>
      <c r="I177" s="222"/>
      <c r="J177" s="217"/>
      <c r="K177" s="220"/>
      <c r="L177" s="213"/>
      <c r="M177" s="143"/>
      <c r="N177" s="213"/>
      <c r="O177" s="212"/>
      <c r="P177" s="212"/>
      <c r="Q177" s="143"/>
      <c r="R177" s="213"/>
      <c r="S177" s="212"/>
      <c r="T177" s="145"/>
      <c r="AB177" s="214" t="str">
        <f>IFERROR(__xludf.DUMMYFUNCTION("FILTER('설정시트'!$D$7:$L$20,'설정시트'!$C$7:$C$20=I177)"),"#N/A")</f>
        <v>#N/A</v>
      </c>
      <c r="AC177" s="214"/>
      <c r="AD177" s="214"/>
      <c r="AE177" s="214"/>
      <c r="AF177" s="214"/>
      <c r="AG177" s="214"/>
      <c r="AH177" s="214"/>
      <c r="AI177" s="214"/>
    </row>
    <row r="178">
      <c r="H178" s="221"/>
      <c r="I178" s="222"/>
      <c r="J178" s="217"/>
      <c r="K178" s="220"/>
      <c r="L178" s="213"/>
      <c r="M178" s="143"/>
      <c r="N178" s="213"/>
      <c r="O178" s="212"/>
      <c r="P178" s="212"/>
      <c r="Q178" s="143"/>
      <c r="R178" s="213"/>
      <c r="S178" s="212"/>
      <c r="T178" s="145"/>
      <c r="AB178" s="214" t="str">
        <f>IFERROR(__xludf.DUMMYFUNCTION("FILTER('설정시트'!$D$7:$L$20,'설정시트'!$C$7:$C$20=I178)"),"#N/A")</f>
        <v>#N/A</v>
      </c>
      <c r="AC178" s="214"/>
      <c r="AD178" s="214"/>
      <c r="AE178" s="214"/>
      <c r="AF178" s="214"/>
      <c r="AG178" s="214"/>
      <c r="AH178" s="214"/>
      <c r="AI178" s="214"/>
    </row>
    <row r="179">
      <c r="H179" s="221"/>
      <c r="I179" s="222"/>
      <c r="J179" s="217"/>
      <c r="K179" s="220"/>
      <c r="L179" s="213"/>
      <c r="M179" s="143"/>
      <c r="N179" s="213"/>
      <c r="O179" s="212"/>
      <c r="P179" s="212"/>
      <c r="Q179" s="143"/>
      <c r="R179" s="213"/>
      <c r="S179" s="212"/>
      <c r="T179" s="145"/>
      <c r="AB179" s="214" t="str">
        <f>IFERROR(__xludf.DUMMYFUNCTION("FILTER('설정시트'!$D$7:$L$20,'설정시트'!$C$7:$C$20=I179)"),"#N/A")</f>
        <v>#N/A</v>
      </c>
      <c r="AC179" s="214"/>
      <c r="AD179" s="214"/>
      <c r="AE179" s="214"/>
      <c r="AF179" s="214"/>
      <c r="AG179" s="214"/>
      <c r="AH179" s="214"/>
      <c r="AI179" s="214"/>
    </row>
    <row r="180">
      <c r="H180" s="221"/>
      <c r="I180" s="222"/>
      <c r="J180" s="217"/>
      <c r="K180" s="220"/>
      <c r="L180" s="213"/>
      <c r="M180" s="143"/>
      <c r="N180" s="213"/>
      <c r="O180" s="212"/>
      <c r="P180" s="212"/>
      <c r="Q180" s="143"/>
      <c r="R180" s="213"/>
      <c r="S180" s="212"/>
      <c r="T180" s="145"/>
      <c r="AB180" s="214" t="str">
        <f>IFERROR(__xludf.DUMMYFUNCTION("FILTER('설정시트'!$D$7:$L$20,'설정시트'!$C$7:$C$20=I180)"),"#N/A")</f>
        <v>#N/A</v>
      </c>
      <c r="AC180" s="214"/>
      <c r="AD180" s="214"/>
      <c r="AE180" s="214"/>
      <c r="AF180" s="214"/>
      <c r="AG180" s="214"/>
      <c r="AH180" s="214"/>
      <c r="AI180" s="214"/>
    </row>
    <row r="181">
      <c r="H181" s="221"/>
      <c r="I181" s="222"/>
      <c r="J181" s="217"/>
      <c r="K181" s="220"/>
      <c r="L181" s="213"/>
      <c r="M181" s="143"/>
      <c r="N181" s="213"/>
      <c r="O181" s="212"/>
      <c r="P181" s="212"/>
      <c r="Q181" s="143"/>
      <c r="R181" s="213"/>
      <c r="S181" s="212"/>
      <c r="T181" s="145"/>
      <c r="AB181" s="214" t="str">
        <f>IFERROR(__xludf.DUMMYFUNCTION("FILTER('설정시트'!$D$7:$L$20,'설정시트'!$C$7:$C$20=I181)"),"#N/A")</f>
        <v>#N/A</v>
      </c>
      <c r="AC181" s="214"/>
      <c r="AD181" s="214"/>
      <c r="AE181" s="214"/>
      <c r="AF181" s="214"/>
      <c r="AG181" s="214"/>
      <c r="AH181" s="214"/>
      <c r="AI181" s="214"/>
    </row>
    <row r="182">
      <c r="H182" s="221"/>
      <c r="I182" s="222"/>
      <c r="J182" s="217"/>
      <c r="K182" s="220"/>
      <c r="L182" s="213"/>
      <c r="M182" s="143"/>
      <c r="N182" s="213"/>
      <c r="O182" s="212"/>
      <c r="P182" s="212"/>
      <c r="Q182" s="143"/>
      <c r="R182" s="213"/>
      <c r="S182" s="212"/>
      <c r="T182" s="145"/>
      <c r="AB182" s="214" t="str">
        <f>IFERROR(__xludf.DUMMYFUNCTION("FILTER('설정시트'!$D$7:$L$20,'설정시트'!$C$7:$C$20=I182)"),"#N/A")</f>
        <v>#N/A</v>
      </c>
      <c r="AC182" s="214"/>
      <c r="AD182" s="214"/>
      <c r="AE182" s="214"/>
      <c r="AF182" s="214"/>
      <c r="AG182" s="214"/>
      <c r="AH182" s="214"/>
      <c r="AI182" s="214"/>
    </row>
    <row r="183">
      <c r="H183" s="221"/>
      <c r="I183" s="222"/>
      <c r="J183" s="217"/>
      <c r="K183" s="220"/>
      <c r="L183" s="213"/>
      <c r="M183" s="143"/>
      <c r="N183" s="213"/>
      <c r="O183" s="212"/>
      <c r="P183" s="212"/>
      <c r="Q183" s="143"/>
      <c r="R183" s="213"/>
      <c r="S183" s="212"/>
      <c r="T183" s="145"/>
      <c r="AB183" s="214" t="str">
        <f>IFERROR(__xludf.DUMMYFUNCTION("FILTER('설정시트'!$D$7:$L$20,'설정시트'!$C$7:$C$20=I183)"),"#N/A")</f>
        <v>#N/A</v>
      </c>
      <c r="AC183" s="214"/>
      <c r="AD183" s="214"/>
      <c r="AE183" s="214"/>
      <c r="AF183" s="214"/>
      <c r="AG183" s="214"/>
      <c r="AH183" s="214"/>
      <c r="AI183" s="214"/>
    </row>
    <row r="184">
      <c r="H184" s="221"/>
      <c r="I184" s="222"/>
      <c r="J184" s="217"/>
      <c r="K184" s="220"/>
      <c r="L184" s="213"/>
      <c r="M184" s="143"/>
      <c r="N184" s="213"/>
      <c r="O184" s="212"/>
      <c r="P184" s="212"/>
      <c r="Q184" s="143"/>
      <c r="R184" s="213"/>
      <c r="S184" s="212"/>
      <c r="T184" s="145"/>
      <c r="AB184" s="214" t="str">
        <f>IFERROR(__xludf.DUMMYFUNCTION("FILTER('설정시트'!$D$7:$L$20,'설정시트'!$C$7:$C$20=I184)"),"#N/A")</f>
        <v>#N/A</v>
      </c>
      <c r="AC184" s="214"/>
      <c r="AD184" s="214"/>
      <c r="AE184" s="214"/>
      <c r="AF184" s="214"/>
      <c r="AG184" s="214"/>
      <c r="AH184" s="214"/>
      <c r="AI184" s="214"/>
    </row>
    <row r="185">
      <c r="H185" s="221"/>
      <c r="I185" s="222"/>
      <c r="J185" s="217"/>
      <c r="K185" s="220"/>
      <c r="L185" s="213"/>
      <c r="M185" s="143"/>
      <c r="N185" s="213"/>
      <c r="O185" s="212"/>
      <c r="P185" s="212"/>
      <c r="Q185" s="143"/>
      <c r="R185" s="213"/>
      <c r="S185" s="212"/>
      <c r="T185" s="145"/>
      <c r="AB185" s="214" t="str">
        <f>IFERROR(__xludf.DUMMYFUNCTION("FILTER('설정시트'!$D$7:$L$20,'설정시트'!$C$7:$C$20=I185)"),"#N/A")</f>
        <v>#N/A</v>
      </c>
      <c r="AC185" s="214"/>
      <c r="AD185" s="214"/>
      <c r="AE185" s="214"/>
      <c r="AF185" s="214"/>
      <c r="AG185" s="214"/>
      <c r="AH185" s="214"/>
      <c r="AI185" s="214"/>
    </row>
    <row r="186">
      <c r="H186" s="221"/>
      <c r="I186" s="222"/>
      <c r="J186" s="217"/>
      <c r="K186" s="220"/>
      <c r="L186" s="213"/>
      <c r="M186" s="143"/>
      <c r="N186" s="213"/>
      <c r="O186" s="212"/>
      <c r="P186" s="212"/>
      <c r="Q186" s="143"/>
      <c r="R186" s="213"/>
      <c r="S186" s="212"/>
      <c r="T186" s="145"/>
      <c r="AB186" s="214" t="str">
        <f>IFERROR(__xludf.DUMMYFUNCTION("FILTER('설정시트'!$D$7:$L$20,'설정시트'!$C$7:$C$20=I186)"),"#N/A")</f>
        <v>#N/A</v>
      </c>
      <c r="AC186" s="214"/>
      <c r="AD186" s="214"/>
      <c r="AE186" s="214"/>
      <c r="AF186" s="214"/>
      <c r="AG186" s="214"/>
      <c r="AH186" s="214"/>
      <c r="AI186" s="214"/>
    </row>
    <row r="187">
      <c r="H187" s="221"/>
      <c r="I187" s="222"/>
      <c r="J187" s="217"/>
      <c r="K187" s="220"/>
      <c r="L187" s="213"/>
      <c r="M187" s="143"/>
      <c r="N187" s="213"/>
      <c r="O187" s="212"/>
      <c r="P187" s="212"/>
      <c r="Q187" s="143"/>
      <c r="R187" s="213"/>
      <c r="S187" s="212"/>
      <c r="T187" s="145"/>
      <c r="AB187" s="214" t="str">
        <f>IFERROR(__xludf.DUMMYFUNCTION("FILTER('설정시트'!$D$7:$L$20,'설정시트'!$C$7:$C$20=I187)"),"#N/A")</f>
        <v>#N/A</v>
      </c>
      <c r="AC187" s="214"/>
      <c r="AD187" s="214"/>
      <c r="AE187" s="214"/>
      <c r="AF187" s="214"/>
      <c r="AG187" s="214"/>
      <c r="AH187" s="214"/>
      <c r="AI187" s="214"/>
    </row>
    <row r="188">
      <c r="H188" s="221"/>
      <c r="I188" s="222"/>
      <c r="J188" s="217"/>
      <c r="K188" s="220"/>
      <c r="L188" s="213"/>
      <c r="M188" s="143"/>
      <c r="N188" s="213"/>
      <c r="O188" s="212"/>
      <c r="P188" s="212"/>
      <c r="Q188" s="143"/>
      <c r="R188" s="213"/>
      <c r="S188" s="212"/>
      <c r="T188" s="145"/>
      <c r="AB188" s="214" t="str">
        <f>IFERROR(__xludf.DUMMYFUNCTION("FILTER('설정시트'!$D$7:$L$20,'설정시트'!$C$7:$C$20=I188)"),"#N/A")</f>
        <v>#N/A</v>
      </c>
      <c r="AC188" s="214"/>
      <c r="AD188" s="214"/>
      <c r="AE188" s="214"/>
      <c r="AF188" s="214"/>
      <c r="AG188" s="214"/>
      <c r="AH188" s="214"/>
      <c r="AI188" s="214"/>
    </row>
    <row r="189">
      <c r="H189" s="221"/>
      <c r="I189" s="222"/>
      <c r="J189" s="217"/>
      <c r="K189" s="220"/>
      <c r="L189" s="213"/>
      <c r="M189" s="143"/>
      <c r="N189" s="213"/>
      <c r="O189" s="212"/>
      <c r="P189" s="212"/>
      <c r="Q189" s="143"/>
      <c r="R189" s="213"/>
      <c r="S189" s="212"/>
      <c r="T189" s="145"/>
      <c r="AB189" s="214" t="str">
        <f>IFERROR(__xludf.DUMMYFUNCTION("FILTER('설정시트'!$D$7:$L$20,'설정시트'!$C$7:$C$20=I189)"),"#N/A")</f>
        <v>#N/A</v>
      </c>
      <c r="AC189" s="214"/>
      <c r="AD189" s="214"/>
      <c r="AE189" s="214"/>
      <c r="AF189" s="214"/>
      <c r="AG189" s="214"/>
      <c r="AH189" s="214"/>
      <c r="AI189" s="214"/>
    </row>
    <row r="190">
      <c r="H190" s="221"/>
      <c r="I190" s="222"/>
      <c r="J190" s="217"/>
      <c r="K190" s="220"/>
      <c r="L190" s="213"/>
      <c r="M190" s="143"/>
      <c r="N190" s="213"/>
      <c r="O190" s="212"/>
      <c r="P190" s="212"/>
      <c r="Q190" s="143"/>
      <c r="R190" s="213"/>
      <c r="S190" s="212"/>
      <c r="T190" s="145"/>
      <c r="AB190" s="214" t="str">
        <f>IFERROR(__xludf.DUMMYFUNCTION("FILTER('설정시트'!$D$7:$L$20,'설정시트'!$C$7:$C$20=I190)"),"#N/A")</f>
        <v>#N/A</v>
      </c>
      <c r="AC190" s="214"/>
      <c r="AD190" s="214"/>
      <c r="AE190" s="214"/>
      <c r="AF190" s="214"/>
      <c r="AG190" s="214"/>
      <c r="AH190" s="214"/>
      <c r="AI190" s="214"/>
    </row>
    <row r="191">
      <c r="H191" s="221"/>
      <c r="I191" s="222"/>
      <c r="J191" s="217"/>
      <c r="K191" s="220"/>
      <c r="L191" s="213"/>
      <c r="M191" s="143"/>
      <c r="N191" s="213"/>
      <c r="O191" s="212"/>
      <c r="P191" s="212"/>
      <c r="Q191" s="143"/>
      <c r="R191" s="213"/>
      <c r="S191" s="212"/>
      <c r="T191" s="145"/>
      <c r="AB191" s="214" t="str">
        <f>IFERROR(__xludf.DUMMYFUNCTION("FILTER('설정시트'!$D$7:$L$20,'설정시트'!$C$7:$C$20=I191)"),"#N/A")</f>
        <v>#N/A</v>
      </c>
      <c r="AC191" s="214"/>
      <c r="AD191" s="214"/>
      <c r="AE191" s="214"/>
      <c r="AF191" s="214"/>
      <c r="AG191" s="214"/>
      <c r="AH191" s="214"/>
      <c r="AI191" s="214"/>
    </row>
    <row r="192">
      <c r="H192" s="221"/>
      <c r="I192" s="222"/>
      <c r="J192" s="217"/>
      <c r="K192" s="220"/>
      <c r="L192" s="213"/>
      <c r="M192" s="143"/>
      <c r="N192" s="213"/>
      <c r="O192" s="212"/>
      <c r="P192" s="212"/>
      <c r="Q192" s="143"/>
      <c r="R192" s="213"/>
      <c r="S192" s="212"/>
      <c r="T192" s="145"/>
      <c r="AB192" s="214" t="str">
        <f>IFERROR(__xludf.DUMMYFUNCTION("FILTER('설정시트'!$D$7:$L$20,'설정시트'!$C$7:$C$20=I192)"),"#N/A")</f>
        <v>#N/A</v>
      </c>
      <c r="AC192" s="214"/>
      <c r="AD192" s="214"/>
      <c r="AE192" s="214"/>
      <c r="AF192" s="214"/>
      <c r="AG192" s="214"/>
      <c r="AH192" s="214"/>
      <c r="AI192" s="214"/>
    </row>
    <row r="193">
      <c r="H193" s="221"/>
      <c r="I193" s="222"/>
      <c r="J193" s="217"/>
      <c r="K193" s="220"/>
      <c r="L193" s="213"/>
      <c r="M193" s="143"/>
      <c r="N193" s="213"/>
      <c r="O193" s="212"/>
      <c r="P193" s="212"/>
      <c r="Q193" s="143"/>
      <c r="R193" s="213"/>
      <c r="S193" s="212"/>
      <c r="T193" s="145"/>
      <c r="AB193" s="214" t="str">
        <f>IFERROR(__xludf.DUMMYFUNCTION("FILTER('설정시트'!$D$7:$L$20,'설정시트'!$C$7:$C$20=I193)"),"#N/A")</f>
        <v>#N/A</v>
      </c>
      <c r="AC193" s="214"/>
      <c r="AD193" s="214"/>
      <c r="AE193" s="214"/>
      <c r="AF193" s="214"/>
      <c r="AG193" s="214"/>
      <c r="AH193" s="214"/>
      <c r="AI193" s="214"/>
    </row>
    <row r="194">
      <c r="H194" s="221"/>
      <c r="I194" s="222"/>
      <c r="J194" s="217"/>
      <c r="K194" s="220"/>
      <c r="L194" s="213"/>
      <c r="M194" s="143"/>
      <c r="N194" s="213"/>
      <c r="O194" s="212"/>
      <c r="P194" s="212"/>
      <c r="Q194" s="143"/>
      <c r="R194" s="213"/>
      <c r="S194" s="212"/>
      <c r="T194" s="145"/>
      <c r="AB194" s="214" t="str">
        <f>IFERROR(__xludf.DUMMYFUNCTION("FILTER('설정시트'!$D$7:$L$20,'설정시트'!$C$7:$C$20=I194)"),"#N/A")</f>
        <v>#N/A</v>
      </c>
      <c r="AC194" s="214"/>
      <c r="AD194" s="214"/>
      <c r="AE194" s="214"/>
      <c r="AF194" s="214"/>
      <c r="AG194" s="214"/>
      <c r="AH194" s="214"/>
      <c r="AI194" s="214"/>
    </row>
    <row r="195">
      <c r="H195" s="221"/>
      <c r="I195" s="222"/>
      <c r="J195" s="217"/>
      <c r="K195" s="220"/>
      <c r="L195" s="213"/>
      <c r="M195" s="143"/>
      <c r="N195" s="213"/>
      <c r="O195" s="212"/>
      <c r="P195" s="212"/>
      <c r="Q195" s="143"/>
      <c r="R195" s="213"/>
      <c r="S195" s="212"/>
      <c r="T195" s="145"/>
      <c r="AB195" s="214" t="str">
        <f>IFERROR(__xludf.DUMMYFUNCTION("FILTER('설정시트'!$D$7:$L$20,'설정시트'!$C$7:$C$20=I195)"),"#N/A")</f>
        <v>#N/A</v>
      </c>
      <c r="AC195" s="214"/>
      <c r="AD195" s="214"/>
      <c r="AE195" s="214"/>
      <c r="AF195" s="214"/>
      <c r="AG195" s="214"/>
      <c r="AH195" s="214"/>
      <c r="AI195" s="214"/>
    </row>
    <row r="196">
      <c r="H196" s="221"/>
      <c r="I196" s="222"/>
      <c r="J196" s="217"/>
      <c r="K196" s="220"/>
      <c r="L196" s="213"/>
      <c r="M196" s="143"/>
      <c r="N196" s="213"/>
      <c r="O196" s="212"/>
      <c r="P196" s="212"/>
      <c r="Q196" s="143"/>
      <c r="R196" s="213"/>
      <c r="S196" s="212"/>
      <c r="T196" s="145"/>
      <c r="AB196" s="214" t="str">
        <f>IFERROR(__xludf.DUMMYFUNCTION("FILTER('설정시트'!$D$7:$L$20,'설정시트'!$C$7:$C$20=I196)"),"#N/A")</f>
        <v>#N/A</v>
      </c>
      <c r="AC196" s="214"/>
      <c r="AD196" s="214"/>
      <c r="AE196" s="214"/>
      <c r="AF196" s="214"/>
      <c r="AG196" s="214"/>
      <c r="AH196" s="214"/>
      <c r="AI196" s="214"/>
    </row>
    <row r="197">
      <c r="H197" s="221"/>
      <c r="I197" s="222"/>
      <c r="J197" s="217"/>
      <c r="K197" s="220"/>
      <c r="L197" s="213"/>
      <c r="M197" s="143"/>
      <c r="N197" s="213"/>
      <c r="O197" s="212"/>
      <c r="P197" s="212"/>
      <c r="Q197" s="143"/>
      <c r="R197" s="213"/>
      <c r="S197" s="212"/>
      <c r="T197" s="145"/>
      <c r="AB197" s="214" t="str">
        <f>IFERROR(__xludf.DUMMYFUNCTION("FILTER('설정시트'!$D$7:$L$20,'설정시트'!$C$7:$C$20=I197)"),"#N/A")</f>
        <v>#N/A</v>
      </c>
      <c r="AC197" s="214"/>
      <c r="AD197" s="214"/>
      <c r="AE197" s="214"/>
      <c r="AF197" s="214"/>
      <c r="AG197" s="214"/>
      <c r="AH197" s="214"/>
      <c r="AI197" s="214"/>
    </row>
    <row r="198">
      <c r="H198" s="221"/>
      <c r="I198" s="222"/>
      <c r="J198" s="217"/>
      <c r="K198" s="220"/>
      <c r="L198" s="213"/>
      <c r="M198" s="143"/>
      <c r="N198" s="213"/>
      <c r="O198" s="212"/>
      <c r="P198" s="212"/>
      <c r="Q198" s="143"/>
      <c r="R198" s="213"/>
      <c r="S198" s="212"/>
      <c r="T198" s="145"/>
      <c r="AB198" s="214" t="str">
        <f>IFERROR(__xludf.DUMMYFUNCTION("FILTER('설정시트'!$D$7:$L$20,'설정시트'!$C$7:$C$20=I198)"),"#N/A")</f>
        <v>#N/A</v>
      </c>
      <c r="AC198" s="214"/>
      <c r="AD198" s="214"/>
      <c r="AE198" s="214"/>
      <c r="AF198" s="214"/>
      <c r="AG198" s="214"/>
      <c r="AH198" s="214"/>
      <c r="AI198" s="214"/>
    </row>
    <row r="199">
      <c r="H199" s="221"/>
      <c r="I199" s="222"/>
      <c r="J199" s="217"/>
      <c r="K199" s="220"/>
      <c r="L199" s="213"/>
      <c r="M199" s="143"/>
      <c r="N199" s="213"/>
      <c r="O199" s="212"/>
      <c r="P199" s="212"/>
      <c r="Q199" s="143"/>
      <c r="R199" s="213"/>
      <c r="S199" s="212"/>
      <c r="T199" s="145"/>
      <c r="AB199" s="214" t="str">
        <f>IFERROR(__xludf.DUMMYFUNCTION("FILTER('설정시트'!$D$7:$L$20,'설정시트'!$C$7:$C$20=I199)"),"#N/A")</f>
        <v>#N/A</v>
      </c>
      <c r="AC199" s="214"/>
      <c r="AD199" s="214"/>
      <c r="AE199" s="214"/>
      <c r="AF199" s="214"/>
      <c r="AG199" s="214"/>
      <c r="AH199" s="214"/>
      <c r="AI199" s="214"/>
    </row>
    <row r="200">
      <c r="H200" s="221"/>
      <c r="I200" s="222"/>
      <c r="J200" s="217"/>
      <c r="K200" s="220"/>
      <c r="L200" s="213"/>
      <c r="M200" s="143"/>
      <c r="N200" s="213"/>
      <c r="O200" s="212"/>
      <c r="P200" s="212"/>
      <c r="Q200" s="143"/>
      <c r="R200" s="213"/>
      <c r="S200" s="212"/>
      <c r="T200" s="145"/>
      <c r="AB200" s="214" t="str">
        <f>IFERROR(__xludf.DUMMYFUNCTION("FILTER('설정시트'!$D$7:$L$20,'설정시트'!$C$7:$C$20=I200)"),"#N/A")</f>
        <v>#N/A</v>
      </c>
      <c r="AC200" s="214"/>
      <c r="AD200" s="214"/>
      <c r="AE200" s="214"/>
      <c r="AF200" s="214"/>
      <c r="AG200" s="214"/>
      <c r="AH200" s="214"/>
      <c r="AI200" s="214"/>
    </row>
    <row r="201">
      <c r="H201" s="221"/>
      <c r="I201" s="222"/>
      <c r="J201" s="217"/>
      <c r="K201" s="220"/>
      <c r="L201" s="213"/>
      <c r="M201" s="143"/>
      <c r="N201" s="213"/>
      <c r="O201" s="212"/>
      <c r="P201" s="212"/>
      <c r="Q201" s="143"/>
      <c r="R201" s="213"/>
      <c r="S201" s="212"/>
      <c r="T201" s="145"/>
      <c r="AB201" s="214" t="str">
        <f>IFERROR(__xludf.DUMMYFUNCTION("FILTER('설정시트'!$D$7:$L$20,'설정시트'!$C$7:$C$20=I201)"),"#N/A")</f>
        <v>#N/A</v>
      </c>
      <c r="AC201" s="214"/>
      <c r="AD201" s="214"/>
      <c r="AE201" s="214"/>
      <c r="AF201" s="214"/>
      <c r="AG201" s="214"/>
      <c r="AH201" s="214"/>
      <c r="AI201" s="214"/>
    </row>
    <row r="202">
      <c r="H202" s="221"/>
      <c r="I202" s="222"/>
      <c r="J202" s="217"/>
      <c r="K202" s="220"/>
      <c r="L202" s="213"/>
      <c r="M202" s="143"/>
      <c r="N202" s="213"/>
      <c r="O202" s="212"/>
      <c r="P202" s="212"/>
      <c r="Q202" s="143"/>
      <c r="R202" s="213"/>
      <c r="S202" s="212"/>
      <c r="T202" s="145"/>
      <c r="AB202" s="214" t="str">
        <f>IFERROR(__xludf.DUMMYFUNCTION("FILTER('설정시트'!$D$7:$L$20,'설정시트'!$C$7:$C$20=I202)"),"#N/A")</f>
        <v>#N/A</v>
      </c>
      <c r="AC202" s="214"/>
      <c r="AD202" s="214"/>
      <c r="AE202" s="214"/>
      <c r="AF202" s="214"/>
      <c r="AG202" s="214"/>
      <c r="AH202" s="214"/>
      <c r="AI202" s="214"/>
    </row>
    <row r="203">
      <c r="H203" s="221"/>
      <c r="I203" s="222"/>
      <c r="J203" s="217"/>
      <c r="K203" s="220"/>
      <c r="L203" s="213"/>
      <c r="M203" s="143"/>
      <c r="N203" s="213"/>
      <c r="O203" s="212"/>
      <c r="P203" s="212"/>
      <c r="Q203" s="143"/>
      <c r="R203" s="213"/>
      <c r="S203" s="212"/>
      <c r="T203" s="145"/>
      <c r="AB203" s="214" t="str">
        <f>IFERROR(__xludf.DUMMYFUNCTION("FILTER('설정시트'!$D$7:$L$20,'설정시트'!$C$7:$C$20=I203)"),"#N/A")</f>
        <v>#N/A</v>
      </c>
      <c r="AC203" s="214"/>
      <c r="AD203" s="214"/>
      <c r="AE203" s="214"/>
      <c r="AF203" s="214"/>
      <c r="AG203" s="214"/>
      <c r="AH203" s="214"/>
      <c r="AI203" s="214"/>
    </row>
    <row r="204">
      <c r="H204" s="221"/>
      <c r="I204" s="222"/>
      <c r="J204" s="217"/>
      <c r="K204" s="220"/>
      <c r="L204" s="213"/>
      <c r="M204" s="143"/>
      <c r="N204" s="213"/>
      <c r="O204" s="212"/>
      <c r="P204" s="212"/>
      <c r="Q204" s="143"/>
      <c r="R204" s="213"/>
      <c r="S204" s="212"/>
      <c r="T204" s="145"/>
      <c r="AB204" s="214" t="str">
        <f>IFERROR(__xludf.DUMMYFUNCTION("FILTER('설정시트'!$D$7:$L$20,'설정시트'!$C$7:$C$20=I204)"),"#N/A")</f>
        <v>#N/A</v>
      </c>
      <c r="AC204" s="214"/>
      <c r="AD204" s="214"/>
      <c r="AE204" s="214"/>
      <c r="AF204" s="214"/>
      <c r="AG204" s="214"/>
      <c r="AH204" s="214"/>
      <c r="AI204" s="214"/>
    </row>
    <row r="205">
      <c r="H205" s="221"/>
      <c r="I205" s="222"/>
      <c r="J205" s="217"/>
      <c r="K205" s="220"/>
      <c r="L205" s="213"/>
      <c r="M205" s="143"/>
      <c r="N205" s="213"/>
      <c r="O205" s="212"/>
      <c r="P205" s="212"/>
      <c r="Q205" s="143"/>
      <c r="R205" s="213"/>
      <c r="S205" s="212"/>
      <c r="T205" s="145"/>
      <c r="AB205" s="214" t="str">
        <f>IFERROR(__xludf.DUMMYFUNCTION("FILTER('설정시트'!$D$7:$L$20,'설정시트'!$C$7:$C$20=I205)"),"#N/A")</f>
        <v>#N/A</v>
      </c>
      <c r="AC205" s="214"/>
      <c r="AD205" s="214"/>
      <c r="AE205" s="214"/>
      <c r="AF205" s="214"/>
      <c r="AG205" s="214"/>
      <c r="AH205" s="214"/>
      <c r="AI205" s="214"/>
    </row>
    <row r="206">
      <c r="H206" s="221"/>
      <c r="I206" s="222"/>
      <c r="J206" s="217"/>
      <c r="K206" s="220"/>
      <c r="L206" s="213"/>
      <c r="M206" s="143"/>
      <c r="N206" s="213"/>
      <c r="O206" s="212"/>
      <c r="P206" s="212"/>
      <c r="Q206" s="143"/>
      <c r="R206" s="213"/>
      <c r="S206" s="212"/>
      <c r="T206" s="145"/>
      <c r="AB206" s="214" t="str">
        <f>IFERROR(__xludf.DUMMYFUNCTION("FILTER('설정시트'!$D$7:$L$20,'설정시트'!$C$7:$C$20=I206)"),"#N/A")</f>
        <v>#N/A</v>
      </c>
      <c r="AC206" s="214"/>
      <c r="AD206" s="214"/>
      <c r="AE206" s="214"/>
      <c r="AF206" s="214"/>
      <c r="AG206" s="214"/>
      <c r="AH206" s="214"/>
      <c r="AI206" s="214"/>
    </row>
    <row r="207">
      <c r="H207" s="221"/>
      <c r="I207" s="222"/>
      <c r="J207" s="217"/>
      <c r="K207" s="220"/>
      <c r="L207" s="213"/>
      <c r="M207" s="143"/>
      <c r="N207" s="213"/>
      <c r="O207" s="212"/>
      <c r="P207" s="212"/>
      <c r="Q207" s="143"/>
      <c r="R207" s="213"/>
      <c r="S207" s="212"/>
      <c r="T207" s="145"/>
      <c r="AB207" s="214" t="str">
        <f>IFERROR(__xludf.DUMMYFUNCTION("FILTER('설정시트'!$D$7:$L$20,'설정시트'!$C$7:$C$20=I207)"),"#N/A")</f>
        <v>#N/A</v>
      </c>
      <c r="AC207" s="214"/>
      <c r="AD207" s="214"/>
      <c r="AE207" s="214"/>
      <c r="AF207" s="214"/>
      <c r="AG207" s="214"/>
      <c r="AH207" s="214"/>
      <c r="AI207" s="214"/>
    </row>
    <row r="208">
      <c r="H208" s="221"/>
      <c r="I208" s="222"/>
      <c r="J208" s="217"/>
      <c r="K208" s="220"/>
      <c r="L208" s="213"/>
      <c r="M208" s="143"/>
      <c r="N208" s="213"/>
      <c r="O208" s="212"/>
      <c r="P208" s="212"/>
      <c r="Q208" s="143"/>
      <c r="R208" s="213"/>
      <c r="S208" s="212"/>
      <c r="T208" s="145"/>
      <c r="AB208" s="214" t="str">
        <f>IFERROR(__xludf.DUMMYFUNCTION("FILTER('설정시트'!$D$7:$L$20,'설정시트'!$C$7:$C$20=I208)"),"#N/A")</f>
        <v>#N/A</v>
      </c>
      <c r="AC208" s="214"/>
      <c r="AD208" s="214"/>
      <c r="AE208" s="214"/>
      <c r="AF208" s="214"/>
      <c r="AG208" s="214"/>
      <c r="AH208" s="214"/>
      <c r="AI208" s="214"/>
    </row>
    <row r="209">
      <c r="H209" s="221"/>
      <c r="I209" s="222"/>
      <c r="J209" s="217"/>
      <c r="K209" s="220"/>
      <c r="L209" s="213"/>
      <c r="M209" s="143"/>
      <c r="N209" s="213"/>
      <c r="O209" s="212"/>
      <c r="P209" s="212"/>
      <c r="Q209" s="143"/>
      <c r="R209" s="213"/>
      <c r="S209" s="212"/>
      <c r="T209" s="145"/>
      <c r="AB209" s="214" t="str">
        <f>IFERROR(__xludf.DUMMYFUNCTION("FILTER('설정시트'!$D$7:$L$20,'설정시트'!$C$7:$C$20=I209)"),"#N/A")</f>
        <v>#N/A</v>
      </c>
      <c r="AC209" s="214"/>
      <c r="AD209" s="214"/>
      <c r="AE209" s="214"/>
      <c r="AF209" s="214"/>
      <c r="AG209" s="214"/>
      <c r="AH209" s="214"/>
      <c r="AI209" s="214"/>
    </row>
    <row r="210">
      <c r="H210" s="221"/>
      <c r="I210" s="222"/>
      <c r="J210" s="217"/>
      <c r="K210" s="220"/>
      <c r="L210" s="213"/>
      <c r="M210" s="143"/>
      <c r="N210" s="213"/>
      <c r="O210" s="212"/>
      <c r="P210" s="212"/>
      <c r="Q210" s="143"/>
      <c r="R210" s="213"/>
      <c r="S210" s="212"/>
      <c r="T210" s="145"/>
      <c r="AB210" s="214" t="str">
        <f>IFERROR(__xludf.DUMMYFUNCTION("FILTER('설정시트'!$D$7:$L$20,'설정시트'!$C$7:$C$20=I210)"),"#N/A")</f>
        <v>#N/A</v>
      </c>
      <c r="AC210" s="214"/>
      <c r="AD210" s="214"/>
      <c r="AE210" s="214"/>
      <c r="AF210" s="214"/>
      <c r="AG210" s="214"/>
      <c r="AH210" s="214"/>
      <c r="AI210" s="214"/>
    </row>
    <row r="211">
      <c r="H211" s="221"/>
      <c r="I211" s="222"/>
      <c r="J211" s="217"/>
      <c r="K211" s="220"/>
      <c r="L211" s="213"/>
      <c r="M211" s="143"/>
      <c r="N211" s="213"/>
      <c r="O211" s="212"/>
      <c r="P211" s="212"/>
      <c r="Q211" s="143"/>
      <c r="R211" s="213"/>
      <c r="S211" s="212"/>
      <c r="T211" s="145"/>
      <c r="AB211" s="214" t="str">
        <f>IFERROR(__xludf.DUMMYFUNCTION("FILTER('설정시트'!$D$7:$L$20,'설정시트'!$C$7:$C$20=I211)"),"#N/A")</f>
        <v>#N/A</v>
      </c>
      <c r="AC211" s="214"/>
      <c r="AD211" s="214"/>
      <c r="AE211" s="214"/>
      <c r="AF211" s="214"/>
      <c r="AG211" s="214"/>
      <c r="AH211" s="214"/>
      <c r="AI211" s="214"/>
    </row>
    <row r="212">
      <c r="H212" s="221"/>
      <c r="I212" s="222"/>
      <c r="J212" s="217"/>
      <c r="K212" s="220"/>
      <c r="L212" s="213"/>
      <c r="M212" s="143"/>
      <c r="N212" s="213"/>
      <c r="O212" s="212"/>
      <c r="P212" s="212"/>
      <c r="Q212" s="143"/>
      <c r="R212" s="213"/>
      <c r="S212" s="212"/>
      <c r="T212" s="145"/>
      <c r="AB212" s="214" t="str">
        <f>IFERROR(__xludf.DUMMYFUNCTION("FILTER('설정시트'!$D$7:$L$20,'설정시트'!$C$7:$C$20=I212)"),"#N/A")</f>
        <v>#N/A</v>
      </c>
      <c r="AC212" s="214"/>
      <c r="AD212" s="214"/>
      <c r="AE212" s="214"/>
      <c r="AF212" s="214"/>
      <c r="AG212" s="214"/>
      <c r="AH212" s="214"/>
      <c r="AI212" s="214"/>
    </row>
    <row r="213">
      <c r="H213" s="221"/>
      <c r="I213" s="222"/>
      <c r="J213" s="217"/>
      <c r="K213" s="220"/>
      <c r="L213" s="213"/>
      <c r="M213" s="143"/>
      <c r="N213" s="213"/>
      <c r="O213" s="212"/>
      <c r="P213" s="212"/>
      <c r="Q213" s="143"/>
      <c r="R213" s="213"/>
      <c r="S213" s="212"/>
      <c r="T213" s="145"/>
      <c r="AB213" s="214" t="str">
        <f>IFERROR(__xludf.DUMMYFUNCTION("FILTER('설정시트'!$D$7:$L$20,'설정시트'!$C$7:$C$20=I213)"),"#N/A")</f>
        <v>#N/A</v>
      </c>
      <c r="AC213" s="214"/>
      <c r="AD213" s="214"/>
      <c r="AE213" s="214"/>
      <c r="AF213" s="214"/>
      <c r="AG213" s="214"/>
      <c r="AH213" s="214"/>
      <c r="AI213" s="214"/>
    </row>
    <row r="214">
      <c r="H214" s="221"/>
      <c r="I214" s="222"/>
      <c r="J214" s="217"/>
      <c r="K214" s="220"/>
      <c r="L214" s="213"/>
      <c r="M214" s="143"/>
      <c r="N214" s="213"/>
      <c r="O214" s="212"/>
      <c r="P214" s="212"/>
      <c r="Q214" s="143"/>
      <c r="R214" s="213"/>
      <c r="S214" s="212"/>
      <c r="T214" s="145"/>
      <c r="AB214" s="214" t="str">
        <f>IFERROR(__xludf.DUMMYFUNCTION("FILTER('설정시트'!$D$7:$L$20,'설정시트'!$C$7:$C$20=I214)"),"#N/A")</f>
        <v>#N/A</v>
      </c>
      <c r="AC214" s="214"/>
      <c r="AD214" s="214"/>
      <c r="AE214" s="214"/>
      <c r="AF214" s="214"/>
      <c r="AG214" s="214"/>
      <c r="AH214" s="214"/>
      <c r="AI214" s="214"/>
    </row>
    <row r="215">
      <c r="H215" s="221"/>
      <c r="I215" s="222"/>
      <c r="J215" s="217"/>
      <c r="K215" s="220"/>
      <c r="L215" s="213"/>
      <c r="M215" s="143"/>
      <c r="N215" s="213"/>
      <c r="O215" s="212"/>
      <c r="P215" s="212"/>
      <c r="Q215" s="143"/>
      <c r="R215" s="213"/>
      <c r="S215" s="212"/>
      <c r="T215" s="145"/>
      <c r="AB215" s="214" t="str">
        <f>IFERROR(__xludf.DUMMYFUNCTION("FILTER('설정시트'!$D$7:$L$20,'설정시트'!$C$7:$C$20=I215)"),"#N/A")</f>
        <v>#N/A</v>
      </c>
      <c r="AC215" s="214"/>
      <c r="AD215" s="214"/>
      <c r="AE215" s="214"/>
      <c r="AF215" s="214"/>
      <c r="AG215" s="214"/>
      <c r="AH215" s="214"/>
      <c r="AI215" s="214"/>
    </row>
    <row r="216">
      <c r="H216" s="221"/>
      <c r="I216" s="222"/>
      <c r="J216" s="217"/>
      <c r="K216" s="220"/>
      <c r="L216" s="213"/>
      <c r="M216" s="143"/>
      <c r="N216" s="213"/>
      <c r="O216" s="212"/>
      <c r="P216" s="212"/>
      <c r="Q216" s="143"/>
      <c r="R216" s="213"/>
      <c r="S216" s="212"/>
      <c r="T216" s="145"/>
      <c r="AB216" s="214" t="str">
        <f>IFERROR(__xludf.DUMMYFUNCTION("FILTER('설정시트'!$D$7:$L$20,'설정시트'!$C$7:$C$20=I216)"),"#N/A")</f>
        <v>#N/A</v>
      </c>
      <c r="AC216" s="214"/>
      <c r="AD216" s="214"/>
      <c r="AE216" s="214"/>
      <c r="AF216" s="214"/>
      <c r="AG216" s="214"/>
      <c r="AH216" s="214"/>
      <c r="AI216" s="214"/>
    </row>
    <row r="217">
      <c r="H217" s="221"/>
      <c r="I217" s="222"/>
      <c r="J217" s="217"/>
      <c r="K217" s="220"/>
      <c r="L217" s="213"/>
      <c r="M217" s="143"/>
      <c r="N217" s="213"/>
      <c r="O217" s="212"/>
      <c r="P217" s="212"/>
      <c r="Q217" s="143"/>
      <c r="R217" s="213"/>
      <c r="S217" s="212"/>
      <c r="T217" s="145"/>
      <c r="AB217" s="214" t="str">
        <f>IFERROR(__xludf.DUMMYFUNCTION("FILTER('설정시트'!$D$7:$L$20,'설정시트'!$C$7:$C$20=I217)"),"#N/A")</f>
        <v>#N/A</v>
      </c>
      <c r="AC217" s="214"/>
      <c r="AD217" s="214"/>
      <c r="AE217" s="214"/>
      <c r="AF217" s="214"/>
      <c r="AG217" s="214"/>
      <c r="AH217" s="214"/>
      <c r="AI217" s="214"/>
    </row>
    <row r="218">
      <c r="H218" s="221"/>
      <c r="I218" s="222"/>
      <c r="J218" s="217"/>
      <c r="K218" s="220"/>
      <c r="L218" s="213"/>
      <c r="M218" s="143"/>
      <c r="N218" s="213"/>
      <c r="O218" s="212"/>
      <c r="P218" s="212"/>
      <c r="Q218" s="143"/>
      <c r="R218" s="213"/>
      <c r="S218" s="212"/>
      <c r="T218" s="145"/>
      <c r="AB218" s="214" t="str">
        <f>IFERROR(__xludf.DUMMYFUNCTION("FILTER('설정시트'!$D$7:$L$20,'설정시트'!$C$7:$C$20=I218)"),"#N/A")</f>
        <v>#N/A</v>
      </c>
      <c r="AC218" s="214"/>
      <c r="AD218" s="214"/>
      <c r="AE218" s="214"/>
      <c r="AF218" s="214"/>
      <c r="AG218" s="214"/>
      <c r="AH218" s="214"/>
      <c r="AI218" s="214"/>
    </row>
    <row r="219">
      <c r="H219" s="221"/>
      <c r="I219" s="222"/>
      <c r="J219" s="217"/>
      <c r="K219" s="220"/>
      <c r="L219" s="213"/>
      <c r="M219" s="143"/>
      <c r="N219" s="213"/>
      <c r="O219" s="212"/>
      <c r="P219" s="212"/>
      <c r="Q219" s="143"/>
      <c r="R219" s="213"/>
      <c r="S219" s="212"/>
      <c r="T219" s="145"/>
      <c r="AB219" s="214" t="str">
        <f>IFERROR(__xludf.DUMMYFUNCTION("FILTER('설정시트'!$D$7:$L$20,'설정시트'!$C$7:$C$20=I219)"),"#N/A")</f>
        <v>#N/A</v>
      </c>
      <c r="AC219" s="214"/>
      <c r="AD219" s="214"/>
      <c r="AE219" s="214"/>
      <c r="AF219" s="214"/>
      <c r="AG219" s="214"/>
      <c r="AH219" s="214"/>
      <c r="AI219" s="214"/>
    </row>
    <row r="220">
      <c r="H220" s="221"/>
      <c r="I220" s="222"/>
      <c r="J220" s="217"/>
      <c r="K220" s="220"/>
      <c r="L220" s="213"/>
      <c r="M220" s="143"/>
      <c r="N220" s="213"/>
      <c r="O220" s="212"/>
      <c r="P220" s="212"/>
      <c r="Q220" s="143"/>
      <c r="R220" s="213"/>
      <c r="S220" s="212"/>
      <c r="T220" s="145"/>
      <c r="AB220" s="214" t="str">
        <f>IFERROR(__xludf.DUMMYFUNCTION("FILTER('설정시트'!$D$7:$L$20,'설정시트'!$C$7:$C$20=I220)"),"#N/A")</f>
        <v>#N/A</v>
      </c>
      <c r="AC220" s="214"/>
      <c r="AD220" s="214"/>
      <c r="AE220" s="214"/>
      <c r="AF220" s="214"/>
      <c r="AG220" s="214"/>
      <c r="AH220" s="214"/>
      <c r="AI220" s="214"/>
    </row>
    <row r="221">
      <c r="H221" s="221"/>
      <c r="I221" s="222"/>
      <c r="J221" s="217"/>
      <c r="K221" s="220"/>
      <c r="L221" s="213"/>
      <c r="M221" s="143"/>
      <c r="N221" s="213"/>
      <c r="O221" s="212"/>
      <c r="P221" s="212"/>
      <c r="Q221" s="143"/>
      <c r="R221" s="213"/>
      <c r="S221" s="212"/>
      <c r="T221" s="145"/>
      <c r="AB221" s="214" t="str">
        <f>IFERROR(__xludf.DUMMYFUNCTION("FILTER('설정시트'!$D$7:$L$20,'설정시트'!$C$7:$C$20=I221)"),"#N/A")</f>
        <v>#N/A</v>
      </c>
      <c r="AC221" s="214"/>
      <c r="AD221" s="214"/>
      <c r="AE221" s="214"/>
      <c r="AF221" s="214"/>
      <c r="AG221" s="214"/>
      <c r="AH221" s="214"/>
      <c r="AI221" s="214"/>
    </row>
    <row r="222">
      <c r="H222" s="221"/>
      <c r="I222" s="222"/>
      <c r="J222" s="217"/>
      <c r="K222" s="220"/>
      <c r="L222" s="213"/>
      <c r="M222" s="143"/>
      <c r="N222" s="213"/>
      <c r="O222" s="212"/>
      <c r="P222" s="212"/>
      <c r="Q222" s="143"/>
      <c r="R222" s="213"/>
      <c r="S222" s="212"/>
      <c r="T222" s="145"/>
      <c r="AB222" s="214" t="str">
        <f>IFERROR(__xludf.DUMMYFUNCTION("FILTER('설정시트'!$D$7:$L$20,'설정시트'!$C$7:$C$20=I222)"),"#N/A")</f>
        <v>#N/A</v>
      </c>
      <c r="AC222" s="214"/>
      <c r="AD222" s="214"/>
      <c r="AE222" s="214"/>
      <c r="AF222" s="214"/>
      <c r="AG222" s="214"/>
      <c r="AH222" s="214"/>
      <c r="AI222" s="214"/>
    </row>
    <row r="223">
      <c r="H223" s="221"/>
      <c r="I223" s="222"/>
      <c r="J223" s="217"/>
      <c r="K223" s="220"/>
      <c r="L223" s="213"/>
      <c r="M223" s="143"/>
      <c r="N223" s="213"/>
      <c r="O223" s="212"/>
      <c r="P223" s="212"/>
      <c r="Q223" s="143"/>
      <c r="R223" s="213"/>
      <c r="S223" s="212"/>
      <c r="T223" s="145"/>
      <c r="AB223" s="214" t="str">
        <f>IFERROR(__xludf.DUMMYFUNCTION("FILTER('설정시트'!$D$7:$L$20,'설정시트'!$C$7:$C$20=I223)"),"#N/A")</f>
        <v>#N/A</v>
      </c>
      <c r="AC223" s="214"/>
      <c r="AD223" s="214"/>
      <c r="AE223" s="214"/>
      <c r="AF223" s="214"/>
      <c r="AG223" s="214"/>
      <c r="AH223" s="214"/>
      <c r="AI223" s="214"/>
    </row>
    <row r="224">
      <c r="H224" s="221"/>
      <c r="I224" s="222"/>
      <c r="J224" s="217"/>
      <c r="K224" s="220"/>
      <c r="L224" s="213"/>
      <c r="M224" s="143"/>
      <c r="N224" s="213"/>
      <c r="O224" s="212"/>
      <c r="P224" s="212"/>
      <c r="Q224" s="143"/>
      <c r="R224" s="213"/>
      <c r="S224" s="212"/>
      <c r="T224" s="145"/>
      <c r="AB224" s="214" t="str">
        <f>IFERROR(__xludf.DUMMYFUNCTION("FILTER('설정시트'!$D$7:$L$20,'설정시트'!$C$7:$C$20=I224)"),"#N/A")</f>
        <v>#N/A</v>
      </c>
      <c r="AC224" s="214"/>
      <c r="AD224" s="214"/>
      <c r="AE224" s="214"/>
      <c r="AF224" s="214"/>
      <c r="AG224" s="214"/>
      <c r="AH224" s="214"/>
      <c r="AI224" s="214"/>
    </row>
    <row r="225">
      <c r="H225" s="221"/>
      <c r="I225" s="222"/>
      <c r="J225" s="217"/>
      <c r="K225" s="220"/>
      <c r="L225" s="213"/>
      <c r="M225" s="143"/>
      <c r="N225" s="213"/>
      <c r="O225" s="212"/>
      <c r="P225" s="212"/>
      <c r="Q225" s="143"/>
      <c r="R225" s="213"/>
      <c r="S225" s="212"/>
      <c r="T225" s="145"/>
      <c r="AB225" s="214" t="str">
        <f>IFERROR(__xludf.DUMMYFUNCTION("FILTER('설정시트'!$D$7:$L$20,'설정시트'!$C$7:$C$20=I225)"),"#N/A")</f>
        <v>#N/A</v>
      </c>
      <c r="AC225" s="214"/>
      <c r="AD225" s="214"/>
      <c r="AE225" s="214"/>
      <c r="AF225" s="214"/>
      <c r="AG225" s="214"/>
      <c r="AH225" s="214"/>
      <c r="AI225" s="214"/>
    </row>
    <row r="226">
      <c r="H226" s="221"/>
      <c r="I226" s="222"/>
      <c r="J226" s="217"/>
      <c r="K226" s="220"/>
      <c r="L226" s="213"/>
      <c r="M226" s="143"/>
      <c r="N226" s="213"/>
      <c r="O226" s="212"/>
      <c r="P226" s="212"/>
      <c r="Q226" s="143"/>
      <c r="R226" s="213"/>
      <c r="S226" s="212"/>
      <c r="T226" s="145"/>
      <c r="AB226" s="214" t="str">
        <f>IFERROR(__xludf.DUMMYFUNCTION("FILTER('설정시트'!$D$7:$L$20,'설정시트'!$C$7:$C$20=I226)"),"#N/A")</f>
        <v>#N/A</v>
      </c>
      <c r="AC226" s="214"/>
      <c r="AD226" s="214"/>
      <c r="AE226" s="214"/>
      <c r="AF226" s="214"/>
      <c r="AG226" s="214"/>
      <c r="AH226" s="214"/>
      <c r="AI226" s="214"/>
    </row>
    <row r="227">
      <c r="H227" s="221"/>
      <c r="I227" s="222"/>
      <c r="J227" s="217"/>
      <c r="K227" s="220"/>
      <c r="L227" s="213"/>
      <c r="M227" s="143"/>
      <c r="N227" s="213"/>
      <c r="O227" s="212"/>
      <c r="P227" s="212"/>
      <c r="Q227" s="143"/>
      <c r="R227" s="213"/>
      <c r="S227" s="212"/>
      <c r="T227" s="145"/>
      <c r="AB227" s="214" t="str">
        <f>IFERROR(__xludf.DUMMYFUNCTION("FILTER('설정시트'!$D$7:$L$20,'설정시트'!$C$7:$C$20=I227)"),"#N/A")</f>
        <v>#N/A</v>
      </c>
      <c r="AC227" s="214"/>
      <c r="AD227" s="214"/>
      <c r="AE227" s="214"/>
      <c r="AF227" s="214"/>
      <c r="AG227" s="214"/>
      <c r="AH227" s="214"/>
      <c r="AI227" s="214"/>
    </row>
    <row r="228">
      <c r="H228" s="221"/>
      <c r="I228" s="222"/>
      <c r="J228" s="217"/>
      <c r="K228" s="220"/>
      <c r="L228" s="213"/>
      <c r="M228" s="143"/>
      <c r="N228" s="213"/>
      <c r="O228" s="212"/>
      <c r="P228" s="212"/>
      <c r="Q228" s="143"/>
      <c r="R228" s="213"/>
      <c r="S228" s="212"/>
      <c r="T228" s="145"/>
      <c r="AB228" s="214" t="str">
        <f>IFERROR(__xludf.DUMMYFUNCTION("FILTER('설정시트'!$D$7:$L$20,'설정시트'!$C$7:$C$20=I228)"),"#N/A")</f>
        <v>#N/A</v>
      </c>
      <c r="AC228" s="214"/>
      <c r="AD228" s="214"/>
      <c r="AE228" s="214"/>
      <c r="AF228" s="214"/>
      <c r="AG228" s="214"/>
      <c r="AH228" s="214"/>
      <c r="AI228" s="214"/>
    </row>
    <row r="229">
      <c r="H229" s="221"/>
      <c r="I229" s="222"/>
      <c r="J229" s="217"/>
      <c r="K229" s="220"/>
      <c r="L229" s="213"/>
      <c r="M229" s="143"/>
      <c r="N229" s="213"/>
      <c r="O229" s="212"/>
      <c r="P229" s="212"/>
      <c r="Q229" s="143"/>
      <c r="R229" s="213"/>
      <c r="S229" s="212"/>
      <c r="T229" s="145"/>
      <c r="AB229" s="214" t="str">
        <f>IFERROR(__xludf.DUMMYFUNCTION("FILTER('설정시트'!$D$7:$L$20,'설정시트'!$C$7:$C$20=I229)"),"#N/A")</f>
        <v>#N/A</v>
      </c>
      <c r="AC229" s="214"/>
      <c r="AD229" s="214"/>
      <c r="AE229" s="214"/>
      <c r="AF229" s="214"/>
      <c r="AG229" s="214"/>
      <c r="AH229" s="214"/>
      <c r="AI229" s="214"/>
    </row>
    <row r="230">
      <c r="H230" s="221"/>
      <c r="I230" s="222"/>
      <c r="J230" s="217"/>
      <c r="K230" s="220"/>
      <c r="L230" s="213"/>
      <c r="M230" s="143"/>
      <c r="N230" s="213"/>
      <c r="O230" s="212"/>
      <c r="P230" s="212"/>
      <c r="Q230" s="143"/>
      <c r="R230" s="213"/>
      <c r="S230" s="212"/>
      <c r="T230" s="145"/>
      <c r="AB230" s="214" t="str">
        <f>IFERROR(__xludf.DUMMYFUNCTION("FILTER('설정시트'!$D$7:$L$20,'설정시트'!$C$7:$C$20=I230)"),"#N/A")</f>
        <v>#N/A</v>
      </c>
      <c r="AC230" s="214"/>
      <c r="AD230" s="214"/>
      <c r="AE230" s="214"/>
      <c r="AF230" s="214"/>
      <c r="AG230" s="214"/>
      <c r="AH230" s="214"/>
      <c r="AI230" s="214"/>
    </row>
    <row r="231">
      <c r="H231" s="221"/>
      <c r="I231" s="222"/>
      <c r="J231" s="217"/>
      <c r="K231" s="220"/>
      <c r="L231" s="213"/>
      <c r="M231" s="143"/>
      <c r="N231" s="213"/>
      <c r="O231" s="212"/>
      <c r="P231" s="212"/>
      <c r="Q231" s="143"/>
      <c r="R231" s="213"/>
      <c r="S231" s="212"/>
      <c r="T231" s="145"/>
      <c r="AB231" s="214" t="str">
        <f>IFERROR(__xludf.DUMMYFUNCTION("FILTER('설정시트'!$D$7:$L$20,'설정시트'!$C$7:$C$20=I231)"),"#N/A")</f>
        <v>#N/A</v>
      </c>
      <c r="AC231" s="214"/>
      <c r="AD231" s="214"/>
      <c r="AE231" s="214"/>
      <c r="AF231" s="214"/>
      <c r="AG231" s="214"/>
      <c r="AH231" s="214"/>
      <c r="AI231" s="214"/>
    </row>
    <row r="232">
      <c r="H232" s="221"/>
      <c r="I232" s="222"/>
      <c r="J232" s="217"/>
      <c r="K232" s="220"/>
      <c r="L232" s="213"/>
      <c r="M232" s="143"/>
      <c r="N232" s="213"/>
      <c r="O232" s="212"/>
      <c r="P232" s="212"/>
      <c r="Q232" s="143"/>
      <c r="R232" s="213"/>
      <c r="S232" s="212"/>
      <c r="T232" s="145"/>
      <c r="AB232" s="214" t="str">
        <f>IFERROR(__xludf.DUMMYFUNCTION("FILTER('설정시트'!$D$7:$L$20,'설정시트'!$C$7:$C$20=I232)"),"#N/A")</f>
        <v>#N/A</v>
      </c>
      <c r="AC232" s="214"/>
      <c r="AD232" s="214"/>
      <c r="AE232" s="214"/>
      <c r="AF232" s="214"/>
      <c r="AG232" s="214"/>
      <c r="AH232" s="214"/>
      <c r="AI232" s="214"/>
    </row>
    <row r="233">
      <c r="H233" s="221"/>
      <c r="I233" s="222"/>
      <c r="J233" s="217"/>
      <c r="K233" s="220"/>
      <c r="L233" s="213"/>
      <c r="M233" s="143"/>
      <c r="N233" s="213"/>
      <c r="O233" s="212"/>
      <c r="P233" s="212"/>
      <c r="Q233" s="143"/>
      <c r="R233" s="213"/>
      <c r="S233" s="212"/>
      <c r="T233" s="145"/>
      <c r="AB233" s="214" t="str">
        <f>IFERROR(__xludf.DUMMYFUNCTION("FILTER('설정시트'!$D$7:$L$20,'설정시트'!$C$7:$C$20=I233)"),"#N/A")</f>
        <v>#N/A</v>
      </c>
      <c r="AC233" s="214"/>
      <c r="AD233" s="214"/>
      <c r="AE233" s="214"/>
      <c r="AF233" s="214"/>
      <c r="AG233" s="214"/>
      <c r="AH233" s="214"/>
      <c r="AI233" s="214"/>
    </row>
    <row r="234">
      <c r="H234" s="221"/>
      <c r="I234" s="222"/>
      <c r="J234" s="217"/>
      <c r="K234" s="220"/>
      <c r="L234" s="213"/>
      <c r="M234" s="143"/>
      <c r="N234" s="213"/>
      <c r="O234" s="212"/>
      <c r="P234" s="212"/>
      <c r="Q234" s="143"/>
      <c r="R234" s="213"/>
      <c r="S234" s="212"/>
      <c r="T234" s="145"/>
      <c r="AB234" s="214" t="str">
        <f>IFERROR(__xludf.DUMMYFUNCTION("FILTER('설정시트'!$D$7:$L$20,'설정시트'!$C$7:$C$20=I234)"),"#N/A")</f>
        <v>#N/A</v>
      </c>
      <c r="AC234" s="214"/>
      <c r="AD234" s="214"/>
      <c r="AE234" s="214"/>
      <c r="AF234" s="214"/>
      <c r="AG234" s="214"/>
      <c r="AH234" s="214"/>
      <c r="AI234" s="214"/>
    </row>
    <row r="235">
      <c r="H235" s="221"/>
      <c r="I235" s="222"/>
      <c r="J235" s="217"/>
      <c r="K235" s="220"/>
      <c r="L235" s="213"/>
      <c r="M235" s="143"/>
      <c r="N235" s="213"/>
      <c r="O235" s="212"/>
      <c r="P235" s="212"/>
      <c r="Q235" s="143"/>
      <c r="R235" s="213"/>
      <c r="S235" s="212"/>
      <c r="T235" s="145"/>
      <c r="AB235" s="214" t="str">
        <f>IFERROR(__xludf.DUMMYFUNCTION("FILTER('설정시트'!$D$7:$L$20,'설정시트'!$C$7:$C$20=I235)"),"#N/A")</f>
        <v>#N/A</v>
      </c>
      <c r="AC235" s="214"/>
      <c r="AD235" s="214"/>
      <c r="AE235" s="214"/>
      <c r="AF235" s="214"/>
      <c r="AG235" s="214"/>
      <c r="AH235" s="214"/>
      <c r="AI235" s="214"/>
    </row>
    <row r="236">
      <c r="H236" s="221"/>
      <c r="I236" s="222"/>
      <c r="J236" s="217"/>
      <c r="K236" s="220"/>
      <c r="L236" s="213"/>
      <c r="M236" s="143"/>
      <c r="N236" s="213"/>
      <c r="O236" s="212"/>
      <c r="P236" s="212"/>
      <c r="Q236" s="143"/>
      <c r="R236" s="213"/>
      <c r="S236" s="212"/>
      <c r="T236" s="145"/>
      <c r="AB236" s="214" t="str">
        <f>IFERROR(__xludf.DUMMYFUNCTION("FILTER('설정시트'!$D$7:$L$20,'설정시트'!$C$7:$C$20=I236)"),"#N/A")</f>
        <v>#N/A</v>
      </c>
      <c r="AC236" s="214"/>
      <c r="AD236" s="214"/>
      <c r="AE236" s="214"/>
      <c r="AF236" s="214"/>
      <c r="AG236" s="214"/>
      <c r="AH236" s="214"/>
      <c r="AI236" s="214"/>
    </row>
    <row r="237">
      <c r="H237" s="221"/>
      <c r="I237" s="222"/>
      <c r="J237" s="217"/>
      <c r="K237" s="220"/>
      <c r="L237" s="213"/>
      <c r="M237" s="143"/>
      <c r="N237" s="213"/>
      <c r="O237" s="212"/>
      <c r="P237" s="212"/>
      <c r="Q237" s="143"/>
      <c r="R237" s="213"/>
      <c r="S237" s="212"/>
      <c r="T237" s="145"/>
      <c r="AB237" s="214" t="str">
        <f>IFERROR(__xludf.DUMMYFUNCTION("FILTER('설정시트'!$D$7:$L$20,'설정시트'!$C$7:$C$20=I237)"),"#N/A")</f>
        <v>#N/A</v>
      </c>
      <c r="AC237" s="214"/>
      <c r="AD237" s="214"/>
      <c r="AE237" s="214"/>
      <c r="AF237" s="214"/>
      <c r="AG237" s="214"/>
      <c r="AH237" s="214"/>
      <c r="AI237" s="214"/>
    </row>
    <row r="238">
      <c r="H238" s="221"/>
      <c r="I238" s="222"/>
      <c r="J238" s="217"/>
      <c r="K238" s="220"/>
      <c r="L238" s="213"/>
      <c r="M238" s="143"/>
      <c r="N238" s="213"/>
      <c r="O238" s="212"/>
      <c r="P238" s="212"/>
      <c r="Q238" s="143"/>
      <c r="R238" s="213"/>
      <c r="S238" s="212"/>
      <c r="T238" s="145"/>
      <c r="AB238" s="214" t="str">
        <f>IFERROR(__xludf.DUMMYFUNCTION("FILTER('설정시트'!$D$7:$L$20,'설정시트'!$C$7:$C$20=I238)"),"#N/A")</f>
        <v>#N/A</v>
      </c>
      <c r="AC238" s="214"/>
      <c r="AD238" s="214"/>
      <c r="AE238" s="214"/>
      <c r="AF238" s="214"/>
      <c r="AG238" s="214"/>
      <c r="AH238" s="214"/>
      <c r="AI238" s="214"/>
    </row>
    <row r="239">
      <c r="H239" s="221"/>
      <c r="I239" s="222"/>
      <c r="J239" s="217"/>
      <c r="K239" s="220"/>
      <c r="L239" s="213"/>
      <c r="M239" s="143"/>
      <c r="N239" s="213"/>
      <c r="O239" s="212"/>
      <c r="P239" s="212"/>
      <c r="Q239" s="143"/>
      <c r="R239" s="213"/>
      <c r="S239" s="212"/>
      <c r="T239" s="145"/>
      <c r="AB239" s="214" t="str">
        <f>IFERROR(__xludf.DUMMYFUNCTION("FILTER('설정시트'!$D$7:$L$20,'설정시트'!$C$7:$C$20=I239)"),"#N/A")</f>
        <v>#N/A</v>
      </c>
      <c r="AC239" s="214"/>
      <c r="AD239" s="214"/>
      <c r="AE239" s="214"/>
      <c r="AF239" s="214"/>
      <c r="AG239" s="214"/>
      <c r="AH239" s="214"/>
      <c r="AI239" s="214"/>
    </row>
    <row r="240">
      <c r="H240" s="221"/>
      <c r="I240" s="222"/>
      <c r="J240" s="217"/>
      <c r="K240" s="220"/>
      <c r="L240" s="213"/>
      <c r="M240" s="143"/>
      <c r="N240" s="213"/>
      <c r="O240" s="212"/>
      <c r="P240" s="212"/>
      <c r="Q240" s="143"/>
      <c r="R240" s="213"/>
      <c r="S240" s="212"/>
      <c r="T240" s="145"/>
      <c r="AB240" s="214" t="str">
        <f>IFERROR(__xludf.DUMMYFUNCTION("FILTER('설정시트'!$D$7:$L$20,'설정시트'!$C$7:$C$20=I240)"),"#N/A")</f>
        <v>#N/A</v>
      </c>
      <c r="AC240" s="214"/>
      <c r="AD240" s="214"/>
      <c r="AE240" s="214"/>
      <c r="AF240" s="214"/>
      <c r="AG240" s="214"/>
      <c r="AH240" s="214"/>
      <c r="AI240" s="214"/>
    </row>
    <row r="241">
      <c r="H241" s="221"/>
      <c r="I241" s="222"/>
      <c r="J241" s="217"/>
      <c r="K241" s="220"/>
      <c r="L241" s="213"/>
      <c r="M241" s="143"/>
      <c r="N241" s="213"/>
      <c r="O241" s="212"/>
      <c r="P241" s="212"/>
      <c r="Q241" s="143"/>
      <c r="R241" s="213"/>
      <c r="S241" s="212"/>
      <c r="T241" s="145"/>
      <c r="AB241" s="214" t="str">
        <f>IFERROR(__xludf.DUMMYFUNCTION("FILTER('설정시트'!$D$7:$L$20,'설정시트'!$C$7:$C$20=I241)"),"#N/A")</f>
        <v>#N/A</v>
      </c>
      <c r="AC241" s="214"/>
      <c r="AD241" s="214"/>
      <c r="AE241" s="214"/>
      <c r="AF241" s="214"/>
      <c r="AG241" s="214"/>
      <c r="AH241" s="214"/>
      <c r="AI241" s="214"/>
    </row>
    <row r="242">
      <c r="H242" s="221"/>
      <c r="I242" s="222"/>
      <c r="J242" s="217"/>
      <c r="K242" s="220"/>
      <c r="L242" s="213"/>
      <c r="M242" s="143"/>
      <c r="N242" s="213"/>
      <c r="O242" s="212"/>
      <c r="P242" s="212"/>
      <c r="Q242" s="143"/>
      <c r="R242" s="213"/>
      <c r="S242" s="212"/>
      <c r="T242" s="145"/>
      <c r="AB242" s="214" t="str">
        <f>IFERROR(__xludf.DUMMYFUNCTION("FILTER('설정시트'!$D$7:$L$20,'설정시트'!$C$7:$C$20=I242)"),"#N/A")</f>
        <v>#N/A</v>
      </c>
      <c r="AC242" s="214"/>
      <c r="AD242" s="214"/>
      <c r="AE242" s="214"/>
      <c r="AF242" s="214"/>
      <c r="AG242" s="214"/>
      <c r="AH242" s="214"/>
      <c r="AI242" s="214"/>
    </row>
    <row r="243">
      <c r="H243" s="221"/>
      <c r="I243" s="222"/>
      <c r="J243" s="217"/>
      <c r="K243" s="220"/>
      <c r="L243" s="213"/>
      <c r="M243" s="143"/>
      <c r="N243" s="213"/>
      <c r="O243" s="212"/>
      <c r="P243" s="212"/>
      <c r="Q243" s="143"/>
      <c r="R243" s="213"/>
      <c r="S243" s="212"/>
      <c r="T243" s="145"/>
      <c r="AB243" s="214" t="str">
        <f>IFERROR(__xludf.DUMMYFUNCTION("FILTER('설정시트'!$D$7:$L$20,'설정시트'!$C$7:$C$20=I243)"),"#N/A")</f>
        <v>#N/A</v>
      </c>
      <c r="AC243" s="214"/>
      <c r="AD243" s="214"/>
      <c r="AE243" s="214"/>
      <c r="AF243" s="214"/>
      <c r="AG243" s="214"/>
      <c r="AH243" s="214"/>
      <c r="AI243" s="214"/>
    </row>
    <row r="244">
      <c r="H244" s="221"/>
      <c r="I244" s="222"/>
      <c r="J244" s="217"/>
      <c r="K244" s="220"/>
      <c r="L244" s="213"/>
      <c r="M244" s="143"/>
      <c r="N244" s="213"/>
      <c r="O244" s="212"/>
      <c r="P244" s="212"/>
      <c r="Q244" s="143"/>
      <c r="R244" s="213"/>
      <c r="S244" s="212"/>
      <c r="T244" s="145"/>
      <c r="AB244" s="214" t="str">
        <f>IFERROR(__xludf.DUMMYFUNCTION("FILTER('설정시트'!$D$7:$L$20,'설정시트'!$C$7:$C$20=I244)"),"#N/A")</f>
        <v>#N/A</v>
      </c>
      <c r="AC244" s="214"/>
      <c r="AD244" s="214"/>
      <c r="AE244" s="214"/>
      <c r="AF244" s="214"/>
      <c r="AG244" s="214"/>
      <c r="AH244" s="214"/>
      <c r="AI244" s="214"/>
    </row>
    <row r="245">
      <c r="H245" s="221"/>
      <c r="I245" s="222"/>
      <c r="J245" s="217"/>
      <c r="K245" s="220"/>
      <c r="L245" s="213"/>
      <c r="M245" s="143"/>
      <c r="N245" s="213"/>
      <c r="O245" s="212"/>
      <c r="P245" s="212"/>
      <c r="Q245" s="143"/>
      <c r="R245" s="213"/>
      <c r="S245" s="212"/>
      <c r="T245" s="145"/>
      <c r="AB245" s="214" t="str">
        <f>IFERROR(__xludf.DUMMYFUNCTION("FILTER('설정시트'!$D$7:$L$20,'설정시트'!$C$7:$C$20=I245)"),"#N/A")</f>
        <v>#N/A</v>
      </c>
      <c r="AC245" s="214"/>
      <c r="AD245" s="214"/>
      <c r="AE245" s="214"/>
      <c r="AF245" s="214"/>
      <c r="AG245" s="214"/>
      <c r="AH245" s="214"/>
      <c r="AI245" s="214"/>
    </row>
    <row r="246">
      <c r="H246" s="221"/>
      <c r="I246" s="222"/>
      <c r="J246" s="217"/>
      <c r="K246" s="220"/>
      <c r="L246" s="213"/>
      <c r="M246" s="143"/>
      <c r="N246" s="213"/>
      <c r="O246" s="212"/>
      <c r="P246" s="212"/>
      <c r="Q246" s="143"/>
      <c r="R246" s="213"/>
      <c r="S246" s="212"/>
      <c r="T246" s="145"/>
      <c r="AB246" s="214" t="str">
        <f>IFERROR(__xludf.DUMMYFUNCTION("FILTER('설정시트'!$D$7:$L$20,'설정시트'!$C$7:$C$20=I246)"),"#N/A")</f>
        <v>#N/A</v>
      </c>
      <c r="AC246" s="214"/>
      <c r="AD246" s="214"/>
      <c r="AE246" s="214"/>
      <c r="AF246" s="214"/>
      <c r="AG246" s="214"/>
      <c r="AH246" s="214"/>
      <c r="AI246" s="214"/>
    </row>
    <row r="247">
      <c r="H247" s="221"/>
      <c r="I247" s="222"/>
      <c r="J247" s="217"/>
      <c r="K247" s="220"/>
      <c r="L247" s="213"/>
      <c r="M247" s="143"/>
      <c r="N247" s="213"/>
      <c r="O247" s="212"/>
      <c r="P247" s="212"/>
      <c r="Q247" s="143"/>
      <c r="R247" s="213"/>
      <c r="S247" s="212"/>
      <c r="T247" s="145"/>
      <c r="AB247" s="214" t="str">
        <f>IFERROR(__xludf.DUMMYFUNCTION("FILTER('설정시트'!$D$7:$L$20,'설정시트'!$C$7:$C$20=I247)"),"#N/A")</f>
        <v>#N/A</v>
      </c>
      <c r="AC247" s="214"/>
      <c r="AD247" s="214"/>
      <c r="AE247" s="214"/>
      <c r="AF247" s="214"/>
      <c r="AG247" s="214"/>
      <c r="AH247" s="214"/>
      <c r="AI247" s="214"/>
    </row>
    <row r="248">
      <c r="H248" s="221"/>
      <c r="I248" s="222"/>
      <c r="J248" s="217"/>
      <c r="K248" s="220"/>
      <c r="L248" s="213"/>
      <c r="M248" s="143"/>
      <c r="N248" s="213"/>
      <c r="O248" s="212"/>
      <c r="P248" s="212"/>
      <c r="Q248" s="143"/>
      <c r="R248" s="213"/>
      <c r="S248" s="212"/>
      <c r="T248" s="145"/>
      <c r="AB248" s="214" t="str">
        <f>IFERROR(__xludf.DUMMYFUNCTION("FILTER('설정시트'!$D$7:$L$20,'설정시트'!$C$7:$C$20=I248)"),"#N/A")</f>
        <v>#N/A</v>
      </c>
      <c r="AC248" s="214"/>
      <c r="AD248" s="214"/>
      <c r="AE248" s="214"/>
      <c r="AF248" s="214"/>
      <c r="AG248" s="214"/>
      <c r="AH248" s="214"/>
      <c r="AI248" s="214"/>
    </row>
    <row r="249">
      <c r="H249" s="221"/>
      <c r="I249" s="222"/>
      <c r="J249" s="217"/>
      <c r="K249" s="220"/>
      <c r="L249" s="213"/>
      <c r="M249" s="143"/>
      <c r="N249" s="213"/>
      <c r="O249" s="212"/>
      <c r="P249" s="212"/>
      <c r="Q249" s="143"/>
      <c r="R249" s="213"/>
      <c r="S249" s="212"/>
      <c r="T249" s="145"/>
      <c r="AB249" s="214" t="str">
        <f>IFERROR(__xludf.DUMMYFUNCTION("FILTER('설정시트'!$D$7:$L$20,'설정시트'!$C$7:$C$20=I249)"),"#N/A")</f>
        <v>#N/A</v>
      </c>
      <c r="AC249" s="214"/>
      <c r="AD249" s="214"/>
      <c r="AE249" s="214"/>
      <c r="AF249" s="214"/>
      <c r="AG249" s="214"/>
      <c r="AH249" s="214"/>
      <c r="AI249" s="214"/>
    </row>
    <row r="250">
      <c r="H250" s="221"/>
      <c r="I250" s="222"/>
      <c r="J250" s="217"/>
      <c r="K250" s="220"/>
      <c r="L250" s="213"/>
      <c r="M250" s="143"/>
      <c r="N250" s="213"/>
      <c r="O250" s="212"/>
      <c r="P250" s="212"/>
      <c r="Q250" s="143"/>
      <c r="R250" s="213"/>
      <c r="S250" s="212"/>
      <c r="T250" s="145"/>
      <c r="AB250" s="214" t="str">
        <f>IFERROR(__xludf.DUMMYFUNCTION("FILTER('설정시트'!$D$7:$L$20,'설정시트'!$C$7:$C$20=I250)"),"#N/A")</f>
        <v>#N/A</v>
      </c>
      <c r="AC250" s="214"/>
      <c r="AD250" s="214"/>
      <c r="AE250" s="214"/>
      <c r="AF250" s="214"/>
      <c r="AG250" s="214"/>
      <c r="AH250" s="214"/>
      <c r="AI250" s="214"/>
    </row>
    <row r="251">
      <c r="H251" s="221"/>
      <c r="I251" s="222"/>
      <c r="J251" s="217"/>
      <c r="K251" s="220"/>
      <c r="L251" s="213"/>
      <c r="M251" s="143"/>
      <c r="N251" s="213"/>
      <c r="O251" s="212"/>
      <c r="P251" s="212"/>
      <c r="Q251" s="143"/>
      <c r="R251" s="213"/>
      <c r="S251" s="212"/>
      <c r="T251" s="145"/>
      <c r="AB251" s="214" t="str">
        <f>IFERROR(__xludf.DUMMYFUNCTION("FILTER('설정시트'!$D$7:$L$20,'설정시트'!$C$7:$C$20=I251)"),"#N/A")</f>
        <v>#N/A</v>
      </c>
      <c r="AC251" s="214"/>
      <c r="AD251" s="214"/>
      <c r="AE251" s="214"/>
      <c r="AF251" s="214"/>
      <c r="AG251" s="214"/>
      <c r="AH251" s="214"/>
      <c r="AI251" s="214"/>
    </row>
    <row r="252">
      <c r="H252" s="221"/>
      <c r="I252" s="222"/>
      <c r="J252" s="217"/>
      <c r="K252" s="220"/>
      <c r="L252" s="213"/>
      <c r="M252" s="143"/>
      <c r="N252" s="213"/>
      <c r="O252" s="212"/>
      <c r="P252" s="212"/>
      <c r="Q252" s="143"/>
      <c r="R252" s="213"/>
      <c r="S252" s="212"/>
      <c r="T252" s="145"/>
      <c r="AB252" s="214" t="str">
        <f>IFERROR(__xludf.DUMMYFUNCTION("FILTER('설정시트'!$D$7:$L$20,'설정시트'!$C$7:$C$20=I252)"),"#N/A")</f>
        <v>#N/A</v>
      </c>
      <c r="AC252" s="214"/>
      <c r="AD252" s="214"/>
      <c r="AE252" s="214"/>
      <c r="AF252" s="214"/>
      <c r="AG252" s="214"/>
      <c r="AH252" s="214"/>
      <c r="AI252" s="214"/>
    </row>
    <row r="253">
      <c r="H253" s="221"/>
      <c r="I253" s="222"/>
      <c r="J253" s="217"/>
      <c r="K253" s="220"/>
      <c r="L253" s="213"/>
      <c r="M253" s="143"/>
      <c r="N253" s="213"/>
      <c r="O253" s="212"/>
      <c r="P253" s="212"/>
      <c r="Q253" s="143"/>
      <c r="R253" s="213"/>
      <c r="S253" s="212"/>
      <c r="T253" s="145"/>
      <c r="AB253" s="214" t="str">
        <f>IFERROR(__xludf.DUMMYFUNCTION("FILTER('설정시트'!$D$7:$L$20,'설정시트'!$C$7:$C$20=I253)"),"#N/A")</f>
        <v>#N/A</v>
      </c>
      <c r="AC253" s="214"/>
      <c r="AD253" s="214"/>
      <c r="AE253" s="214"/>
      <c r="AF253" s="214"/>
      <c r="AG253" s="214"/>
      <c r="AH253" s="214"/>
      <c r="AI253" s="214"/>
    </row>
    <row r="254">
      <c r="H254" s="221"/>
      <c r="I254" s="222"/>
      <c r="J254" s="217"/>
      <c r="K254" s="220"/>
      <c r="L254" s="213"/>
      <c r="M254" s="143"/>
      <c r="N254" s="213"/>
      <c r="O254" s="212"/>
      <c r="P254" s="212"/>
      <c r="Q254" s="143"/>
      <c r="R254" s="213"/>
      <c r="S254" s="212"/>
      <c r="T254" s="145"/>
      <c r="AB254" s="214" t="str">
        <f>IFERROR(__xludf.DUMMYFUNCTION("FILTER('설정시트'!$D$7:$L$20,'설정시트'!$C$7:$C$20=I254)"),"#N/A")</f>
        <v>#N/A</v>
      </c>
      <c r="AC254" s="214"/>
      <c r="AD254" s="214"/>
      <c r="AE254" s="214"/>
      <c r="AF254" s="214"/>
      <c r="AG254" s="214"/>
      <c r="AH254" s="214"/>
      <c r="AI254" s="214"/>
    </row>
    <row r="255">
      <c r="H255" s="221"/>
      <c r="I255" s="222"/>
      <c r="J255" s="217"/>
      <c r="K255" s="220"/>
      <c r="L255" s="213"/>
      <c r="M255" s="143"/>
      <c r="N255" s="213"/>
      <c r="O255" s="212"/>
      <c r="P255" s="212"/>
      <c r="Q255" s="143"/>
      <c r="R255" s="213"/>
      <c r="S255" s="212"/>
      <c r="T255" s="145"/>
      <c r="AB255" s="214" t="str">
        <f>IFERROR(__xludf.DUMMYFUNCTION("FILTER('설정시트'!$D$7:$L$20,'설정시트'!$C$7:$C$20=I255)"),"#N/A")</f>
        <v>#N/A</v>
      </c>
      <c r="AC255" s="214"/>
      <c r="AD255" s="214"/>
      <c r="AE255" s="214"/>
      <c r="AF255" s="214"/>
      <c r="AG255" s="214"/>
      <c r="AH255" s="214"/>
      <c r="AI255" s="214"/>
    </row>
    <row r="256">
      <c r="H256" s="221"/>
      <c r="I256" s="222"/>
      <c r="J256" s="217"/>
      <c r="K256" s="220"/>
      <c r="L256" s="213"/>
      <c r="M256" s="143"/>
      <c r="N256" s="213"/>
      <c r="O256" s="212"/>
      <c r="P256" s="212"/>
      <c r="Q256" s="143"/>
      <c r="R256" s="213"/>
      <c r="S256" s="212"/>
      <c r="T256" s="145"/>
      <c r="AB256" s="214" t="str">
        <f>IFERROR(__xludf.DUMMYFUNCTION("FILTER('설정시트'!$D$7:$L$20,'설정시트'!$C$7:$C$20=I256)"),"#N/A")</f>
        <v>#N/A</v>
      </c>
      <c r="AC256" s="214"/>
      <c r="AD256" s="214"/>
      <c r="AE256" s="214"/>
      <c r="AF256" s="214"/>
      <c r="AG256" s="214"/>
      <c r="AH256" s="214"/>
      <c r="AI256" s="214"/>
    </row>
    <row r="257">
      <c r="H257" s="221"/>
      <c r="I257" s="222"/>
      <c r="J257" s="217"/>
      <c r="K257" s="220"/>
      <c r="L257" s="213"/>
      <c r="M257" s="143"/>
      <c r="N257" s="213"/>
      <c r="O257" s="212"/>
      <c r="P257" s="212"/>
      <c r="Q257" s="143"/>
      <c r="R257" s="213"/>
      <c r="S257" s="212"/>
      <c r="T257" s="145"/>
      <c r="AB257" s="214" t="str">
        <f>IFERROR(__xludf.DUMMYFUNCTION("FILTER('설정시트'!$D$7:$L$20,'설정시트'!$C$7:$C$20=I257)"),"#N/A")</f>
        <v>#N/A</v>
      </c>
      <c r="AC257" s="214"/>
      <c r="AD257" s="214"/>
      <c r="AE257" s="214"/>
      <c r="AF257" s="214"/>
      <c r="AG257" s="214"/>
      <c r="AH257" s="214"/>
      <c r="AI257" s="214"/>
    </row>
    <row r="258">
      <c r="H258" s="221"/>
      <c r="I258" s="222"/>
      <c r="J258" s="217"/>
      <c r="K258" s="220"/>
      <c r="L258" s="213"/>
      <c r="M258" s="143"/>
      <c r="N258" s="213"/>
      <c r="O258" s="212"/>
      <c r="P258" s="212"/>
      <c r="Q258" s="143"/>
      <c r="R258" s="213"/>
      <c r="S258" s="212"/>
      <c r="T258" s="145"/>
      <c r="AB258" s="214" t="str">
        <f>IFERROR(__xludf.DUMMYFUNCTION("FILTER('설정시트'!$D$7:$L$20,'설정시트'!$C$7:$C$20=I258)"),"#N/A")</f>
        <v>#N/A</v>
      </c>
      <c r="AC258" s="214"/>
      <c r="AD258" s="214"/>
      <c r="AE258" s="214"/>
      <c r="AF258" s="214"/>
      <c r="AG258" s="214"/>
      <c r="AH258" s="214"/>
      <c r="AI258" s="214"/>
    </row>
    <row r="259">
      <c r="H259" s="221"/>
      <c r="I259" s="222"/>
      <c r="J259" s="217"/>
      <c r="K259" s="220"/>
      <c r="L259" s="213"/>
      <c r="M259" s="143"/>
      <c r="N259" s="213"/>
      <c r="O259" s="212"/>
      <c r="P259" s="212"/>
      <c r="Q259" s="143"/>
      <c r="R259" s="213"/>
      <c r="S259" s="212"/>
      <c r="T259" s="145"/>
      <c r="AB259" s="214" t="str">
        <f>IFERROR(__xludf.DUMMYFUNCTION("FILTER('설정시트'!$D$7:$L$20,'설정시트'!$C$7:$C$20=I259)"),"#N/A")</f>
        <v>#N/A</v>
      </c>
      <c r="AC259" s="214"/>
      <c r="AD259" s="214"/>
      <c r="AE259" s="214"/>
      <c r="AF259" s="214"/>
      <c r="AG259" s="214"/>
      <c r="AH259" s="214"/>
      <c r="AI259" s="214"/>
    </row>
    <row r="260">
      <c r="H260" s="221"/>
      <c r="I260" s="222"/>
      <c r="J260" s="217"/>
      <c r="K260" s="220"/>
      <c r="L260" s="213"/>
      <c r="M260" s="143"/>
      <c r="N260" s="213"/>
      <c r="O260" s="212"/>
      <c r="P260" s="212"/>
      <c r="Q260" s="143"/>
      <c r="R260" s="213"/>
      <c r="S260" s="212"/>
      <c r="T260" s="145"/>
      <c r="AB260" s="214" t="str">
        <f>IFERROR(__xludf.DUMMYFUNCTION("FILTER('설정시트'!$D$7:$L$20,'설정시트'!$C$7:$C$20=I260)"),"#N/A")</f>
        <v>#N/A</v>
      </c>
      <c r="AC260" s="214"/>
      <c r="AD260" s="214"/>
      <c r="AE260" s="214"/>
      <c r="AF260" s="214"/>
      <c r="AG260" s="214"/>
      <c r="AH260" s="214"/>
      <c r="AI260" s="214"/>
    </row>
    <row r="261">
      <c r="H261" s="221"/>
      <c r="I261" s="222"/>
      <c r="J261" s="217"/>
      <c r="K261" s="220"/>
      <c r="L261" s="213"/>
      <c r="M261" s="143"/>
      <c r="N261" s="213"/>
      <c r="O261" s="212"/>
      <c r="P261" s="212"/>
      <c r="Q261" s="143"/>
      <c r="R261" s="213"/>
      <c r="S261" s="212"/>
      <c r="T261" s="145"/>
      <c r="AB261" s="214" t="str">
        <f>IFERROR(__xludf.DUMMYFUNCTION("FILTER('설정시트'!$D$7:$L$20,'설정시트'!$C$7:$C$20=I261)"),"#N/A")</f>
        <v>#N/A</v>
      </c>
      <c r="AC261" s="214"/>
      <c r="AD261" s="214"/>
      <c r="AE261" s="214"/>
      <c r="AF261" s="214"/>
      <c r="AG261" s="214"/>
      <c r="AH261" s="214"/>
      <c r="AI261" s="214"/>
    </row>
    <row r="262">
      <c r="H262" s="221"/>
      <c r="I262" s="222"/>
      <c r="J262" s="217"/>
      <c r="K262" s="220"/>
      <c r="L262" s="213"/>
      <c r="M262" s="143"/>
      <c r="N262" s="213"/>
      <c r="O262" s="212"/>
      <c r="P262" s="212"/>
      <c r="Q262" s="143"/>
      <c r="R262" s="213"/>
      <c r="S262" s="212"/>
      <c r="T262" s="145"/>
      <c r="AB262" s="214" t="str">
        <f>IFERROR(__xludf.DUMMYFUNCTION("FILTER('설정시트'!$D$7:$L$20,'설정시트'!$C$7:$C$20=I262)"),"#N/A")</f>
        <v>#N/A</v>
      </c>
      <c r="AC262" s="214"/>
      <c r="AD262" s="214"/>
      <c r="AE262" s="214"/>
      <c r="AF262" s="214"/>
      <c r="AG262" s="214"/>
      <c r="AH262" s="214"/>
      <c r="AI262" s="214"/>
    </row>
    <row r="263">
      <c r="H263" s="221"/>
      <c r="I263" s="222"/>
      <c r="J263" s="217"/>
      <c r="K263" s="220"/>
      <c r="L263" s="213"/>
      <c r="M263" s="143"/>
      <c r="N263" s="213"/>
      <c r="O263" s="212"/>
      <c r="P263" s="212"/>
      <c r="Q263" s="143"/>
      <c r="R263" s="213"/>
      <c r="S263" s="212"/>
      <c r="T263" s="145"/>
      <c r="AB263" s="214" t="str">
        <f>IFERROR(__xludf.DUMMYFUNCTION("FILTER('설정시트'!$D$7:$L$20,'설정시트'!$C$7:$C$20=I263)"),"#N/A")</f>
        <v>#N/A</v>
      </c>
      <c r="AC263" s="214"/>
      <c r="AD263" s="214"/>
      <c r="AE263" s="214"/>
      <c r="AF263" s="214"/>
      <c r="AG263" s="214"/>
      <c r="AH263" s="214"/>
      <c r="AI263" s="214"/>
    </row>
    <row r="264">
      <c r="H264" s="221"/>
      <c r="I264" s="222"/>
      <c r="J264" s="217"/>
      <c r="K264" s="220"/>
      <c r="L264" s="213"/>
      <c r="M264" s="143"/>
      <c r="N264" s="213"/>
      <c r="O264" s="212"/>
      <c r="P264" s="212"/>
      <c r="Q264" s="143"/>
      <c r="R264" s="213"/>
      <c r="S264" s="212"/>
      <c r="T264" s="145"/>
      <c r="AB264" s="214" t="str">
        <f>IFERROR(__xludf.DUMMYFUNCTION("FILTER('설정시트'!$D$7:$L$20,'설정시트'!$C$7:$C$20=I264)"),"#N/A")</f>
        <v>#N/A</v>
      </c>
      <c r="AC264" s="214"/>
      <c r="AD264" s="214"/>
      <c r="AE264" s="214"/>
      <c r="AF264" s="214"/>
      <c r="AG264" s="214"/>
      <c r="AH264" s="214"/>
      <c r="AI264" s="214"/>
    </row>
    <row r="265">
      <c r="H265" s="221"/>
      <c r="I265" s="222"/>
      <c r="J265" s="217"/>
      <c r="K265" s="220"/>
      <c r="L265" s="213"/>
      <c r="M265" s="143"/>
      <c r="N265" s="213"/>
      <c r="O265" s="212"/>
      <c r="P265" s="212"/>
      <c r="Q265" s="143"/>
      <c r="R265" s="213"/>
      <c r="S265" s="212"/>
      <c r="T265" s="145"/>
      <c r="AB265" s="214" t="str">
        <f>IFERROR(__xludf.DUMMYFUNCTION("FILTER('설정시트'!$D$7:$L$20,'설정시트'!$C$7:$C$20=I265)"),"#N/A")</f>
        <v>#N/A</v>
      </c>
      <c r="AC265" s="214"/>
      <c r="AD265" s="214"/>
      <c r="AE265" s="214"/>
      <c r="AF265" s="214"/>
      <c r="AG265" s="214"/>
      <c r="AH265" s="214"/>
      <c r="AI265" s="214"/>
    </row>
    <row r="266">
      <c r="H266" s="221"/>
      <c r="I266" s="222"/>
      <c r="J266" s="217"/>
      <c r="K266" s="220"/>
      <c r="L266" s="213"/>
      <c r="M266" s="143"/>
      <c r="N266" s="213"/>
      <c r="O266" s="212"/>
      <c r="P266" s="212"/>
      <c r="Q266" s="143"/>
      <c r="R266" s="213"/>
      <c r="S266" s="212"/>
      <c r="T266" s="145"/>
      <c r="AB266" s="214" t="str">
        <f>IFERROR(__xludf.DUMMYFUNCTION("FILTER('설정시트'!$D$7:$L$20,'설정시트'!$C$7:$C$20=I266)"),"#N/A")</f>
        <v>#N/A</v>
      </c>
      <c r="AC266" s="214"/>
      <c r="AD266" s="214"/>
      <c r="AE266" s="214"/>
      <c r="AF266" s="214"/>
      <c r="AG266" s="214"/>
      <c r="AH266" s="214"/>
      <c r="AI266" s="214"/>
    </row>
    <row r="267">
      <c r="H267" s="221"/>
      <c r="I267" s="222"/>
      <c r="J267" s="217"/>
      <c r="K267" s="220"/>
      <c r="L267" s="213"/>
      <c r="M267" s="143"/>
      <c r="N267" s="213"/>
      <c r="O267" s="212"/>
      <c r="P267" s="212"/>
      <c r="Q267" s="143"/>
      <c r="R267" s="213"/>
      <c r="S267" s="212"/>
      <c r="T267" s="145"/>
      <c r="AB267" s="214" t="str">
        <f>IFERROR(__xludf.DUMMYFUNCTION("FILTER('설정시트'!$D$7:$L$20,'설정시트'!$C$7:$C$20=I267)"),"#N/A")</f>
        <v>#N/A</v>
      </c>
      <c r="AC267" s="214"/>
      <c r="AD267" s="214"/>
      <c r="AE267" s="214"/>
      <c r="AF267" s="214"/>
      <c r="AG267" s="214"/>
      <c r="AH267" s="214"/>
      <c r="AI267" s="214"/>
    </row>
    <row r="268">
      <c r="H268" s="221"/>
      <c r="I268" s="222"/>
      <c r="J268" s="217"/>
      <c r="K268" s="220"/>
      <c r="L268" s="213"/>
      <c r="M268" s="143"/>
      <c r="N268" s="213"/>
      <c r="O268" s="212"/>
      <c r="P268" s="212"/>
      <c r="Q268" s="143"/>
      <c r="R268" s="213"/>
      <c r="S268" s="212"/>
      <c r="T268" s="145"/>
      <c r="AB268" s="214" t="str">
        <f>IFERROR(__xludf.DUMMYFUNCTION("FILTER('설정시트'!$D$7:$L$20,'설정시트'!$C$7:$C$20=I268)"),"#N/A")</f>
        <v>#N/A</v>
      </c>
      <c r="AC268" s="214"/>
      <c r="AD268" s="214"/>
      <c r="AE268" s="214"/>
      <c r="AF268" s="214"/>
      <c r="AG268" s="214"/>
      <c r="AH268" s="214"/>
      <c r="AI268" s="214"/>
    </row>
    <row r="269">
      <c r="H269" s="221"/>
      <c r="I269" s="222"/>
      <c r="J269" s="217"/>
      <c r="K269" s="220"/>
      <c r="L269" s="213"/>
      <c r="M269" s="143"/>
      <c r="N269" s="213"/>
      <c r="O269" s="212"/>
      <c r="P269" s="212"/>
      <c r="Q269" s="143"/>
      <c r="R269" s="213"/>
      <c r="S269" s="212"/>
      <c r="T269" s="145"/>
      <c r="AB269" s="214" t="str">
        <f>IFERROR(__xludf.DUMMYFUNCTION("FILTER('설정시트'!$D$7:$L$20,'설정시트'!$C$7:$C$20=I269)"),"#N/A")</f>
        <v>#N/A</v>
      </c>
      <c r="AC269" s="214"/>
      <c r="AD269" s="214"/>
      <c r="AE269" s="214"/>
      <c r="AF269" s="214"/>
      <c r="AG269" s="214"/>
      <c r="AH269" s="214"/>
      <c r="AI269" s="214"/>
    </row>
    <row r="270">
      <c r="H270" s="221"/>
      <c r="I270" s="222"/>
      <c r="J270" s="217"/>
      <c r="K270" s="220"/>
      <c r="L270" s="213"/>
      <c r="M270" s="143"/>
      <c r="N270" s="213"/>
      <c r="O270" s="212"/>
      <c r="P270" s="212"/>
      <c r="Q270" s="143"/>
      <c r="R270" s="213"/>
      <c r="S270" s="212"/>
      <c r="T270" s="145"/>
      <c r="AB270" s="214" t="str">
        <f>IFERROR(__xludf.DUMMYFUNCTION("FILTER('설정시트'!$D$7:$L$20,'설정시트'!$C$7:$C$20=I270)"),"#N/A")</f>
        <v>#N/A</v>
      </c>
      <c r="AC270" s="214"/>
      <c r="AD270" s="214"/>
      <c r="AE270" s="214"/>
      <c r="AF270" s="214"/>
      <c r="AG270" s="214"/>
      <c r="AH270" s="214"/>
      <c r="AI270" s="214"/>
    </row>
    <row r="271">
      <c r="H271" s="221"/>
      <c r="I271" s="222"/>
      <c r="J271" s="217"/>
      <c r="K271" s="220"/>
      <c r="L271" s="213"/>
      <c r="M271" s="143"/>
      <c r="N271" s="213"/>
      <c r="O271" s="212"/>
      <c r="P271" s="212"/>
      <c r="Q271" s="143"/>
      <c r="R271" s="213"/>
      <c r="S271" s="212"/>
      <c r="T271" s="145"/>
      <c r="AB271" s="214" t="str">
        <f>IFERROR(__xludf.DUMMYFUNCTION("FILTER('설정시트'!$D$7:$L$20,'설정시트'!$C$7:$C$20=I271)"),"#N/A")</f>
        <v>#N/A</v>
      </c>
      <c r="AC271" s="214"/>
      <c r="AD271" s="214"/>
      <c r="AE271" s="214"/>
      <c r="AF271" s="214"/>
      <c r="AG271" s="214"/>
      <c r="AH271" s="214"/>
      <c r="AI271" s="214"/>
    </row>
    <row r="272">
      <c r="H272" s="221"/>
      <c r="I272" s="222"/>
      <c r="J272" s="217"/>
      <c r="K272" s="220"/>
      <c r="L272" s="213"/>
      <c r="M272" s="143"/>
      <c r="N272" s="213"/>
      <c r="O272" s="212"/>
      <c r="P272" s="212"/>
      <c r="Q272" s="143"/>
      <c r="R272" s="213"/>
      <c r="S272" s="212"/>
      <c r="T272" s="145"/>
      <c r="AB272" s="214" t="str">
        <f>IFERROR(__xludf.DUMMYFUNCTION("FILTER('설정시트'!$D$7:$L$20,'설정시트'!$C$7:$C$20=I272)"),"#N/A")</f>
        <v>#N/A</v>
      </c>
      <c r="AC272" s="214"/>
      <c r="AD272" s="214"/>
      <c r="AE272" s="214"/>
      <c r="AF272" s="214"/>
      <c r="AG272" s="214"/>
      <c r="AH272" s="214"/>
      <c r="AI272" s="214"/>
    </row>
    <row r="273">
      <c r="H273" s="221"/>
      <c r="I273" s="222"/>
      <c r="J273" s="217"/>
      <c r="K273" s="220"/>
      <c r="L273" s="213"/>
      <c r="M273" s="143"/>
      <c r="N273" s="213"/>
      <c r="O273" s="212"/>
      <c r="P273" s="212"/>
      <c r="Q273" s="143"/>
      <c r="R273" s="213"/>
      <c r="S273" s="212"/>
      <c r="T273" s="145"/>
      <c r="AB273" s="214" t="str">
        <f>IFERROR(__xludf.DUMMYFUNCTION("FILTER('설정시트'!$D$7:$L$20,'설정시트'!$C$7:$C$20=I273)"),"#N/A")</f>
        <v>#N/A</v>
      </c>
      <c r="AC273" s="214"/>
      <c r="AD273" s="214"/>
      <c r="AE273" s="214"/>
      <c r="AF273" s="214"/>
      <c r="AG273" s="214"/>
      <c r="AH273" s="214"/>
      <c r="AI273" s="214"/>
    </row>
    <row r="274">
      <c r="H274" s="221"/>
      <c r="I274" s="222"/>
      <c r="J274" s="217"/>
      <c r="K274" s="220"/>
      <c r="L274" s="213"/>
      <c r="M274" s="143"/>
      <c r="N274" s="213"/>
      <c r="O274" s="212"/>
      <c r="P274" s="212"/>
      <c r="Q274" s="143"/>
      <c r="R274" s="213"/>
      <c r="S274" s="212"/>
      <c r="T274" s="145"/>
      <c r="AB274" s="214" t="str">
        <f>IFERROR(__xludf.DUMMYFUNCTION("FILTER('설정시트'!$D$7:$L$20,'설정시트'!$C$7:$C$20=I274)"),"#N/A")</f>
        <v>#N/A</v>
      </c>
      <c r="AC274" s="214"/>
      <c r="AD274" s="214"/>
      <c r="AE274" s="214"/>
      <c r="AF274" s="214"/>
      <c r="AG274" s="214"/>
      <c r="AH274" s="214"/>
      <c r="AI274" s="214"/>
    </row>
    <row r="275">
      <c r="H275" s="221"/>
      <c r="I275" s="222"/>
      <c r="J275" s="217"/>
      <c r="K275" s="220"/>
      <c r="L275" s="213"/>
      <c r="M275" s="143"/>
      <c r="N275" s="213"/>
      <c r="O275" s="212"/>
      <c r="P275" s="212"/>
      <c r="Q275" s="143"/>
      <c r="R275" s="213"/>
      <c r="S275" s="212"/>
      <c r="T275" s="145"/>
      <c r="AB275" s="214" t="str">
        <f>IFERROR(__xludf.DUMMYFUNCTION("FILTER('설정시트'!$D$7:$L$20,'설정시트'!$C$7:$C$20=I275)"),"#N/A")</f>
        <v>#N/A</v>
      </c>
      <c r="AC275" s="214"/>
      <c r="AD275" s="214"/>
      <c r="AE275" s="214"/>
      <c r="AF275" s="214"/>
      <c r="AG275" s="214"/>
      <c r="AH275" s="214"/>
      <c r="AI275" s="214"/>
    </row>
    <row r="276">
      <c r="H276" s="221"/>
      <c r="I276" s="222"/>
      <c r="J276" s="217"/>
      <c r="K276" s="220"/>
      <c r="L276" s="213"/>
      <c r="M276" s="143"/>
      <c r="N276" s="213"/>
      <c r="O276" s="212"/>
      <c r="P276" s="212"/>
      <c r="Q276" s="143"/>
      <c r="R276" s="213"/>
      <c r="S276" s="212"/>
      <c r="T276" s="145"/>
      <c r="AB276" s="214" t="str">
        <f>IFERROR(__xludf.DUMMYFUNCTION("FILTER('설정시트'!$D$7:$L$20,'설정시트'!$C$7:$C$20=I276)"),"#N/A")</f>
        <v>#N/A</v>
      </c>
      <c r="AC276" s="214"/>
      <c r="AD276" s="214"/>
      <c r="AE276" s="214"/>
      <c r="AF276" s="214"/>
      <c r="AG276" s="214"/>
      <c r="AH276" s="214"/>
      <c r="AI276" s="214"/>
    </row>
    <row r="277">
      <c r="H277" s="221"/>
      <c r="I277" s="222"/>
      <c r="J277" s="217"/>
      <c r="K277" s="220"/>
      <c r="L277" s="213"/>
      <c r="M277" s="143"/>
      <c r="N277" s="213"/>
      <c r="O277" s="212"/>
      <c r="P277" s="212"/>
      <c r="Q277" s="143"/>
      <c r="R277" s="213"/>
      <c r="S277" s="212"/>
      <c r="T277" s="145"/>
      <c r="AB277" s="214" t="str">
        <f>IFERROR(__xludf.DUMMYFUNCTION("FILTER('설정시트'!$D$7:$L$20,'설정시트'!$C$7:$C$20=I277)"),"#N/A")</f>
        <v>#N/A</v>
      </c>
      <c r="AC277" s="214"/>
      <c r="AD277" s="214"/>
      <c r="AE277" s="214"/>
      <c r="AF277" s="214"/>
      <c r="AG277" s="214"/>
      <c r="AH277" s="214"/>
      <c r="AI277" s="214"/>
    </row>
    <row r="278">
      <c r="H278" s="221"/>
      <c r="I278" s="222"/>
      <c r="J278" s="217"/>
      <c r="K278" s="220"/>
      <c r="L278" s="213"/>
      <c r="M278" s="143"/>
      <c r="N278" s="213"/>
      <c r="O278" s="212"/>
      <c r="P278" s="212"/>
      <c r="Q278" s="143"/>
      <c r="R278" s="213"/>
      <c r="S278" s="212"/>
      <c r="T278" s="145"/>
      <c r="AB278" s="214" t="str">
        <f>IFERROR(__xludf.DUMMYFUNCTION("FILTER('설정시트'!$D$7:$L$20,'설정시트'!$C$7:$C$20=I278)"),"#N/A")</f>
        <v>#N/A</v>
      </c>
      <c r="AC278" s="214"/>
      <c r="AD278" s="214"/>
      <c r="AE278" s="214"/>
      <c r="AF278" s="214"/>
      <c r="AG278" s="214"/>
      <c r="AH278" s="214"/>
      <c r="AI278" s="214"/>
    </row>
    <row r="279">
      <c r="H279" s="221"/>
      <c r="I279" s="222"/>
      <c r="J279" s="217"/>
      <c r="K279" s="220"/>
      <c r="L279" s="213"/>
      <c r="M279" s="143"/>
      <c r="N279" s="213"/>
      <c r="O279" s="212"/>
      <c r="P279" s="212"/>
      <c r="Q279" s="143"/>
      <c r="R279" s="213"/>
      <c r="S279" s="212"/>
      <c r="T279" s="145"/>
      <c r="AB279" s="214" t="str">
        <f>IFERROR(__xludf.DUMMYFUNCTION("FILTER('설정시트'!$D$7:$L$20,'설정시트'!$C$7:$C$20=I279)"),"#N/A")</f>
        <v>#N/A</v>
      </c>
      <c r="AC279" s="214"/>
      <c r="AD279" s="214"/>
      <c r="AE279" s="214"/>
      <c r="AF279" s="214"/>
      <c r="AG279" s="214"/>
      <c r="AH279" s="214"/>
      <c r="AI279" s="214"/>
    </row>
    <row r="280">
      <c r="H280" s="221"/>
      <c r="I280" s="222"/>
      <c r="J280" s="217"/>
      <c r="K280" s="220"/>
      <c r="L280" s="213"/>
      <c r="M280" s="143"/>
      <c r="N280" s="213"/>
      <c r="O280" s="212"/>
      <c r="P280" s="212"/>
      <c r="Q280" s="143"/>
      <c r="R280" s="213"/>
      <c r="S280" s="212"/>
      <c r="T280" s="145"/>
      <c r="AB280" s="214" t="str">
        <f>IFERROR(__xludf.DUMMYFUNCTION("FILTER('설정시트'!$D$7:$L$20,'설정시트'!$C$7:$C$20=I280)"),"#N/A")</f>
        <v>#N/A</v>
      </c>
      <c r="AC280" s="214"/>
      <c r="AD280" s="214"/>
      <c r="AE280" s="214"/>
      <c r="AF280" s="214"/>
      <c r="AG280" s="214"/>
      <c r="AH280" s="214"/>
      <c r="AI280" s="214"/>
    </row>
    <row r="281">
      <c r="H281" s="221"/>
      <c r="I281" s="222"/>
      <c r="J281" s="217"/>
      <c r="K281" s="220"/>
      <c r="L281" s="213"/>
      <c r="M281" s="143"/>
      <c r="N281" s="213"/>
      <c r="O281" s="212"/>
      <c r="P281" s="212"/>
      <c r="Q281" s="143"/>
      <c r="R281" s="213"/>
      <c r="S281" s="212"/>
      <c r="T281" s="145"/>
      <c r="AB281" s="214" t="str">
        <f>IFERROR(__xludf.DUMMYFUNCTION("FILTER('설정시트'!$D$7:$L$20,'설정시트'!$C$7:$C$20=I281)"),"#N/A")</f>
        <v>#N/A</v>
      </c>
      <c r="AC281" s="214"/>
      <c r="AD281" s="214"/>
      <c r="AE281" s="214"/>
      <c r="AF281" s="214"/>
      <c r="AG281" s="214"/>
      <c r="AH281" s="214"/>
      <c r="AI281" s="214"/>
    </row>
    <row r="282">
      <c r="H282" s="221"/>
      <c r="I282" s="222"/>
      <c r="J282" s="217"/>
      <c r="K282" s="220"/>
      <c r="L282" s="213"/>
      <c r="M282" s="143"/>
      <c r="N282" s="213"/>
      <c r="O282" s="212"/>
      <c r="P282" s="212"/>
      <c r="Q282" s="143"/>
      <c r="R282" s="213"/>
      <c r="S282" s="212"/>
      <c r="T282" s="145"/>
      <c r="AB282" s="214" t="str">
        <f>IFERROR(__xludf.DUMMYFUNCTION("FILTER('설정시트'!$D$7:$L$20,'설정시트'!$C$7:$C$20=I282)"),"#N/A")</f>
        <v>#N/A</v>
      </c>
      <c r="AC282" s="214"/>
      <c r="AD282" s="214"/>
      <c r="AE282" s="214"/>
      <c r="AF282" s="214"/>
      <c r="AG282" s="214"/>
      <c r="AH282" s="214"/>
      <c r="AI282" s="214"/>
    </row>
    <row r="283">
      <c r="H283" s="221"/>
      <c r="I283" s="222"/>
      <c r="J283" s="217"/>
      <c r="K283" s="220"/>
      <c r="L283" s="213"/>
      <c r="M283" s="143"/>
      <c r="N283" s="213"/>
      <c r="O283" s="212"/>
      <c r="P283" s="212"/>
      <c r="Q283" s="143"/>
      <c r="R283" s="213"/>
      <c r="S283" s="212"/>
      <c r="T283" s="145"/>
      <c r="AB283" s="214" t="str">
        <f>IFERROR(__xludf.DUMMYFUNCTION("FILTER('설정시트'!$D$7:$L$20,'설정시트'!$C$7:$C$20=I283)"),"#N/A")</f>
        <v>#N/A</v>
      </c>
      <c r="AC283" s="214"/>
      <c r="AD283" s="214"/>
      <c r="AE283" s="214"/>
      <c r="AF283" s="214"/>
      <c r="AG283" s="214"/>
      <c r="AH283" s="214"/>
      <c r="AI283" s="214"/>
    </row>
    <row r="284">
      <c r="H284" s="221"/>
      <c r="I284" s="222"/>
      <c r="J284" s="217"/>
      <c r="K284" s="220"/>
      <c r="L284" s="213"/>
      <c r="M284" s="143"/>
      <c r="N284" s="213"/>
      <c r="O284" s="212"/>
      <c r="P284" s="212"/>
      <c r="Q284" s="143"/>
      <c r="R284" s="213"/>
      <c r="S284" s="212"/>
      <c r="T284" s="145"/>
      <c r="AB284" s="214" t="str">
        <f>IFERROR(__xludf.DUMMYFUNCTION("FILTER('설정시트'!$D$7:$L$20,'설정시트'!$C$7:$C$20=I284)"),"#N/A")</f>
        <v>#N/A</v>
      </c>
      <c r="AC284" s="214"/>
      <c r="AD284" s="214"/>
      <c r="AE284" s="214"/>
      <c r="AF284" s="214"/>
      <c r="AG284" s="214"/>
      <c r="AH284" s="214"/>
      <c r="AI284" s="214"/>
    </row>
    <row r="285">
      <c r="H285" s="221"/>
      <c r="I285" s="222"/>
      <c r="J285" s="217"/>
      <c r="K285" s="220"/>
      <c r="L285" s="213"/>
      <c r="M285" s="143"/>
      <c r="N285" s="213"/>
      <c r="O285" s="212"/>
      <c r="P285" s="212"/>
      <c r="Q285" s="143"/>
      <c r="R285" s="213"/>
      <c r="S285" s="212"/>
      <c r="T285" s="145"/>
      <c r="AB285" s="214" t="str">
        <f>IFERROR(__xludf.DUMMYFUNCTION("FILTER('설정시트'!$D$7:$L$20,'설정시트'!$C$7:$C$20=I285)"),"#N/A")</f>
        <v>#N/A</v>
      </c>
      <c r="AC285" s="214"/>
      <c r="AD285" s="214"/>
      <c r="AE285" s="214"/>
      <c r="AF285" s="214"/>
      <c r="AG285" s="214"/>
      <c r="AH285" s="214"/>
      <c r="AI285" s="214"/>
    </row>
    <row r="286">
      <c r="H286" s="221"/>
      <c r="I286" s="222"/>
      <c r="J286" s="217"/>
      <c r="K286" s="220"/>
      <c r="L286" s="213"/>
      <c r="M286" s="143"/>
      <c r="N286" s="213"/>
      <c r="O286" s="212"/>
      <c r="P286" s="212"/>
      <c r="Q286" s="143"/>
      <c r="R286" s="213"/>
      <c r="S286" s="212"/>
      <c r="T286" s="145"/>
      <c r="AB286" s="214" t="str">
        <f>IFERROR(__xludf.DUMMYFUNCTION("FILTER('설정시트'!$D$7:$L$20,'설정시트'!$C$7:$C$20=I286)"),"#N/A")</f>
        <v>#N/A</v>
      </c>
      <c r="AC286" s="214"/>
      <c r="AD286" s="214"/>
      <c r="AE286" s="214"/>
      <c r="AF286" s="214"/>
      <c r="AG286" s="214"/>
      <c r="AH286" s="214"/>
      <c r="AI286" s="214"/>
    </row>
    <row r="287">
      <c r="H287" s="221"/>
      <c r="I287" s="222"/>
      <c r="J287" s="217"/>
      <c r="K287" s="220"/>
      <c r="L287" s="213"/>
      <c r="M287" s="143"/>
      <c r="N287" s="213"/>
      <c r="O287" s="212"/>
      <c r="P287" s="212"/>
      <c r="Q287" s="143"/>
      <c r="R287" s="213"/>
      <c r="S287" s="212"/>
      <c r="T287" s="145"/>
      <c r="AB287" s="214" t="str">
        <f>IFERROR(__xludf.DUMMYFUNCTION("FILTER('설정시트'!$D$7:$L$20,'설정시트'!$C$7:$C$20=I287)"),"#N/A")</f>
        <v>#N/A</v>
      </c>
      <c r="AC287" s="214"/>
      <c r="AD287" s="214"/>
      <c r="AE287" s="214"/>
      <c r="AF287" s="214"/>
      <c r="AG287" s="214"/>
      <c r="AH287" s="214"/>
      <c r="AI287" s="214"/>
    </row>
    <row r="288">
      <c r="H288" s="221"/>
      <c r="I288" s="222"/>
      <c r="J288" s="217"/>
      <c r="K288" s="220"/>
      <c r="L288" s="213"/>
      <c r="M288" s="143"/>
      <c r="N288" s="213"/>
      <c r="O288" s="212"/>
      <c r="P288" s="212"/>
      <c r="Q288" s="143"/>
      <c r="R288" s="213"/>
      <c r="S288" s="212"/>
      <c r="T288" s="145"/>
      <c r="AB288" s="214" t="str">
        <f>IFERROR(__xludf.DUMMYFUNCTION("FILTER('설정시트'!$D$7:$L$20,'설정시트'!$C$7:$C$20=I288)"),"#N/A")</f>
        <v>#N/A</v>
      </c>
      <c r="AC288" s="214"/>
      <c r="AD288" s="214"/>
      <c r="AE288" s="214"/>
      <c r="AF288" s="214"/>
      <c r="AG288" s="214"/>
      <c r="AH288" s="214"/>
      <c r="AI288" s="214"/>
    </row>
    <row r="289">
      <c r="H289" s="221"/>
      <c r="I289" s="222"/>
      <c r="J289" s="217"/>
      <c r="K289" s="220"/>
      <c r="L289" s="213"/>
      <c r="M289" s="143"/>
      <c r="N289" s="213"/>
      <c r="O289" s="212"/>
      <c r="P289" s="212"/>
      <c r="Q289" s="143"/>
      <c r="R289" s="213"/>
      <c r="S289" s="212"/>
      <c r="T289" s="145"/>
      <c r="AB289" s="214" t="str">
        <f>IFERROR(__xludf.DUMMYFUNCTION("FILTER('설정시트'!$D$7:$L$20,'설정시트'!$C$7:$C$20=I289)"),"#N/A")</f>
        <v>#N/A</v>
      </c>
      <c r="AC289" s="214"/>
      <c r="AD289" s="214"/>
      <c r="AE289" s="214"/>
      <c r="AF289" s="214"/>
      <c r="AG289" s="214"/>
      <c r="AH289" s="214"/>
      <c r="AI289" s="214"/>
    </row>
    <row r="290">
      <c r="H290" s="221"/>
      <c r="I290" s="222"/>
      <c r="J290" s="217"/>
      <c r="K290" s="220"/>
      <c r="L290" s="213"/>
      <c r="M290" s="143"/>
      <c r="N290" s="213"/>
      <c r="O290" s="212"/>
      <c r="P290" s="212"/>
      <c r="Q290" s="143"/>
      <c r="R290" s="213"/>
      <c r="S290" s="212"/>
      <c r="T290" s="145"/>
      <c r="AB290" s="214" t="str">
        <f>IFERROR(__xludf.DUMMYFUNCTION("FILTER('설정시트'!$D$7:$L$20,'설정시트'!$C$7:$C$20=I290)"),"#N/A")</f>
        <v>#N/A</v>
      </c>
      <c r="AC290" s="214"/>
      <c r="AD290" s="214"/>
      <c r="AE290" s="214"/>
      <c r="AF290" s="214"/>
      <c r="AG290" s="214"/>
      <c r="AH290" s="214"/>
      <c r="AI290" s="214"/>
    </row>
    <row r="291">
      <c r="H291" s="221"/>
      <c r="I291" s="222"/>
      <c r="J291" s="217"/>
      <c r="K291" s="220"/>
      <c r="L291" s="213"/>
      <c r="M291" s="143"/>
      <c r="N291" s="213"/>
      <c r="O291" s="212"/>
      <c r="P291" s="212"/>
      <c r="Q291" s="143"/>
      <c r="R291" s="213"/>
      <c r="S291" s="212"/>
      <c r="T291" s="145"/>
      <c r="AB291" s="214" t="str">
        <f>IFERROR(__xludf.DUMMYFUNCTION("FILTER('설정시트'!$D$7:$L$20,'설정시트'!$C$7:$C$20=I291)"),"#N/A")</f>
        <v>#N/A</v>
      </c>
      <c r="AC291" s="214"/>
      <c r="AD291" s="214"/>
      <c r="AE291" s="214"/>
      <c r="AF291" s="214"/>
      <c r="AG291" s="214"/>
      <c r="AH291" s="214"/>
      <c r="AI291" s="214"/>
    </row>
    <row r="292">
      <c r="H292" s="221"/>
      <c r="I292" s="222"/>
      <c r="J292" s="217"/>
      <c r="K292" s="220"/>
      <c r="L292" s="213"/>
      <c r="M292" s="143"/>
      <c r="N292" s="213"/>
      <c r="O292" s="212"/>
      <c r="P292" s="212"/>
      <c r="Q292" s="143"/>
      <c r="R292" s="213"/>
      <c r="S292" s="212"/>
      <c r="T292" s="145"/>
      <c r="AB292" s="214" t="str">
        <f>IFERROR(__xludf.DUMMYFUNCTION("FILTER('설정시트'!$D$7:$L$20,'설정시트'!$C$7:$C$20=I292)"),"#N/A")</f>
        <v>#N/A</v>
      </c>
      <c r="AC292" s="214"/>
      <c r="AD292" s="214"/>
      <c r="AE292" s="214"/>
      <c r="AF292" s="214"/>
      <c r="AG292" s="214"/>
      <c r="AH292" s="214"/>
      <c r="AI292" s="214"/>
    </row>
    <row r="293">
      <c r="H293" s="221"/>
      <c r="I293" s="222"/>
      <c r="J293" s="217"/>
      <c r="K293" s="220"/>
      <c r="L293" s="213"/>
      <c r="M293" s="143"/>
      <c r="N293" s="213"/>
      <c r="O293" s="212"/>
      <c r="P293" s="212"/>
      <c r="Q293" s="143"/>
      <c r="R293" s="213"/>
      <c r="S293" s="212"/>
      <c r="T293" s="145"/>
      <c r="AB293" s="214" t="str">
        <f>IFERROR(__xludf.DUMMYFUNCTION("FILTER('설정시트'!$D$7:$L$20,'설정시트'!$C$7:$C$20=I293)"),"#N/A")</f>
        <v>#N/A</v>
      </c>
      <c r="AC293" s="214"/>
      <c r="AD293" s="214"/>
      <c r="AE293" s="214"/>
      <c r="AF293" s="214"/>
      <c r="AG293" s="214"/>
      <c r="AH293" s="214"/>
      <c r="AI293" s="214"/>
    </row>
    <row r="294">
      <c r="H294" s="221"/>
      <c r="I294" s="222"/>
      <c r="J294" s="217"/>
      <c r="K294" s="220"/>
      <c r="L294" s="213"/>
      <c r="M294" s="143"/>
      <c r="N294" s="213"/>
      <c r="O294" s="212"/>
      <c r="P294" s="212"/>
      <c r="Q294" s="143"/>
      <c r="R294" s="213"/>
      <c r="S294" s="212"/>
      <c r="T294" s="145"/>
      <c r="AB294" s="214" t="str">
        <f>IFERROR(__xludf.DUMMYFUNCTION("FILTER('설정시트'!$D$7:$L$20,'설정시트'!$C$7:$C$20=I294)"),"#N/A")</f>
        <v>#N/A</v>
      </c>
      <c r="AC294" s="214"/>
      <c r="AD294" s="214"/>
      <c r="AE294" s="214"/>
      <c r="AF294" s="214"/>
      <c r="AG294" s="214"/>
      <c r="AH294" s="214"/>
      <c r="AI294" s="214"/>
    </row>
    <row r="295">
      <c r="H295" s="221"/>
      <c r="I295" s="222"/>
      <c r="J295" s="217"/>
      <c r="K295" s="220"/>
      <c r="L295" s="213"/>
      <c r="M295" s="143"/>
      <c r="N295" s="213"/>
      <c r="O295" s="212"/>
      <c r="P295" s="212"/>
      <c r="Q295" s="143"/>
      <c r="R295" s="213"/>
      <c r="S295" s="212"/>
      <c r="T295" s="145"/>
      <c r="AB295" s="214" t="str">
        <f>IFERROR(__xludf.DUMMYFUNCTION("FILTER('설정시트'!$D$7:$L$20,'설정시트'!$C$7:$C$20=I295)"),"#N/A")</f>
        <v>#N/A</v>
      </c>
      <c r="AC295" s="214"/>
      <c r="AD295" s="214"/>
      <c r="AE295" s="214"/>
      <c r="AF295" s="214"/>
      <c r="AG295" s="214"/>
      <c r="AH295" s="214"/>
      <c r="AI295" s="214"/>
    </row>
    <row r="296">
      <c r="H296" s="221"/>
      <c r="I296" s="222"/>
      <c r="J296" s="217"/>
      <c r="K296" s="220"/>
      <c r="L296" s="213"/>
      <c r="M296" s="143"/>
      <c r="N296" s="213"/>
      <c r="O296" s="212"/>
      <c r="P296" s="212"/>
      <c r="Q296" s="143"/>
      <c r="R296" s="213"/>
      <c r="S296" s="212"/>
      <c r="T296" s="145"/>
      <c r="AB296" s="214" t="str">
        <f>IFERROR(__xludf.DUMMYFUNCTION("FILTER('설정시트'!$D$7:$L$20,'설정시트'!$C$7:$C$20=I296)"),"#N/A")</f>
        <v>#N/A</v>
      </c>
      <c r="AC296" s="214"/>
      <c r="AD296" s="214"/>
      <c r="AE296" s="214"/>
      <c r="AF296" s="214"/>
      <c r="AG296" s="214"/>
      <c r="AH296" s="214"/>
      <c r="AI296" s="214"/>
    </row>
    <row r="297">
      <c r="H297" s="221"/>
      <c r="I297" s="222"/>
      <c r="J297" s="217"/>
      <c r="K297" s="220"/>
      <c r="L297" s="213"/>
      <c r="M297" s="143"/>
      <c r="N297" s="213"/>
      <c r="O297" s="212"/>
      <c r="P297" s="212"/>
      <c r="Q297" s="143"/>
      <c r="R297" s="213"/>
      <c r="S297" s="212"/>
      <c r="T297" s="145"/>
      <c r="AB297" s="214" t="str">
        <f>IFERROR(__xludf.DUMMYFUNCTION("FILTER('설정시트'!$D$7:$L$20,'설정시트'!$C$7:$C$20=I297)"),"#N/A")</f>
        <v>#N/A</v>
      </c>
      <c r="AC297" s="214"/>
      <c r="AD297" s="214"/>
      <c r="AE297" s="214"/>
      <c r="AF297" s="214"/>
      <c r="AG297" s="214"/>
      <c r="AH297" s="214"/>
      <c r="AI297" s="214"/>
    </row>
    <row r="298">
      <c r="H298" s="221"/>
      <c r="I298" s="222"/>
      <c r="J298" s="217"/>
      <c r="K298" s="220"/>
      <c r="L298" s="213"/>
      <c r="M298" s="143"/>
      <c r="N298" s="213"/>
      <c r="O298" s="212"/>
      <c r="P298" s="212"/>
      <c r="Q298" s="143"/>
      <c r="R298" s="213"/>
      <c r="S298" s="212"/>
      <c r="T298" s="145"/>
      <c r="AB298" s="214" t="str">
        <f>IFERROR(__xludf.DUMMYFUNCTION("FILTER('설정시트'!$D$7:$L$20,'설정시트'!$C$7:$C$20=I298)"),"#N/A")</f>
        <v>#N/A</v>
      </c>
      <c r="AC298" s="214"/>
      <c r="AD298" s="214"/>
      <c r="AE298" s="214"/>
      <c r="AF298" s="214"/>
      <c r="AG298" s="214"/>
      <c r="AH298" s="214"/>
      <c r="AI298" s="214"/>
    </row>
    <row r="299">
      <c r="H299" s="221"/>
      <c r="I299" s="222"/>
      <c r="J299" s="217"/>
      <c r="K299" s="220"/>
      <c r="L299" s="213"/>
      <c r="M299" s="143"/>
      <c r="N299" s="213"/>
      <c r="O299" s="212"/>
      <c r="P299" s="212"/>
      <c r="Q299" s="143"/>
      <c r="R299" s="213"/>
      <c r="S299" s="212"/>
      <c r="T299" s="145"/>
      <c r="AB299" s="214" t="str">
        <f>IFERROR(__xludf.DUMMYFUNCTION("FILTER('설정시트'!$D$7:$L$20,'설정시트'!$C$7:$C$20=I299)"),"#N/A")</f>
        <v>#N/A</v>
      </c>
      <c r="AC299" s="214"/>
      <c r="AD299" s="214"/>
      <c r="AE299" s="214"/>
      <c r="AF299" s="214"/>
      <c r="AG299" s="214"/>
      <c r="AH299" s="214"/>
      <c r="AI299" s="214"/>
    </row>
    <row r="300">
      <c r="H300" s="221"/>
      <c r="I300" s="222"/>
      <c r="J300" s="217"/>
      <c r="K300" s="220"/>
      <c r="L300" s="213"/>
      <c r="M300" s="143"/>
      <c r="N300" s="213"/>
      <c r="O300" s="212"/>
      <c r="P300" s="212"/>
      <c r="Q300" s="143"/>
      <c r="R300" s="213"/>
      <c r="S300" s="212"/>
      <c r="T300" s="145"/>
      <c r="AB300" s="214" t="str">
        <f>IFERROR(__xludf.DUMMYFUNCTION("FILTER('설정시트'!$D$7:$L$20,'설정시트'!$C$7:$C$20=I300)"),"#N/A")</f>
        <v>#N/A</v>
      </c>
      <c r="AC300" s="214"/>
      <c r="AD300" s="214"/>
      <c r="AE300" s="214"/>
      <c r="AF300" s="214"/>
      <c r="AG300" s="214"/>
      <c r="AH300" s="214"/>
      <c r="AI300" s="214"/>
    </row>
    <row r="301">
      <c r="H301" s="221"/>
      <c r="I301" s="222"/>
      <c r="J301" s="217"/>
      <c r="K301" s="220"/>
      <c r="L301" s="213"/>
      <c r="M301" s="143"/>
      <c r="N301" s="213"/>
      <c r="O301" s="212"/>
      <c r="P301" s="212"/>
      <c r="Q301" s="143"/>
      <c r="R301" s="213"/>
      <c r="S301" s="212"/>
      <c r="T301" s="145"/>
      <c r="AB301" s="214" t="str">
        <f>IFERROR(__xludf.DUMMYFUNCTION("FILTER('설정시트'!$D$7:$L$20,'설정시트'!$C$7:$C$20=I301)"),"#N/A")</f>
        <v>#N/A</v>
      </c>
      <c r="AC301" s="214"/>
      <c r="AD301" s="214"/>
      <c r="AE301" s="214"/>
      <c r="AF301" s="214"/>
      <c r="AG301" s="214"/>
      <c r="AH301" s="214"/>
      <c r="AI301" s="214"/>
    </row>
    <row r="302">
      <c r="H302" s="221"/>
      <c r="I302" s="222"/>
      <c r="J302" s="217"/>
      <c r="K302" s="220"/>
      <c r="L302" s="213"/>
      <c r="M302" s="143"/>
      <c r="N302" s="213"/>
      <c r="O302" s="212"/>
      <c r="P302" s="212"/>
      <c r="Q302" s="143"/>
      <c r="R302" s="213"/>
      <c r="S302" s="212"/>
      <c r="T302" s="145"/>
      <c r="AB302" s="214" t="str">
        <f>IFERROR(__xludf.DUMMYFUNCTION("FILTER('설정시트'!$D$7:$L$20,'설정시트'!$C$7:$C$20=I302)"),"#N/A")</f>
        <v>#N/A</v>
      </c>
      <c r="AC302" s="214"/>
      <c r="AD302" s="214"/>
      <c r="AE302" s="214"/>
      <c r="AF302" s="214"/>
      <c r="AG302" s="214"/>
      <c r="AH302" s="214"/>
      <c r="AI302" s="214"/>
    </row>
    <row r="303">
      <c r="H303" s="221"/>
      <c r="I303" s="222"/>
      <c r="J303" s="217"/>
      <c r="K303" s="220"/>
      <c r="L303" s="213"/>
      <c r="M303" s="143"/>
      <c r="N303" s="213"/>
      <c r="O303" s="212"/>
      <c r="P303" s="212"/>
      <c r="Q303" s="143"/>
      <c r="R303" s="213"/>
      <c r="S303" s="212"/>
      <c r="T303" s="145"/>
      <c r="AB303" s="214" t="str">
        <f>IFERROR(__xludf.DUMMYFUNCTION("FILTER('설정시트'!$D$7:$L$20,'설정시트'!$C$7:$C$20=I303)"),"#N/A")</f>
        <v>#N/A</v>
      </c>
      <c r="AC303" s="214"/>
      <c r="AD303" s="214"/>
      <c r="AE303" s="214"/>
      <c r="AF303" s="214"/>
      <c r="AG303" s="214"/>
      <c r="AH303" s="214"/>
      <c r="AI303" s="214"/>
    </row>
    <row r="304">
      <c r="H304" s="221"/>
      <c r="I304" s="222"/>
      <c r="J304" s="217"/>
      <c r="K304" s="220"/>
      <c r="L304" s="213"/>
      <c r="M304" s="143"/>
      <c r="N304" s="213"/>
      <c r="O304" s="212"/>
      <c r="P304" s="212"/>
      <c r="Q304" s="143"/>
      <c r="R304" s="213"/>
      <c r="S304" s="212"/>
      <c r="T304" s="145"/>
      <c r="AB304" s="214" t="str">
        <f>IFERROR(__xludf.DUMMYFUNCTION("FILTER('설정시트'!$D$7:$L$20,'설정시트'!$C$7:$C$20=I304)"),"#N/A")</f>
        <v>#N/A</v>
      </c>
      <c r="AC304" s="214"/>
      <c r="AD304" s="214"/>
      <c r="AE304" s="214"/>
      <c r="AF304" s="214"/>
      <c r="AG304" s="214"/>
      <c r="AH304" s="214"/>
      <c r="AI304" s="214"/>
    </row>
    <row r="305">
      <c r="H305" s="221"/>
      <c r="I305" s="222"/>
      <c r="J305" s="217"/>
      <c r="K305" s="220"/>
      <c r="L305" s="213"/>
      <c r="M305" s="143"/>
      <c r="N305" s="213"/>
      <c r="O305" s="212"/>
      <c r="P305" s="212"/>
      <c r="Q305" s="143"/>
      <c r="R305" s="213"/>
      <c r="S305" s="212"/>
      <c r="T305" s="145"/>
      <c r="AB305" s="214" t="str">
        <f>IFERROR(__xludf.DUMMYFUNCTION("FILTER('설정시트'!$D$7:$L$20,'설정시트'!$C$7:$C$20=I305)"),"#N/A")</f>
        <v>#N/A</v>
      </c>
      <c r="AC305" s="214"/>
      <c r="AD305" s="214"/>
      <c r="AE305" s="214"/>
      <c r="AF305" s="214"/>
      <c r="AG305" s="214"/>
      <c r="AH305" s="214"/>
      <c r="AI305" s="214"/>
    </row>
    <row r="306">
      <c r="H306" s="221"/>
      <c r="I306" s="222"/>
      <c r="J306" s="217"/>
      <c r="K306" s="220"/>
      <c r="L306" s="213"/>
      <c r="M306" s="143"/>
      <c r="N306" s="213"/>
      <c r="O306" s="212"/>
      <c r="P306" s="212"/>
      <c r="Q306" s="143"/>
      <c r="R306" s="213"/>
      <c r="S306" s="212"/>
      <c r="T306" s="145"/>
      <c r="AB306" s="214" t="str">
        <f>IFERROR(__xludf.DUMMYFUNCTION("FILTER('설정시트'!$D$7:$L$20,'설정시트'!$C$7:$C$20=I306)"),"#N/A")</f>
        <v>#N/A</v>
      </c>
      <c r="AC306" s="214"/>
      <c r="AD306" s="214"/>
      <c r="AE306" s="214"/>
      <c r="AF306" s="214"/>
      <c r="AG306" s="214"/>
      <c r="AH306" s="214"/>
      <c r="AI306" s="214"/>
    </row>
    <row r="307">
      <c r="H307" s="221"/>
      <c r="I307" s="222"/>
      <c r="J307" s="217"/>
      <c r="K307" s="220"/>
      <c r="L307" s="213"/>
      <c r="M307" s="143"/>
      <c r="N307" s="213"/>
      <c r="O307" s="212"/>
      <c r="P307" s="212"/>
      <c r="Q307" s="143"/>
      <c r="R307" s="213"/>
      <c r="S307" s="212"/>
      <c r="T307" s="145"/>
      <c r="AB307" s="214" t="str">
        <f>IFERROR(__xludf.DUMMYFUNCTION("FILTER('설정시트'!$D$7:$L$20,'설정시트'!$C$7:$C$20=I307)"),"#N/A")</f>
        <v>#N/A</v>
      </c>
      <c r="AC307" s="214"/>
      <c r="AD307" s="214"/>
      <c r="AE307" s="214"/>
      <c r="AF307" s="214"/>
      <c r="AG307" s="214"/>
      <c r="AH307" s="214"/>
      <c r="AI307" s="214"/>
    </row>
    <row r="308">
      <c r="H308" s="221"/>
      <c r="I308" s="222"/>
      <c r="J308" s="217"/>
      <c r="K308" s="220"/>
      <c r="L308" s="213"/>
      <c r="M308" s="143"/>
      <c r="N308" s="213"/>
      <c r="O308" s="212"/>
      <c r="P308" s="212"/>
      <c r="Q308" s="143"/>
      <c r="R308" s="213"/>
      <c r="S308" s="212"/>
      <c r="T308" s="145"/>
      <c r="AB308" s="214" t="str">
        <f>IFERROR(__xludf.DUMMYFUNCTION("FILTER('설정시트'!$D$7:$L$20,'설정시트'!$C$7:$C$20=I308)"),"#N/A")</f>
        <v>#N/A</v>
      </c>
      <c r="AC308" s="214"/>
      <c r="AD308" s="214"/>
      <c r="AE308" s="214"/>
      <c r="AF308" s="214"/>
      <c r="AG308" s="214"/>
      <c r="AH308" s="214"/>
      <c r="AI308" s="214"/>
    </row>
    <row r="309">
      <c r="H309" s="221"/>
      <c r="I309" s="222"/>
      <c r="J309" s="217"/>
      <c r="K309" s="220"/>
      <c r="L309" s="213"/>
      <c r="M309" s="143"/>
      <c r="N309" s="213"/>
      <c r="O309" s="212"/>
      <c r="P309" s="212"/>
      <c r="Q309" s="143"/>
      <c r="R309" s="213"/>
      <c r="S309" s="212"/>
      <c r="T309" s="145"/>
      <c r="AB309" s="214" t="str">
        <f>IFERROR(__xludf.DUMMYFUNCTION("FILTER('설정시트'!$D$7:$L$20,'설정시트'!$C$7:$C$20=I309)"),"#N/A")</f>
        <v>#N/A</v>
      </c>
      <c r="AC309" s="214"/>
      <c r="AD309" s="214"/>
      <c r="AE309" s="214"/>
      <c r="AF309" s="214"/>
      <c r="AG309" s="214"/>
      <c r="AH309" s="214"/>
      <c r="AI309" s="214"/>
    </row>
    <row r="310">
      <c r="H310" s="221"/>
      <c r="I310" s="222"/>
      <c r="J310" s="217"/>
      <c r="K310" s="220"/>
      <c r="L310" s="213"/>
      <c r="M310" s="143"/>
      <c r="N310" s="213"/>
      <c r="O310" s="212"/>
      <c r="P310" s="212"/>
      <c r="Q310" s="143"/>
      <c r="R310" s="213"/>
      <c r="S310" s="212"/>
      <c r="T310" s="145"/>
      <c r="AB310" s="214" t="str">
        <f>IFERROR(__xludf.DUMMYFUNCTION("FILTER('설정시트'!$D$7:$L$20,'설정시트'!$C$7:$C$20=I310)"),"#N/A")</f>
        <v>#N/A</v>
      </c>
      <c r="AC310" s="214"/>
      <c r="AD310" s="214"/>
      <c r="AE310" s="214"/>
      <c r="AF310" s="214"/>
      <c r="AG310" s="214"/>
      <c r="AH310" s="214"/>
      <c r="AI310" s="214"/>
    </row>
    <row r="311">
      <c r="H311" s="221"/>
      <c r="I311" s="222"/>
      <c r="J311" s="217"/>
      <c r="K311" s="220"/>
      <c r="L311" s="213"/>
      <c r="M311" s="143"/>
      <c r="N311" s="213"/>
      <c r="O311" s="212"/>
      <c r="P311" s="212"/>
      <c r="Q311" s="143"/>
      <c r="R311" s="213"/>
      <c r="S311" s="212"/>
      <c r="T311" s="145"/>
      <c r="AB311" s="214" t="str">
        <f>IFERROR(__xludf.DUMMYFUNCTION("FILTER('설정시트'!$D$7:$L$20,'설정시트'!$C$7:$C$20=I311)"),"#N/A")</f>
        <v>#N/A</v>
      </c>
      <c r="AC311" s="214"/>
      <c r="AD311" s="214"/>
      <c r="AE311" s="214"/>
      <c r="AF311" s="214"/>
      <c r="AG311" s="214"/>
      <c r="AH311" s="214"/>
      <c r="AI311" s="214"/>
    </row>
    <row r="312">
      <c r="H312" s="221"/>
      <c r="I312" s="222"/>
      <c r="J312" s="217"/>
      <c r="K312" s="220"/>
      <c r="L312" s="213"/>
      <c r="M312" s="143"/>
      <c r="N312" s="213"/>
      <c r="O312" s="212"/>
      <c r="P312" s="212"/>
      <c r="Q312" s="143"/>
      <c r="R312" s="213"/>
      <c r="S312" s="212"/>
      <c r="T312" s="145"/>
      <c r="AB312" s="214" t="str">
        <f>IFERROR(__xludf.DUMMYFUNCTION("FILTER('설정시트'!$D$7:$L$20,'설정시트'!$C$7:$C$20=I312)"),"#N/A")</f>
        <v>#N/A</v>
      </c>
      <c r="AC312" s="214"/>
      <c r="AD312" s="214"/>
      <c r="AE312" s="214"/>
      <c r="AF312" s="214"/>
      <c r="AG312" s="214"/>
      <c r="AH312" s="214"/>
      <c r="AI312" s="214"/>
    </row>
    <row r="313">
      <c r="H313" s="221"/>
      <c r="I313" s="222"/>
      <c r="J313" s="217"/>
      <c r="K313" s="220"/>
      <c r="L313" s="213"/>
      <c r="M313" s="143"/>
      <c r="N313" s="213"/>
      <c r="O313" s="212"/>
      <c r="P313" s="212"/>
      <c r="Q313" s="143"/>
      <c r="R313" s="213"/>
      <c r="S313" s="212"/>
      <c r="T313" s="145"/>
      <c r="AB313" s="214" t="str">
        <f>IFERROR(__xludf.DUMMYFUNCTION("FILTER('설정시트'!$D$7:$L$20,'설정시트'!$C$7:$C$20=I313)"),"#N/A")</f>
        <v>#N/A</v>
      </c>
      <c r="AC313" s="214"/>
      <c r="AD313" s="214"/>
      <c r="AE313" s="214"/>
      <c r="AF313" s="214"/>
      <c r="AG313" s="214"/>
      <c r="AH313" s="214"/>
      <c r="AI313" s="214"/>
    </row>
    <row r="314">
      <c r="H314" s="221"/>
      <c r="I314" s="222"/>
      <c r="J314" s="217"/>
      <c r="K314" s="220"/>
      <c r="L314" s="213"/>
      <c r="M314" s="143"/>
      <c r="N314" s="213"/>
      <c r="O314" s="212"/>
      <c r="P314" s="212"/>
      <c r="Q314" s="143"/>
      <c r="R314" s="213"/>
      <c r="S314" s="212"/>
      <c r="T314" s="145"/>
      <c r="AB314" s="214" t="str">
        <f>IFERROR(__xludf.DUMMYFUNCTION("FILTER('설정시트'!$D$7:$L$20,'설정시트'!$C$7:$C$20=I314)"),"#N/A")</f>
        <v>#N/A</v>
      </c>
      <c r="AC314" s="214"/>
      <c r="AD314" s="214"/>
      <c r="AE314" s="214"/>
      <c r="AF314" s="214"/>
      <c r="AG314" s="214"/>
      <c r="AH314" s="214"/>
      <c r="AI314" s="214"/>
    </row>
    <row r="315">
      <c r="H315" s="221"/>
      <c r="I315" s="222"/>
      <c r="J315" s="217"/>
      <c r="K315" s="220"/>
      <c r="L315" s="213"/>
      <c r="M315" s="143"/>
      <c r="N315" s="213"/>
      <c r="O315" s="212"/>
      <c r="P315" s="212"/>
      <c r="Q315" s="143"/>
      <c r="R315" s="213"/>
      <c r="S315" s="212"/>
      <c r="T315" s="145"/>
      <c r="AB315" s="214" t="str">
        <f>IFERROR(__xludf.DUMMYFUNCTION("FILTER('설정시트'!$D$7:$L$20,'설정시트'!$C$7:$C$20=I315)"),"#N/A")</f>
        <v>#N/A</v>
      </c>
      <c r="AC315" s="214"/>
      <c r="AD315" s="214"/>
      <c r="AE315" s="214"/>
      <c r="AF315" s="214"/>
      <c r="AG315" s="214"/>
      <c r="AH315" s="214"/>
      <c r="AI315" s="214"/>
    </row>
    <row r="316">
      <c r="H316" s="221"/>
      <c r="I316" s="222"/>
      <c r="J316" s="217"/>
      <c r="K316" s="220"/>
      <c r="L316" s="213"/>
      <c r="M316" s="143"/>
      <c r="N316" s="213"/>
      <c r="O316" s="212"/>
      <c r="P316" s="212"/>
      <c r="Q316" s="143"/>
      <c r="R316" s="213"/>
      <c r="S316" s="212"/>
      <c r="T316" s="145"/>
      <c r="AB316" s="214" t="str">
        <f>IFERROR(__xludf.DUMMYFUNCTION("FILTER('설정시트'!$D$7:$L$20,'설정시트'!$C$7:$C$20=I316)"),"#N/A")</f>
        <v>#N/A</v>
      </c>
      <c r="AC316" s="214"/>
      <c r="AD316" s="214"/>
      <c r="AE316" s="214"/>
      <c r="AF316" s="214"/>
      <c r="AG316" s="214"/>
      <c r="AH316" s="214"/>
      <c r="AI316" s="214"/>
    </row>
    <row r="317">
      <c r="H317" s="221"/>
      <c r="I317" s="222"/>
      <c r="J317" s="217"/>
      <c r="K317" s="220"/>
      <c r="L317" s="213"/>
      <c r="M317" s="143"/>
      <c r="N317" s="213"/>
      <c r="O317" s="212"/>
      <c r="P317" s="212"/>
      <c r="Q317" s="143"/>
      <c r="R317" s="213"/>
      <c r="S317" s="212"/>
      <c r="T317" s="145"/>
      <c r="AB317" s="214" t="str">
        <f>IFERROR(__xludf.DUMMYFUNCTION("FILTER('설정시트'!$D$7:$L$20,'설정시트'!$C$7:$C$20=I317)"),"#N/A")</f>
        <v>#N/A</v>
      </c>
      <c r="AC317" s="214"/>
      <c r="AD317" s="214"/>
      <c r="AE317" s="214"/>
      <c r="AF317" s="214"/>
      <c r="AG317" s="214"/>
      <c r="AH317" s="214"/>
      <c r="AI317" s="214"/>
    </row>
    <row r="318">
      <c r="H318" s="221"/>
      <c r="I318" s="222"/>
      <c r="J318" s="217"/>
      <c r="K318" s="220"/>
      <c r="L318" s="213"/>
      <c r="M318" s="143"/>
      <c r="N318" s="213"/>
      <c r="O318" s="212"/>
      <c r="P318" s="212"/>
      <c r="Q318" s="143"/>
      <c r="R318" s="213"/>
      <c r="S318" s="212"/>
      <c r="T318" s="145"/>
      <c r="AB318" s="214" t="str">
        <f>IFERROR(__xludf.DUMMYFUNCTION("FILTER('설정시트'!$D$7:$L$20,'설정시트'!$C$7:$C$20=I318)"),"#N/A")</f>
        <v>#N/A</v>
      </c>
      <c r="AC318" s="214"/>
      <c r="AD318" s="214"/>
      <c r="AE318" s="214"/>
      <c r="AF318" s="214"/>
      <c r="AG318" s="214"/>
      <c r="AH318" s="214"/>
      <c r="AI318" s="214"/>
    </row>
    <row r="319">
      <c r="H319" s="221"/>
      <c r="I319" s="222"/>
      <c r="J319" s="217"/>
      <c r="K319" s="220"/>
      <c r="L319" s="213"/>
      <c r="M319" s="143"/>
      <c r="N319" s="213"/>
      <c r="O319" s="212"/>
      <c r="P319" s="212"/>
      <c r="Q319" s="143"/>
      <c r="R319" s="213"/>
      <c r="S319" s="212"/>
      <c r="T319" s="145"/>
      <c r="AB319" s="214" t="str">
        <f>IFERROR(__xludf.DUMMYFUNCTION("FILTER('설정시트'!$D$7:$L$20,'설정시트'!$C$7:$C$20=I319)"),"#N/A")</f>
        <v>#N/A</v>
      </c>
      <c r="AC319" s="214"/>
      <c r="AD319" s="214"/>
      <c r="AE319" s="214"/>
      <c r="AF319" s="214"/>
      <c r="AG319" s="214"/>
      <c r="AH319" s="214"/>
      <c r="AI319" s="214"/>
    </row>
    <row r="320">
      <c r="H320" s="221"/>
      <c r="I320" s="222"/>
      <c r="J320" s="217"/>
      <c r="K320" s="220"/>
      <c r="L320" s="213"/>
      <c r="M320" s="143"/>
      <c r="N320" s="213"/>
      <c r="O320" s="212"/>
      <c r="P320" s="212"/>
      <c r="Q320" s="143"/>
      <c r="R320" s="213"/>
      <c r="S320" s="212"/>
      <c r="T320" s="145"/>
      <c r="AB320" s="214" t="str">
        <f>IFERROR(__xludf.DUMMYFUNCTION("FILTER('설정시트'!$D$7:$L$20,'설정시트'!$C$7:$C$20=I320)"),"#N/A")</f>
        <v>#N/A</v>
      </c>
      <c r="AC320" s="214"/>
      <c r="AD320" s="214"/>
      <c r="AE320" s="214"/>
      <c r="AF320" s="214"/>
      <c r="AG320" s="214"/>
      <c r="AH320" s="214"/>
      <c r="AI320" s="214"/>
    </row>
    <row r="321">
      <c r="H321" s="221"/>
      <c r="I321" s="222"/>
      <c r="J321" s="217"/>
      <c r="K321" s="220"/>
      <c r="L321" s="213"/>
      <c r="M321" s="143"/>
      <c r="N321" s="213"/>
      <c r="O321" s="212"/>
      <c r="P321" s="212"/>
      <c r="Q321" s="143"/>
      <c r="R321" s="213"/>
      <c r="S321" s="212"/>
      <c r="T321" s="145"/>
      <c r="AB321" s="214" t="str">
        <f>IFERROR(__xludf.DUMMYFUNCTION("FILTER('설정시트'!$D$7:$L$20,'설정시트'!$C$7:$C$20=I321)"),"#N/A")</f>
        <v>#N/A</v>
      </c>
      <c r="AC321" s="214"/>
      <c r="AD321" s="214"/>
      <c r="AE321" s="214"/>
      <c r="AF321" s="214"/>
      <c r="AG321" s="214"/>
      <c r="AH321" s="214"/>
      <c r="AI321" s="214"/>
    </row>
    <row r="322">
      <c r="H322" s="221"/>
      <c r="I322" s="222"/>
      <c r="J322" s="217"/>
      <c r="K322" s="220"/>
      <c r="L322" s="213"/>
      <c r="M322" s="143"/>
      <c r="N322" s="213"/>
      <c r="O322" s="212"/>
      <c r="P322" s="212"/>
      <c r="Q322" s="143"/>
      <c r="R322" s="213"/>
      <c r="S322" s="212"/>
      <c r="T322" s="145"/>
      <c r="AB322" s="214" t="str">
        <f>IFERROR(__xludf.DUMMYFUNCTION("FILTER('설정시트'!$D$7:$L$20,'설정시트'!$C$7:$C$20=I322)"),"#N/A")</f>
        <v>#N/A</v>
      </c>
      <c r="AC322" s="214"/>
      <c r="AD322" s="214"/>
      <c r="AE322" s="214"/>
      <c r="AF322" s="214"/>
      <c r="AG322" s="214"/>
      <c r="AH322" s="214"/>
      <c r="AI322" s="214"/>
    </row>
    <row r="323">
      <c r="H323" s="221"/>
      <c r="I323" s="222"/>
      <c r="J323" s="217"/>
      <c r="K323" s="220"/>
      <c r="L323" s="213"/>
      <c r="M323" s="143"/>
      <c r="N323" s="213"/>
      <c r="O323" s="212"/>
      <c r="P323" s="212"/>
      <c r="Q323" s="143"/>
      <c r="R323" s="213"/>
      <c r="S323" s="212"/>
      <c r="T323" s="145"/>
      <c r="AB323" s="214" t="str">
        <f>IFERROR(__xludf.DUMMYFUNCTION("FILTER('설정시트'!$D$7:$L$20,'설정시트'!$C$7:$C$20=I323)"),"#N/A")</f>
        <v>#N/A</v>
      </c>
      <c r="AC323" s="214"/>
      <c r="AD323" s="214"/>
      <c r="AE323" s="214"/>
      <c r="AF323" s="214"/>
      <c r="AG323" s="214"/>
      <c r="AH323" s="214"/>
      <c r="AI323" s="214"/>
    </row>
    <row r="324">
      <c r="H324" s="221"/>
      <c r="I324" s="222"/>
      <c r="J324" s="217"/>
      <c r="K324" s="220"/>
      <c r="L324" s="213"/>
      <c r="M324" s="143"/>
      <c r="N324" s="213"/>
      <c r="O324" s="212"/>
      <c r="P324" s="212"/>
      <c r="Q324" s="143"/>
      <c r="R324" s="213"/>
      <c r="S324" s="212"/>
      <c r="T324" s="145"/>
      <c r="AB324" s="214" t="str">
        <f>IFERROR(__xludf.DUMMYFUNCTION("FILTER('설정시트'!$D$7:$L$20,'설정시트'!$C$7:$C$20=I324)"),"#N/A")</f>
        <v>#N/A</v>
      </c>
      <c r="AC324" s="214"/>
      <c r="AD324" s="214"/>
      <c r="AE324" s="214"/>
      <c r="AF324" s="214"/>
      <c r="AG324" s="214"/>
      <c r="AH324" s="214"/>
      <c r="AI324" s="214"/>
    </row>
    <row r="325">
      <c r="H325" s="221"/>
      <c r="I325" s="222"/>
      <c r="J325" s="217"/>
      <c r="K325" s="220"/>
      <c r="L325" s="213"/>
      <c r="M325" s="143"/>
      <c r="N325" s="213"/>
      <c r="O325" s="212"/>
      <c r="P325" s="212"/>
      <c r="Q325" s="143"/>
      <c r="R325" s="213"/>
      <c r="S325" s="212"/>
      <c r="T325" s="145"/>
      <c r="AB325" s="214" t="str">
        <f>IFERROR(__xludf.DUMMYFUNCTION("FILTER('설정시트'!$D$7:$L$20,'설정시트'!$C$7:$C$20=I325)"),"#N/A")</f>
        <v>#N/A</v>
      </c>
      <c r="AC325" s="214"/>
      <c r="AD325" s="214"/>
      <c r="AE325" s="214"/>
      <c r="AF325" s="214"/>
      <c r="AG325" s="214"/>
      <c r="AH325" s="214"/>
      <c r="AI325" s="214"/>
    </row>
    <row r="326">
      <c r="H326" s="221"/>
      <c r="I326" s="222"/>
      <c r="J326" s="217"/>
      <c r="K326" s="220"/>
      <c r="L326" s="213"/>
      <c r="M326" s="143"/>
      <c r="N326" s="213"/>
      <c r="O326" s="212"/>
      <c r="P326" s="212"/>
      <c r="Q326" s="143"/>
      <c r="R326" s="213"/>
      <c r="S326" s="212"/>
      <c r="T326" s="145"/>
      <c r="AB326" s="214" t="str">
        <f>IFERROR(__xludf.DUMMYFUNCTION("FILTER('설정시트'!$D$7:$L$20,'설정시트'!$C$7:$C$20=I326)"),"#N/A")</f>
        <v>#N/A</v>
      </c>
      <c r="AC326" s="214"/>
      <c r="AD326" s="214"/>
      <c r="AE326" s="214"/>
      <c r="AF326" s="214"/>
      <c r="AG326" s="214"/>
      <c r="AH326" s="214"/>
      <c r="AI326" s="214"/>
    </row>
    <row r="327">
      <c r="H327" s="221"/>
      <c r="I327" s="222"/>
      <c r="J327" s="217"/>
      <c r="K327" s="220"/>
      <c r="L327" s="213"/>
      <c r="M327" s="143"/>
      <c r="N327" s="213"/>
      <c r="O327" s="212"/>
      <c r="P327" s="212"/>
      <c r="Q327" s="143"/>
      <c r="R327" s="213"/>
      <c r="S327" s="212"/>
      <c r="T327" s="145"/>
      <c r="AB327" s="214" t="str">
        <f>IFERROR(__xludf.DUMMYFUNCTION("FILTER('설정시트'!$D$7:$L$20,'설정시트'!$C$7:$C$20=I327)"),"#N/A")</f>
        <v>#N/A</v>
      </c>
      <c r="AC327" s="214"/>
      <c r="AD327" s="214"/>
      <c r="AE327" s="214"/>
      <c r="AF327" s="214"/>
      <c r="AG327" s="214"/>
      <c r="AH327" s="214"/>
      <c r="AI327" s="214"/>
    </row>
    <row r="328">
      <c r="H328" s="221"/>
      <c r="I328" s="222"/>
      <c r="J328" s="217"/>
      <c r="K328" s="220"/>
      <c r="L328" s="213"/>
      <c r="M328" s="143"/>
      <c r="N328" s="213"/>
      <c r="O328" s="212"/>
      <c r="P328" s="212"/>
      <c r="Q328" s="143"/>
      <c r="R328" s="213"/>
      <c r="S328" s="212"/>
      <c r="T328" s="145"/>
      <c r="AB328" s="214" t="str">
        <f>IFERROR(__xludf.DUMMYFUNCTION("FILTER('설정시트'!$D$7:$L$20,'설정시트'!$C$7:$C$20=I328)"),"#N/A")</f>
        <v>#N/A</v>
      </c>
      <c r="AC328" s="214"/>
      <c r="AD328" s="214"/>
      <c r="AE328" s="214"/>
      <c r="AF328" s="214"/>
      <c r="AG328" s="214"/>
      <c r="AH328" s="214"/>
      <c r="AI328" s="214"/>
    </row>
    <row r="329">
      <c r="H329" s="221"/>
      <c r="I329" s="222"/>
      <c r="J329" s="217"/>
      <c r="K329" s="220"/>
      <c r="L329" s="213"/>
      <c r="M329" s="143"/>
      <c r="N329" s="213"/>
      <c r="O329" s="212"/>
      <c r="P329" s="212"/>
      <c r="Q329" s="143"/>
      <c r="R329" s="213"/>
      <c r="S329" s="212"/>
      <c r="T329" s="145"/>
      <c r="AB329" s="214" t="str">
        <f>IFERROR(__xludf.DUMMYFUNCTION("FILTER('설정시트'!$D$7:$L$20,'설정시트'!$C$7:$C$20=I329)"),"#N/A")</f>
        <v>#N/A</v>
      </c>
      <c r="AC329" s="214"/>
      <c r="AD329" s="214"/>
      <c r="AE329" s="214"/>
      <c r="AF329" s="214"/>
      <c r="AG329" s="214"/>
      <c r="AH329" s="214"/>
      <c r="AI329" s="214"/>
    </row>
    <row r="330">
      <c r="H330" s="221"/>
      <c r="I330" s="222"/>
      <c r="J330" s="217"/>
      <c r="K330" s="220"/>
      <c r="L330" s="213"/>
      <c r="M330" s="143"/>
      <c r="N330" s="213"/>
      <c r="O330" s="212"/>
      <c r="P330" s="212"/>
      <c r="Q330" s="143"/>
      <c r="R330" s="213"/>
      <c r="S330" s="212"/>
      <c r="T330" s="145"/>
      <c r="AB330" s="214" t="str">
        <f>IFERROR(__xludf.DUMMYFUNCTION("FILTER('설정시트'!$D$7:$L$20,'설정시트'!$C$7:$C$20=I330)"),"#N/A")</f>
        <v>#N/A</v>
      </c>
      <c r="AC330" s="214"/>
      <c r="AD330" s="214"/>
      <c r="AE330" s="214"/>
      <c r="AF330" s="214"/>
      <c r="AG330" s="214"/>
      <c r="AH330" s="214"/>
      <c r="AI330" s="214"/>
    </row>
    <row r="331">
      <c r="H331" s="221"/>
      <c r="I331" s="222"/>
      <c r="J331" s="217"/>
      <c r="K331" s="220"/>
      <c r="L331" s="213"/>
      <c r="M331" s="143"/>
      <c r="N331" s="213"/>
      <c r="O331" s="212"/>
      <c r="P331" s="212"/>
      <c r="Q331" s="143"/>
      <c r="R331" s="213"/>
      <c r="S331" s="212"/>
      <c r="T331" s="145"/>
      <c r="AB331" s="214" t="str">
        <f>IFERROR(__xludf.DUMMYFUNCTION("FILTER('설정시트'!$D$7:$L$20,'설정시트'!$C$7:$C$20=I331)"),"#N/A")</f>
        <v>#N/A</v>
      </c>
      <c r="AC331" s="214"/>
      <c r="AD331" s="214"/>
      <c r="AE331" s="214"/>
      <c r="AF331" s="214"/>
      <c r="AG331" s="214"/>
      <c r="AH331" s="214"/>
      <c r="AI331" s="214"/>
    </row>
    <row r="332">
      <c r="H332" s="221"/>
      <c r="I332" s="222"/>
      <c r="J332" s="217"/>
      <c r="K332" s="220"/>
      <c r="L332" s="213"/>
      <c r="M332" s="143"/>
      <c r="N332" s="213"/>
      <c r="O332" s="212"/>
      <c r="P332" s="212"/>
      <c r="Q332" s="143"/>
      <c r="R332" s="213"/>
      <c r="S332" s="212"/>
      <c r="T332" s="145"/>
      <c r="AB332" s="214" t="str">
        <f>IFERROR(__xludf.DUMMYFUNCTION("FILTER('설정시트'!$D$7:$L$20,'설정시트'!$C$7:$C$20=I332)"),"#N/A")</f>
        <v>#N/A</v>
      </c>
      <c r="AC332" s="214"/>
      <c r="AD332" s="214"/>
      <c r="AE332" s="214"/>
      <c r="AF332" s="214"/>
      <c r="AG332" s="214"/>
      <c r="AH332" s="214"/>
      <c r="AI332" s="214"/>
    </row>
    <row r="333">
      <c r="H333" s="221"/>
      <c r="I333" s="222"/>
      <c r="J333" s="217"/>
      <c r="K333" s="220"/>
      <c r="L333" s="213"/>
      <c r="M333" s="143"/>
      <c r="N333" s="213"/>
      <c r="O333" s="212"/>
      <c r="P333" s="212"/>
      <c r="Q333" s="143"/>
      <c r="R333" s="213"/>
      <c r="S333" s="212"/>
      <c r="T333" s="145"/>
      <c r="AB333" s="214" t="str">
        <f>IFERROR(__xludf.DUMMYFUNCTION("FILTER('설정시트'!$D$7:$L$20,'설정시트'!$C$7:$C$20=I333)"),"#N/A")</f>
        <v>#N/A</v>
      </c>
      <c r="AC333" s="214"/>
      <c r="AD333" s="214"/>
      <c r="AE333" s="214"/>
      <c r="AF333" s="214"/>
      <c r="AG333" s="214"/>
      <c r="AH333" s="214"/>
      <c r="AI333" s="214"/>
    </row>
    <row r="334">
      <c r="H334" s="221"/>
      <c r="I334" s="222"/>
      <c r="J334" s="217"/>
      <c r="K334" s="220"/>
      <c r="L334" s="213"/>
      <c r="M334" s="143"/>
      <c r="N334" s="213"/>
      <c r="O334" s="212"/>
      <c r="P334" s="212"/>
      <c r="Q334" s="143"/>
      <c r="R334" s="213"/>
      <c r="S334" s="212"/>
      <c r="T334" s="145"/>
      <c r="AB334" s="214" t="str">
        <f>IFERROR(__xludf.DUMMYFUNCTION("FILTER('설정시트'!$D$7:$L$20,'설정시트'!$C$7:$C$20=I334)"),"#N/A")</f>
        <v>#N/A</v>
      </c>
      <c r="AC334" s="214"/>
      <c r="AD334" s="214"/>
      <c r="AE334" s="214"/>
      <c r="AF334" s="214"/>
      <c r="AG334" s="214"/>
      <c r="AH334" s="214"/>
      <c r="AI334" s="214"/>
    </row>
    <row r="335">
      <c r="H335" s="221"/>
      <c r="I335" s="222"/>
      <c r="J335" s="217"/>
      <c r="K335" s="220"/>
      <c r="L335" s="213"/>
      <c r="M335" s="143"/>
      <c r="N335" s="213"/>
      <c r="O335" s="212"/>
      <c r="P335" s="212"/>
      <c r="Q335" s="143"/>
      <c r="R335" s="213"/>
      <c r="S335" s="212"/>
      <c r="T335" s="145"/>
      <c r="AB335" s="214" t="str">
        <f>IFERROR(__xludf.DUMMYFUNCTION("FILTER('설정시트'!$D$7:$L$20,'설정시트'!$C$7:$C$20=I335)"),"#N/A")</f>
        <v>#N/A</v>
      </c>
      <c r="AC335" s="214"/>
      <c r="AD335" s="214"/>
      <c r="AE335" s="214"/>
      <c r="AF335" s="214"/>
      <c r="AG335" s="214"/>
      <c r="AH335" s="214"/>
      <c r="AI335" s="214"/>
    </row>
    <row r="336">
      <c r="H336" s="221"/>
      <c r="I336" s="222"/>
      <c r="J336" s="217"/>
      <c r="K336" s="220"/>
      <c r="L336" s="213"/>
      <c r="M336" s="143"/>
      <c r="N336" s="213"/>
      <c r="O336" s="212"/>
      <c r="P336" s="212"/>
      <c r="Q336" s="143"/>
      <c r="R336" s="213"/>
      <c r="S336" s="212"/>
      <c r="T336" s="145"/>
      <c r="AB336" s="214" t="str">
        <f>IFERROR(__xludf.DUMMYFUNCTION("FILTER('설정시트'!$D$7:$L$20,'설정시트'!$C$7:$C$20=I336)"),"#N/A")</f>
        <v>#N/A</v>
      </c>
      <c r="AC336" s="214"/>
      <c r="AD336" s="214"/>
      <c r="AE336" s="214"/>
      <c r="AF336" s="214"/>
      <c r="AG336" s="214"/>
      <c r="AH336" s="214"/>
      <c r="AI336" s="214"/>
    </row>
    <row r="337">
      <c r="H337" s="221"/>
      <c r="I337" s="222"/>
      <c r="J337" s="217"/>
      <c r="K337" s="220"/>
      <c r="L337" s="213"/>
      <c r="M337" s="143"/>
      <c r="N337" s="213"/>
      <c r="O337" s="212"/>
      <c r="P337" s="212"/>
      <c r="Q337" s="143"/>
      <c r="R337" s="213"/>
      <c r="S337" s="212"/>
      <c r="T337" s="145"/>
      <c r="AB337" s="214" t="str">
        <f>IFERROR(__xludf.DUMMYFUNCTION("FILTER('설정시트'!$D$7:$L$20,'설정시트'!$C$7:$C$20=I337)"),"#N/A")</f>
        <v>#N/A</v>
      </c>
      <c r="AC337" s="214"/>
      <c r="AD337" s="214"/>
      <c r="AE337" s="214"/>
      <c r="AF337" s="214"/>
      <c r="AG337" s="214"/>
      <c r="AH337" s="214"/>
      <c r="AI337" s="214"/>
    </row>
    <row r="338">
      <c r="H338" s="221"/>
      <c r="I338" s="222"/>
      <c r="J338" s="217"/>
      <c r="K338" s="220"/>
      <c r="L338" s="213"/>
      <c r="M338" s="143"/>
      <c r="N338" s="213"/>
      <c r="O338" s="212"/>
      <c r="P338" s="212"/>
      <c r="Q338" s="143"/>
      <c r="R338" s="213"/>
      <c r="S338" s="212"/>
      <c r="T338" s="145"/>
      <c r="AB338" s="214" t="str">
        <f>IFERROR(__xludf.DUMMYFUNCTION("FILTER('설정시트'!$D$7:$L$20,'설정시트'!$C$7:$C$20=I338)"),"#N/A")</f>
        <v>#N/A</v>
      </c>
      <c r="AC338" s="214"/>
      <c r="AD338" s="214"/>
      <c r="AE338" s="214"/>
      <c r="AF338" s="214"/>
      <c r="AG338" s="214"/>
      <c r="AH338" s="214"/>
      <c r="AI338" s="214"/>
    </row>
    <row r="339">
      <c r="H339" s="221"/>
      <c r="I339" s="222"/>
      <c r="J339" s="217"/>
      <c r="K339" s="220"/>
      <c r="L339" s="213"/>
      <c r="M339" s="143"/>
      <c r="N339" s="213"/>
      <c r="O339" s="212"/>
      <c r="P339" s="212"/>
      <c r="Q339" s="143"/>
      <c r="R339" s="213"/>
      <c r="S339" s="212"/>
      <c r="T339" s="145"/>
      <c r="AB339" s="214" t="str">
        <f>IFERROR(__xludf.DUMMYFUNCTION("FILTER('설정시트'!$D$7:$L$20,'설정시트'!$C$7:$C$20=I339)"),"#N/A")</f>
        <v>#N/A</v>
      </c>
      <c r="AC339" s="214"/>
      <c r="AD339" s="214"/>
      <c r="AE339" s="214"/>
      <c r="AF339" s="214"/>
      <c r="AG339" s="214"/>
      <c r="AH339" s="214"/>
      <c r="AI339" s="214"/>
    </row>
    <row r="340">
      <c r="H340" s="221"/>
      <c r="I340" s="222"/>
      <c r="J340" s="217"/>
      <c r="K340" s="220"/>
      <c r="L340" s="213"/>
      <c r="M340" s="143"/>
      <c r="N340" s="213"/>
      <c r="O340" s="212"/>
      <c r="P340" s="212"/>
      <c r="Q340" s="143"/>
      <c r="R340" s="213"/>
      <c r="S340" s="212"/>
      <c r="T340" s="145"/>
      <c r="AB340" s="214" t="str">
        <f>IFERROR(__xludf.DUMMYFUNCTION("FILTER('설정시트'!$D$7:$L$20,'설정시트'!$C$7:$C$20=I340)"),"#N/A")</f>
        <v>#N/A</v>
      </c>
      <c r="AC340" s="214"/>
      <c r="AD340" s="214"/>
      <c r="AE340" s="214"/>
      <c r="AF340" s="214"/>
      <c r="AG340" s="214"/>
      <c r="AH340" s="214"/>
      <c r="AI340" s="214"/>
    </row>
    <row r="341">
      <c r="H341" s="221"/>
      <c r="I341" s="222"/>
      <c r="J341" s="217"/>
      <c r="K341" s="220"/>
      <c r="L341" s="213"/>
      <c r="M341" s="143"/>
      <c r="N341" s="213"/>
      <c r="O341" s="212"/>
      <c r="P341" s="212"/>
      <c r="Q341" s="143"/>
      <c r="R341" s="213"/>
      <c r="S341" s="212"/>
      <c r="T341" s="145"/>
      <c r="AB341" s="214" t="str">
        <f>IFERROR(__xludf.DUMMYFUNCTION("FILTER('설정시트'!$D$7:$L$20,'설정시트'!$C$7:$C$20=I341)"),"#N/A")</f>
        <v>#N/A</v>
      </c>
      <c r="AC341" s="214"/>
      <c r="AD341" s="214"/>
      <c r="AE341" s="214"/>
      <c r="AF341" s="214"/>
      <c r="AG341" s="214"/>
      <c r="AH341" s="214"/>
      <c r="AI341" s="214"/>
    </row>
    <row r="342">
      <c r="H342" s="221"/>
      <c r="I342" s="222"/>
      <c r="J342" s="217"/>
      <c r="K342" s="220"/>
      <c r="L342" s="213"/>
      <c r="M342" s="143"/>
      <c r="N342" s="213"/>
      <c r="O342" s="212"/>
      <c r="P342" s="212"/>
      <c r="Q342" s="143"/>
      <c r="R342" s="213"/>
      <c r="S342" s="212"/>
      <c r="T342" s="145"/>
      <c r="AB342" s="214" t="str">
        <f>IFERROR(__xludf.DUMMYFUNCTION("FILTER('설정시트'!$D$7:$L$20,'설정시트'!$C$7:$C$20=I342)"),"#N/A")</f>
        <v>#N/A</v>
      </c>
      <c r="AC342" s="214"/>
      <c r="AD342" s="214"/>
      <c r="AE342" s="214"/>
      <c r="AF342" s="214"/>
      <c r="AG342" s="214"/>
      <c r="AH342" s="214"/>
      <c r="AI342" s="214"/>
    </row>
    <row r="343">
      <c r="H343" s="221"/>
      <c r="I343" s="222"/>
      <c r="J343" s="217"/>
      <c r="K343" s="220"/>
      <c r="L343" s="213"/>
      <c r="M343" s="143"/>
      <c r="N343" s="213"/>
      <c r="O343" s="212"/>
      <c r="P343" s="212"/>
      <c r="Q343" s="143"/>
      <c r="R343" s="213"/>
      <c r="S343" s="212"/>
      <c r="T343" s="145"/>
      <c r="AB343" s="214" t="str">
        <f>IFERROR(__xludf.DUMMYFUNCTION("FILTER('설정시트'!$D$7:$L$20,'설정시트'!$C$7:$C$20=I343)"),"#N/A")</f>
        <v>#N/A</v>
      </c>
      <c r="AC343" s="214"/>
      <c r="AD343" s="214"/>
      <c r="AE343" s="214"/>
      <c r="AF343" s="214"/>
      <c r="AG343" s="214"/>
      <c r="AH343" s="214"/>
      <c r="AI343" s="214"/>
    </row>
    <row r="344">
      <c r="H344" s="221"/>
      <c r="I344" s="222"/>
      <c r="J344" s="217"/>
      <c r="K344" s="220"/>
      <c r="L344" s="213"/>
      <c r="M344" s="143"/>
      <c r="N344" s="213"/>
      <c r="O344" s="212"/>
      <c r="P344" s="212"/>
      <c r="Q344" s="143"/>
      <c r="R344" s="213"/>
      <c r="S344" s="212"/>
      <c r="T344" s="145"/>
      <c r="AB344" s="214" t="str">
        <f>IFERROR(__xludf.DUMMYFUNCTION("FILTER('설정시트'!$D$7:$L$20,'설정시트'!$C$7:$C$20=I344)"),"#N/A")</f>
        <v>#N/A</v>
      </c>
      <c r="AC344" s="214"/>
      <c r="AD344" s="214"/>
      <c r="AE344" s="214"/>
      <c r="AF344" s="214"/>
      <c r="AG344" s="214"/>
      <c r="AH344" s="214"/>
      <c r="AI344" s="214"/>
    </row>
    <row r="345">
      <c r="H345" s="221"/>
      <c r="I345" s="222"/>
      <c r="J345" s="217"/>
      <c r="K345" s="220"/>
      <c r="L345" s="213"/>
      <c r="M345" s="143"/>
      <c r="N345" s="213"/>
      <c r="O345" s="212"/>
      <c r="P345" s="212"/>
      <c r="Q345" s="143"/>
      <c r="R345" s="213"/>
      <c r="S345" s="212"/>
      <c r="T345" s="145"/>
      <c r="AB345" s="214" t="str">
        <f>IFERROR(__xludf.DUMMYFUNCTION("FILTER('설정시트'!$D$7:$L$20,'설정시트'!$C$7:$C$20=I345)"),"#N/A")</f>
        <v>#N/A</v>
      </c>
      <c r="AC345" s="214"/>
      <c r="AD345" s="214"/>
      <c r="AE345" s="214"/>
      <c r="AF345" s="214"/>
      <c r="AG345" s="214"/>
      <c r="AH345" s="214"/>
      <c r="AI345" s="214"/>
    </row>
    <row r="346">
      <c r="H346" s="221"/>
      <c r="I346" s="222"/>
      <c r="J346" s="217"/>
      <c r="K346" s="220"/>
      <c r="L346" s="213"/>
      <c r="M346" s="143"/>
      <c r="N346" s="213"/>
      <c r="O346" s="212"/>
      <c r="P346" s="212"/>
      <c r="Q346" s="143"/>
      <c r="R346" s="213"/>
      <c r="S346" s="212"/>
      <c r="T346" s="145"/>
      <c r="AB346" s="214" t="str">
        <f>IFERROR(__xludf.DUMMYFUNCTION("FILTER('설정시트'!$D$7:$L$20,'설정시트'!$C$7:$C$20=I346)"),"#N/A")</f>
        <v>#N/A</v>
      </c>
      <c r="AC346" s="214"/>
      <c r="AD346" s="214"/>
      <c r="AE346" s="214"/>
      <c r="AF346" s="214"/>
      <c r="AG346" s="214"/>
      <c r="AH346" s="214"/>
      <c r="AI346" s="214"/>
    </row>
    <row r="347">
      <c r="H347" s="221"/>
      <c r="I347" s="222"/>
      <c r="J347" s="217"/>
      <c r="K347" s="220"/>
      <c r="L347" s="213"/>
      <c r="M347" s="143"/>
      <c r="N347" s="213"/>
      <c r="O347" s="212"/>
      <c r="P347" s="212"/>
      <c r="Q347" s="143"/>
      <c r="R347" s="213"/>
      <c r="S347" s="212"/>
      <c r="T347" s="145"/>
      <c r="AB347" s="214" t="str">
        <f>IFERROR(__xludf.DUMMYFUNCTION("FILTER('설정시트'!$D$7:$L$20,'설정시트'!$C$7:$C$20=I347)"),"#N/A")</f>
        <v>#N/A</v>
      </c>
      <c r="AC347" s="214"/>
      <c r="AD347" s="214"/>
      <c r="AE347" s="214"/>
      <c r="AF347" s="214"/>
      <c r="AG347" s="214"/>
      <c r="AH347" s="214"/>
      <c r="AI347" s="214"/>
    </row>
    <row r="348">
      <c r="H348" s="221"/>
      <c r="I348" s="222"/>
      <c r="J348" s="217"/>
      <c r="K348" s="220"/>
      <c r="L348" s="213"/>
      <c r="M348" s="143"/>
      <c r="N348" s="213"/>
      <c r="O348" s="212"/>
      <c r="P348" s="212"/>
      <c r="Q348" s="143"/>
      <c r="R348" s="213"/>
      <c r="S348" s="212"/>
      <c r="T348" s="145"/>
      <c r="AB348" s="214" t="str">
        <f>IFERROR(__xludf.DUMMYFUNCTION("FILTER('설정시트'!$D$7:$L$20,'설정시트'!$C$7:$C$20=I348)"),"#N/A")</f>
        <v>#N/A</v>
      </c>
      <c r="AC348" s="214"/>
      <c r="AD348" s="214"/>
      <c r="AE348" s="214"/>
      <c r="AF348" s="214"/>
      <c r="AG348" s="214"/>
      <c r="AH348" s="214"/>
      <c r="AI348" s="214"/>
    </row>
    <row r="349">
      <c r="H349" s="221"/>
      <c r="I349" s="222"/>
      <c r="J349" s="217"/>
      <c r="K349" s="220"/>
      <c r="L349" s="213"/>
      <c r="M349" s="143"/>
      <c r="N349" s="213"/>
      <c r="O349" s="212"/>
      <c r="P349" s="212"/>
      <c r="Q349" s="143"/>
      <c r="R349" s="213"/>
      <c r="S349" s="212"/>
      <c r="T349" s="145"/>
      <c r="AB349" s="214" t="str">
        <f>IFERROR(__xludf.DUMMYFUNCTION("FILTER('설정시트'!$D$7:$L$20,'설정시트'!$C$7:$C$20=I349)"),"#N/A")</f>
        <v>#N/A</v>
      </c>
      <c r="AC349" s="214"/>
      <c r="AD349" s="214"/>
      <c r="AE349" s="214"/>
      <c r="AF349" s="214"/>
      <c r="AG349" s="214"/>
      <c r="AH349" s="214"/>
      <c r="AI349" s="214"/>
    </row>
    <row r="350">
      <c r="H350" s="221"/>
      <c r="I350" s="222"/>
      <c r="J350" s="217"/>
      <c r="K350" s="220"/>
      <c r="L350" s="213"/>
      <c r="M350" s="143"/>
      <c r="N350" s="213"/>
      <c r="O350" s="212"/>
      <c r="P350" s="212"/>
      <c r="Q350" s="143"/>
      <c r="R350" s="213"/>
      <c r="S350" s="212"/>
      <c r="T350" s="145"/>
      <c r="AB350" s="214" t="str">
        <f>IFERROR(__xludf.DUMMYFUNCTION("FILTER('설정시트'!$D$7:$L$20,'설정시트'!$C$7:$C$20=I350)"),"#N/A")</f>
        <v>#N/A</v>
      </c>
      <c r="AC350" s="214"/>
      <c r="AD350" s="214"/>
      <c r="AE350" s="214"/>
      <c r="AF350" s="214"/>
      <c r="AG350" s="214"/>
      <c r="AH350" s="214"/>
      <c r="AI350" s="214"/>
    </row>
    <row r="351">
      <c r="H351" s="221"/>
      <c r="I351" s="222"/>
      <c r="J351" s="217"/>
      <c r="K351" s="220"/>
      <c r="L351" s="213"/>
      <c r="M351" s="143"/>
      <c r="N351" s="213"/>
      <c r="O351" s="212"/>
      <c r="P351" s="212"/>
      <c r="Q351" s="143"/>
      <c r="R351" s="213"/>
      <c r="S351" s="212"/>
      <c r="T351" s="145"/>
      <c r="AB351" s="214" t="str">
        <f>IFERROR(__xludf.DUMMYFUNCTION("FILTER('설정시트'!$D$7:$L$20,'설정시트'!$C$7:$C$20=I351)"),"#N/A")</f>
        <v>#N/A</v>
      </c>
      <c r="AC351" s="214"/>
      <c r="AD351" s="214"/>
      <c r="AE351" s="214"/>
      <c r="AF351" s="214"/>
      <c r="AG351" s="214"/>
      <c r="AH351" s="214"/>
      <c r="AI351" s="214"/>
    </row>
    <row r="352">
      <c r="H352" s="221"/>
      <c r="I352" s="222"/>
      <c r="J352" s="217"/>
      <c r="K352" s="220"/>
      <c r="L352" s="213"/>
      <c r="M352" s="143"/>
      <c r="N352" s="213"/>
      <c r="O352" s="212"/>
      <c r="P352" s="212"/>
      <c r="Q352" s="143"/>
      <c r="R352" s="213"/>
      <c r="S352" s="212"/>
      <c r="T352" s="145"/>
      <c r="AB352" s="214" t="str">
        <f>IFERROR(__xludf.DUMMYFUNCTION("FILTER('설정시트'!$D$7:$L$20,'설정시트'!$C$7:$C$20=I352)"),"#N/A")</f>
        <v>#N/A</v>
      </c>
      <c r="AC352" s="214"/>
      <c r="AD352" s="214"/>
      <c r="AE352" s="214"/>
      <c r="AF352" s="214"/>
      <c r="AG352" s="214"/>
      <c r="AH352" s="214"/>
      <c r="AI352" s="214"/>
    </row>
    <row r="353">
      <c r="H353" s="221"/>
      <c r="I353" s="222"/>
      <c r="J353" s="217"/>
      <c r="K353" s="220"/>
      <c r="L353" s="213"/>
      <c r="M353" s="143"/>
      <c r="N353" s="213"/>
      <c r="O353" s="212"/>
      <c r="P353" s="212"/>
      <c r="Q353" s="143"/>
      <c r="R353" s="213"/>
      <c r="S353" s="212"/>
      <c r="T353" s="145"/>
      <c r="AB353" s="214" t="str">
        <f>IFERROR(__xludf.DUMMYFUNCTION("FILTER('설정시트'!$D$7:$L$20,'설정시트'!$C$7:$C$20=I353)"),"#N/A")</f>
        <v>#N/A</v>
      </c>
      <c r="AC353" s="214"/>
      <c r="AD353" s="214"/>
      <c r="AE353" s="214"/>
      <c r="AF353" s="214"/>
      <c r="AG353" s="214"/>
      <c r="AH353" s="214"/>
      <c r="AI353" s="214"/>
    </row>
    <row r="354">
      <c r="H354" s="221"/>
      <c r="I354" s="222"/>
      <c r="J354" s="217"/>
      <c r="K354" s="220"/>
      <c r="L354" s="213"/>
      <c r="M354" s="143"/>
      <c r="N354" s="213"/>
      <c r="O354" s="212"/>
      <c r="P354" s="212"/>
      <c r="Q354" s="143"/>
      <c r="R354" s="213"/>
      <c r="S354" s="212"/>
      <c r="T354" s="145"/>
      <c r="AB354" s="214" t="str">
        <f>IFERROR(__xludf.DUMMYFUNCTION("FILTER('설정시트'!$D$7:$L$20,'설정시트'!$C$7:$C$20=I354)"),"#N/A")</f>
        <v>#N/A</v>
      </c>
      <c r="AC354" s="214"/>
      <c r="AD354" s="214"/>
      <c r="AE354" s="214"/>
      <c r="AF354" s="214"/>
      <c r="AG354" s="214"/>
      <c r="AH354" s="214"/>
      <c r="AI354" s="214"/>
    </row>
    <row r="355">
      <c r="H355" s="221"/>
      <c r="I355" s="222"/>
      <c r="J355" s="217"/>
      <c r="K355" s="220"/>
      <c r="L355" s="213"/>
      <c r="M355" s="143"/>
      <c r="N355" s="213"/>
      <c r="O355" s="212"/>
      <c r="P355" s="212"/>
      <c r="Q355" s="143"/>
      <c r="R355" s="213"/>
      <c r="S355" s="212"/>
      <c r="T355" s="145"/>
      <c r="AB355" s="214" t="str">
        <f>IFERROR(__xludf.DUMMYFUNCTION("FILTER('설정시트'!$D$7:$L$20,'설정시트'!$C$7:$C$20=I355)"),"#N/A")</f>
        <v>#N/A</v>
      </c>
      <c r="AC355" s="214"/>
      <c r="AD355" s="214"/>
      <c r="AE355" s="214"/>
      <c r="AF355" s="214"/>
      <c r="AG355" s="214"/>
      <c r="AH355" s="214"/>
      <c r="AI355" s="214"/>
    </row>
    <row r="356">
      <c r="H356" s="221"/>
      <c r="I356" s="222"/>
      <c r="J356" s="217"/>
      <c r="K356" s="220"/>
      <c r="L356" s="213"/>
      <c r="M356" s="143"/>
      <c r="N356" s="213"/>
      <c r="O356" s="212"/>
      <c r="P356" s="212"/>
      <c r="Q356" s="143"/>
      <c r="R356" s="213"/>
      <c r="S356" s="212"/>
      <c r="T356" s="145"/>
      <c r="AB356" s="214" t="str">
        <f>IFERROR(__xludf.DUMMYFUNCTION("FILTER('설정시트'!$D$7:$L$20,'설정시트'!$C$7:$C$20=I356)"),"#N/A")</f>
        <v>#N/A</v>
      </c>
      <c r="AC356" s="214"/>
      <c r="AD356" s="214"/>
      <c r="AE356" s="214"/>
      <c r="AF356" s="214"/>
      <c r="AG356" s="214"/>
      <c r="AH356" s="214"/>
      <c r="AI356" s="214"/>
    </row>
    <row r="357">
      <c r="H357" s="221"/>
      <c r="I357" s="222"/>
      <c r="J357" s="217"/>
      <c r="K357" s="220"/>
      <c r="L357" s="213"/>
      <c r="M357" s="143"/>
      <c r="N357" s="213"/>
      <c r="O357" s="212"/>
      <c r="P357" s="212"/>
      <c r="Q357" s="143"/>
      <c r="R357" s="213"/>
      <c r="S357" s="212"/>
      <c r="T357" s="145"/>
      <c r="AB357" s="214" t="str">
        <f>IFERROR(__xludf.DUMMYFUNCTION("FILTER('설정시트'!$D$7:$L$20,'설정시트'!$C$7:$C$20=I357)"),"#N/A")</f>
        <v>#N/A</v>
      </c>
      <c r="AC357" s="214"/>
      <c r="AD357" s="214"/>
      <c r="AE357" s="214"/>
      <c r="AF357" s="214"/>
      <c r="AG357" s="214"/>
      <c r="AH357" s="214"/>
      <c r="AI357" s="214"/>
    </row>
    <row r="358">
      <c r="H358" s="221"/>
      <c r="I358" s="222"/>
      <c r="J358" s="217"/>
      <c r="K358" s="220"/>
      <c r="L358" s="213"/>
      <c r="M358" s="143"/>
      <c r="N358" s="213"/>
      <c r="O358" s="212"/>
      <c r="P358" s="212"/>
      <c r="Q358" s="143"/>
      <c r="R358" s="213"/>
      <c r="S358" s="212"/>
      <c r="T358" s="145"/>
      <c r="AB358" s="214" t="str">
        <f>IFERROR(__xludf.DUMMYFUNCTION("FILTER('설정시트'!$D$7:$L$20,'설정시트'!$C$7:$C$20=I358)"),"#N/A")</f>
        <v>#N/A</v>
      </c>
      <c r="AC358" s="214"/>
      <c r="AD358" s="214"/>
      <c r="AE358" s="214"/>
      <c r="AF358" s="214"/>
      <c r="AG358" s="214"/>
      <c r="AH358" s="214"/>
      <c r="AI358" s="214"/>
    </row>
    <row r="359">
      <c r="H359" s="221"/>
      <c r="I359" s="222"/>
      <c r="J359" s="217"/>
      <c r="K359" s="220"/>
      <c r="L359" s="213"/>
      <c r="M359" s="143"/>
      <c r="N359" s="213"/>
      <c r="O359" s="212"/>
      <c r="P359" s="212"/>
      <c r="Q359" s="143"/>
      <c r="R359" s="213"/>
      <c r="S359" s="212"/>
      <c r="T359" s="145"/>
      <c r="AB359" s="214" t="str">
        <f>IFERROR(__xludf.DUMMYFUNCTION("FILTER('설정시트'!$D$7:$L$20,'설정시트'!$C$7:$C$20=I359)"),"#N/A")</f>
        <v>#N/A</v>
      </c>
      <c r="AC359" s="214"/>
      <c r="AD359" s="214"/>
      <c r="AE359" s="214"/>
      <c r="AF359" s="214"/>
      <c r="AG359" s="214"/>
      <c r="AH359" s="214"/>
      <c r="AI359" s="214"/>
    </row>
    <row r="360">
      <c r="H360" s="221"/>
      <c r="I360" s="222"/>
      <c r="J360" s="217"/>
      <c r="K360" s="220"/>
      <c r="L360" s="213"/>
      <c r="M360" s="143"/>
      <c r="N360" s="213"/>
      <c r="O360" s="212"/>
      <c r="P360" s="212"/>
      <c r="Q360" s="143"/>
      <c r="R360" s="213"/>
      <c r="S360" s="212"/>
      <c r="T360" s="145"/>
      <c r="AB360" s="214" t="str">
        <f>IFERROR(__xludf.DUMMYFUNCTION("FILTER('설정시트'!$D$7:$L$20,'설정시트'!$C$7:$C$20=I360)"),"#N/A")</f>
        <v>#N/A</v>
      </c>
      <c r="AC360" s="214"/>
      <c r="AD360" s="214"/>
      <c r="AE360" s="214"/>
      <c r="AF360" s="214"/>
      <c r="AG360" s="214"/>
      <c r="AH360" s="214"/>
      <c r="AI360" s="214"/>
    </row>
    <row r="361">
      <c r="H361" s="221"/>
      <c r="I361" s="222"/>
      <c r="J361" s="217"/>
      <c r="K361" s="220"/>
      <c r="L361" s="213"/>
      <c r="M361" s="143"/>
      <c r="N361" s="213"/>
      <c r="O361" s="212"/>
      <c r="P361" s="212"/>
      <c r="Q361" s="143"/>
      <c r="R361" s="213"/>
      <c r="S361" s="212"/>
      <c r="T361" s="145"/>
      <c r="AB361" s="214" t="str">
        <f>IFERROR(__xludf.DUMMYFUNCTION("FILTER('설정시트'!$D$7:$L$20,'설정시트'!$C$7:$C$20=I361)"),"#N/A")</f>
        <v>#N/A</v>
      </c>
      <c r="AC361" s="214"/>
      <c r="AD361" s="214"/>
      <c r="AE361" s="214"/>
      <c r="AF361" s="214"/>
      <c r="AG361" s="214"/>
      <c r="AH361" s="214"/>
      <c r="AI361" s="214"/>
    </row>
    <row r="362">
      <c r="H362" s="221"/>
      <c r="I362" s="222"/>
      <c r="J362" s="217"/>
      <c r="K362" s="220"/>
      <c r="L362" s="213"/>
      <c r="M362" s="143"/>
      <c r="N362" s="213"/>
      <c r="O362" s="212"/>
      <c r="P362" s="212"/>
      <c r="Q362" s="143"/>
      <c r="R362" s="213"/>
      <c r="S362" s="212"/>
      <c r="T362" s="145"/>
      <c r="AB362" s="214" t="str">
        <f>IFERROR(__xludf.DUMMYFUNCTION("FILTER('설정시트'!$D$7:$L$20,'설정시트'!$C$7:$C$20=I362)"),"#N/A")</f>
        <v>#N/A</v>
      </c>
      <c r="AC362" s="214"/>
      <c r="AD362" s="214"/>
      <c r="AE362" s="214"/>
      <c r="AF362" s="214"/>
      <c r="AG362" s="214"/>
      <c r="AH362" s="214"/>
      <c r="AI362" s="214"/>
    </row>
    <row r="363">
      <c r="H363" s="221"/>
      <c r="I363" s="222"/>
      <c r="J363" s="217"/>
      <c r="K363" s="220"/>
      <c r="L363" s="213"/>
      <c r="M363" s="143"/>
      <c r="N363" s="213"/>
      <c r="O363" s="212"/>
      <c r="P363" s="212"/>
      <c r="Q363" s="143"/>
      <c r="R363" s="213"/>
      <c r="S363" s="212"/>
      <c r="T363" s="145"/>
      <c r="AB363" s="214" t="str">
        <f>IFERROR(__xludf.DUMMYFUNCTION("FILTER('설정시트'!$D$7:$L$20,'설정시트'!$C$7:$C$20=I363)"),"#N/A")</f>
        <v>#N/A</v>
      </c>
      <c r="AC363" s="214"/>
      <c r="AD363" s="214"/>
      <c r="AE363" s="214"/>
      <c r="AF363" s="214"/>
      <c r="AG363" s="214"/>
      <c r="AH363" s="214"/>
      <c r="AI363" s="214"/>
    </row>
    <row r="364">
      <c r="H364" s="221"/>
      <c r="I364" s="222"/>
      <c r="J364" s="217"/>
      <c r="K364" s="220"/>
      <c r="L364" s="213"/>
      <c r="M364" s="143"/>
      <c r="N364" s="213"/>
      <c r="O364" s="212"/>
      <c r="P364" s="212"/>
      <c r="Q364" s="143"/>
      <c r="R364" s="213"/>
      <c r="S364" s="212"/>
      <c r="T364" s="145"/>
      <c r="AB364" s="214" t="str">
        <f>IFERROR(__xludf.DUMMYFUNCTION("FILTER('설정시트'!$D$7:$L$20,'설정시트'!$C$7:$C$20=I364)"),"#N/A")</f>
        <v>#N/A</v>
      </c>
      <c r="AC364" s="214"/>
      <c r="AD364" s="214"/>
      <c r="AE364" s="214"/>
      <c r="AF364" s="214"/>
      <c r="AG364" s="214"/>
      <c r="AH364" s="214"/>
      <c r="AI364" s="214"/>
    </row>
    <row r="365">
      <c r="H365" s="221"/>
      <c r="I365" s="222"/>
      <c r="J365" s="217"/>
      <c r="K365" s="220"/>
      <c r="L365" s="213"/>
      <c r="M365" s="143"/>
      <c r="N365" s="213"/>
      <c r="O365" s="212"/>
      <c r="P365" s="212"/>
      <c r="Q365" s="143"/>
      <c r="R365" s="213"/>
      <c r="S365" s="212"/>
      <c r="T365" s="145"/>
      <c r="AB365" s="214" t="str">
        <f>IFERROR(__xludf.DUMMYFUNCTION("FILTER('설정시트'!$D$7:$L$20,'설정시트'!$C$7:$C$20=I365)"),"#N/A")</f>
        <v>#N/A</v>
      </c>
      <c r="AC365" s="214"/>
      <c r="AD365" s="214"/>
      <c r="AE365" s="214"/>
      <c r="AF365" s="214"/>
      <c r="AG365" s="214"/>
      <c r="AH365" s="214"/>
      <c r="AI365" s="214"/>
    </row>
    <row r="366">
      <c r="H366" s="221"/>
      <c r="I366" s="222"/>
      <c r="J366" s="217"/>
      <c r="K366" s="220"/>
      <c r="L366" s="213"/>
      <c r="M366" s="143"/>
      <c r="N366" s="213"/>
      <c r="O366" s="212"/>
      <c r="P366" s="212"/>
      <c r="Q366" s="143"/>
      <c r="R366" s="213"/>
      <c r="S366" s="212"/>
      <c r="T366" s="145"/>
      <c r="AB366" s="214" t="str">
        <f>IFERROR(__xludf.DUMMYFUNCTION("FILTER('설정시트'!$D$7:$L$20,'설정시트'!$C$7:$C$20=I366)"),"#N/A")</f>
        <v>#N/A</v>
      </c>
      <c r="AC366" s="214"/>
      <c r="AD366" s="214"/>
      <c r="AE366" s="214"/>
      <c r="AF366" s="214"/>
      <c r="AG366" s="214"/>
      <c r="AH366" s="214"/>
      <c r="AI366" s="214"/>
    </row>
    <row r="367">
      <c r="H367" s="221"/>
      <c r="I367" s="222"/>
      <c r="J367" s="217"/>
      <c r="K367" s="220"/>
      <c r="L367" s="213"/>
      <c r="M367" s="143"/>
      <c r="N367" s="213"/>
      <c r="O367" s="212"/>
      <c r="P367" s="212"/>
      <c r="Q367" s="143"/>
      <c r="R367" s="213"/>
      <c r="S367" s="212"/>
      <c r="T367" s="145"/>
      <c r="AB367" s="214" t="str">
        <f>IFERROR(__xludf.DUMMYFUNCTION("FILTER('설정시트'!$D$7:$L$20,'설정시트'!$C$7:$C$20=I367)"),"#N/A")</f>
        <v>#N/A</v>
      </c>
      <c r="AC367" s="214"/>
      <c r="AD367" s="214"/>
      <c r="AE367" s="214"/>
      <c r="AF367" s="214"/>
      <c r="AG367" s="214"/>
      <c r="AH367" s="214"/>
      <c r="AI367" s="214"/>
    </row>
    <row r="368">
      <c r="H368" s="221"/>
      <c r="I368" s="222"/>
      <c r="J368" s="217"/>
      <c r="K368" s="220"/>
      <c r="L368" s="213"/>
      <c r="M368" s="143"/>
      <c r="N368" s="213"/>
      <c r="O368" s="212"/>
      <c r="P368" s="212"/>
      <c r="Q368" s="143"/>
      <c r="R368" s="213"/>
      <c r="S368" s="212"/>
      <c r="T368" s="145"/>
      <c r="AB368" s="214" t="str">
        <f>IFERROR(__xludf.DUMMYFUNCTION("FILTER('설정시트'!$D$7:$L$20,'설정시트'!$C$7:$C$20=I368)"),"#N/A")</f>
        <v>#N/A</v>
      </c>
      <c r="AC368" s="214"/>
      <c r="AD368" s="214"/>
      <c r="AE368" s="214"/>
      <c r="AF368" s="214"/>
      <c r="AG368" s="214"/>
      <c r="AH368" s="214"/>
      <c r="AI368" s="214"/>
    </row>
    <row r="369">
      <c r="H369" s="221"/>
      <c r="I369" s="222"/>
      <c r="J369" s="217"/>
      <c r="K369" s="220"/>
      <c r="L369" s="213"/>
      <c r="M369" s="143"/>
      <c r="N369" s="213"/>
      <c r="O369" s="212"/>
      <c r="P369" s="212"/>
      <c r="Q369" s="143"/>
      <c r="R369" s="213"/>
      <c r="S369" s="212"/>
      <c r="T369" s="145"/>
      <c r="AB369" s="214" t="str">
        <f>IFERROR(__xludf.DUMMYFUNCTION("FILTER('설정시트'!$D$7:$L$20,'설정시트'!$C$7:$C$20=I369)"),"#N/A")</f>
        <v>#N/A</v>
      </c>
      <c r="AC369" s="214"/>
      <c r="AD369" s="214"/>
      <c r="AE369" s="214"/>
      <c r="AF369" s="214"/>
      <c r="AG369" s="214"/>
      <c r="AH369" s="214"/>
      <c r="AI369" s="214"/>
    </row>
    <row r="370">
      <c r="H370" s="221"/>
      <c r="I370" s="222"/>
      <c r="J370" s="217"/>
      <c r="K370" s="220"/>
      <c r="L370" s="213"/>
      <c r="M370" s="143"/>
      <c r="N370" s="213"/>
      <c r="O370" s="212"/>
      <c r="P370" s="212"/>
      <c r="Q370" s="143"/>
      <c r="R370" s="213"/>
      <c r="S370" s="212"/>
      <c r="T370" s="145"/>
      <c r="AB370" s="214" t="str">
        <f>IFERROR(__xludf.DUMMYFUNCTION("FILTER('설정시트'!$D$7:$L$20,'설정시트'!$C$7:$C$20=I370)"),"#N/A")</f>
        <v>#N/A</v>
      </c>
      <c r="AC370" s="214"/>
      <c r="AD370" s="214"/>
      <c r="AE370" s="214"/>
      <c r="AF370" s="214"/>
      <c r="AG370" s="214"/>
      <c r="AH370" s="214"/>
      <c r="AI370" s="214"/>
    </row>
    <row r="371">
      <c r="H371" s="221"/>
      <c r="I371" s="222"/>
      <c r="J371" s="217"/>
      <c r="K371" s="220"/>
      <c r="L371" s="213"/>
      <c r="M371" s="143"/>
      <c r="N371" s="213"/>
      <c r="O371" s="212"/>
      <c r="P371" s="212"/>
      <c r="Q371" s="143"/>
      <c r="R371" s="213"/>
      <c r="S371" s="212"/>
      <c r="T371" s="145"/>
      <c r="AB371" s="214" t="str">
        <f>IFERROR(__xludf.DUMMYFUNCTION("FILTER('설정시트'!$D$7:$L$20,'설정시트'!$C$7:$C$20=I371)"),"#N/A")</f>
        <v>#N/A</v>
      </c>
      <c r="AC371" s="214"/>
      <c r="AD371" s="214"/>
      <c r="AE371" s="214"/>
      <c r="AF371" s="214"/>
      <c r="AG371" s="214"/>
      <c r="AH371" s="214"/>
      <c r="AI371" s="214"/>
    </row>
    <row r="372">
      <c r="H372" s="221"/>
      <c r="I372" s="222"/>
      <c r="J372" s="217"/>
      <c r="K372" s="220"/>
      <c r="L372" s="213"/>
      <c r="M372" s="143"/>
      <c r="N372" s="213"/>
      <c r="O372" s="212"/>
      <c r="P372" s="212"/>
      <c r="Q372" s="143"/>
      <c r="R372" s="213"/>
      <c r="S372" s="212"/>
      <c r="T372" s="145"/>
      <c r="AB372" s="214" t="str">
        <f>IFERROR(__xludf.DUMMYFUNCTION("FILTER('설정시트'!$D$7:$L$20,'설정시트'!$C$7:$C$20=I372)"),"#N/A")</f>
        <v>#N/A</v>
      </c>
      <c r="AC372" s="214"/>
      <c r="AD372" s="214"/>
      <c r="AE372" s="214"/>
      <c r="AF372" s="214"/>
      <c r="AG372" s="214"/>
      <c r="AH372" s="214"/>
      <c r="AI372" s="214"/>
    </row>
    <row r="373">
      <c r="H373" s="221"/>
      <c r="I373" s="222"/>
      <c r="J373" s="217"/>
      <c r="K373" s="220"/>
      <c r="L373" s="213"/>
      <c r="M373" s="143"/>
      <c r="N373" s="213"/>
      <c r="O373" s="212"/>
      <c r="P373" s="212"/>
      <c r="Q373" s="143"/>
      <c r="R373" s="213"/>
      <c r="S373" s="212"/>
      <c r="T373" s="145"/>
      <c r="AB373" s="214" t="str">
        <f>IFERROR(__xludf.DUMMYFUNCTION("FILTER('설정시트'!$D$7:$L$20,'설정시트'!$C$7:$C$20=I373)"),"#N/A")</f>
        <v>#N/A</v>
      </c>
      <c r="AC373" s="214"/>
      <c r="AD373" s="214"/>
      <c r="AE373" s="214"/>
      <c r="AF373" s="214"/>
      <c r="AG373" s="214"/>
      <c r="AH373" s="214"/>
      <c r="AI373" s="214"/>
    </row>
    <row r="374">
      <c r="H374" s="221"/>
      <c r="I374" s="222"/>
      <c r="J374" s="217"/>
      <c r="K374" s="220"/>
      <c r="L374" s="213"/>
      <c r="M374" s="143"/>
      <c r="N374" s="213"/>
      <c r="O374" s="212"/>
      <c r="P374" s="212"/>
      <c r="Q374" s="143"/>
      <c r="R374" s="213"/>
      <c r="S374" s="212"/>
      <c r="T374" s="145"/>
      <c r="AB374" s="214" t="str">
        <f>IFERROR(__xludf.DUMMYFUNCTION("FILTER('설정시트'!$D$7:$L$20,'설정시트'!$C$7:$C$20=I374)"),"#N/A")</f>
        <v>#N/A</v>
      </c>
      <c r="AC374" s="214"/>
      <c r="AD374" s="214"/>
      <c r="AE374" s="214"/>
      <c r="AF374" s="214"/>
      <c r="AG374" s="214"/>
      <c r="AH374" s="214"/>
      <c r="AI374" s="214"/>
    </row>
    <row r="375">
      <c r="H375" s="221"/>
      <c r="I375" s="222"/>
      <c r="J375" s="217"/>
      <c r="K375" s="220"/>
      <c r="L375" s="213"/>
      <c r="M375" s="143"/>
      <c r="N375" s="213"/>
      <c r="O375" s="212"/>
      <c r="P375" s="212"/>
      <c r="Q375" s="143"/>
      <c r="R375" s="213"/>
      <c r="S375" s="212"/>
      <c r="T375" s="145"/>
      <c r="AB375" s="214" t="str">
        <f>IFERROR(__xludf.DUMMYFUNCTION("FILTER('설정시트'!$D$7:$L$20,'설정시트'!$C$7:$C$20=I375)"),"#N/A")</f>
        <v>#N/A</v>
      </c>
      <c r="AC375" s="214"/>
      <c r="AD375" s="214"/>
      <c r="AE375" s="214"/>
      <c r="AF375" s="214"/>
      <c r="AG375" s="214"/>
      <c r="AH375" s="214"/>
      <c r="AI375" s="214"/>
    </row>
    <row r="376">
      <c r="H376" s="221"/>
      <c r="I376" s="222"/>
      <c r="J376" s="217"/>
      <c r="K376" s="220"/>
      <c r="L376" s="213"/>
      <c r="M376" s="143"/>
      <c r="N376" s="213"/>
      <c r="O376" s="212"/>
      <c r="P376" s="212"/>
      <c r="Q376" s="143"/>
      <c r="R376" s="213"/>
      <c r="S376" s="212"/>
      <c r="T376" s="145"/>
      <c r="AB376" s="214" t="str">
        <f>IFERROR(__xludf.DUMMYFUNCTION("FILTER('설정시트'!$D$7:$L$20,'설정시트'!$C$7:$C$20=I376)"),"#N/A")</f>
        <v>#N/A</v>
      </c>
      <c r="AC376" s="214"/>
      <c r="AD376" s="214"/>
      <c r="AE376" s="214"/>
      <c r="AF376" s="214"/>
      <c r="AG376" s="214"/>
      <c r="AH376" s="214"/>
      <c r="AI376" s="214"/>
    </row>
    <row r="377">
      <c r="H377" s="221"/>
      <c r="I377" s="222"/>
      <c r="J377" s="217"/>
      <c r="K377" s="220"/>
      <c r="L377" s="213"/>
      <c r="M377" s="143"/>
      <c r="N377" s="213"/>
      <c r="O377" s="212"/>
      <c r="P377" s="212"/>
      <c r="Q377" s="143"/>
      <c r="R377" s="213"/>
      <c r="S377" s="212"/>
      <c r="T377" s="145"/>
      <c r="AB377" s="214" t="str">
        <f>IFERROR(__xludf.DUMMYFUNCTION("FILTER('설정시트'!$D$7:$L$20,'설정시트'!$C$7:$C$20=I377)"),"#N/A")</f>
        <v>#N/A</v>
      </c>
      <c r="AC377" s="214"/>
      <c r="AD377" s="214"/>
      <c r="AE377" s="214"/>
      <c r="AF377" s="214"/>
      <c r="AG377" s="214"/>
      <c r="AH377" s="214"/>
      <c r="AI377" s="214"/>
    </row>
    <row r="378">
      <c r="H378" s="221"/>
      <c r="I378" s="222"/>
      <c r="J378" s="217"/>
      <c r="K378" s="220"/>
      <c r="L378" s="213"/>
      <c r="M378" s="143"/>
      <c r="N378" s="213"/>
      <c r="O378" s="212"/>
      <c r="P378" s="212"/>
      <c r="Q378" s="143"/>
      <c r="R378" s="213"/>
      <c r="S378" s="212"/>
      <c r="T378" s="145"/>
      <c r="AB378" s="214" t="str">
        <f>IFERROR(__xludf.DUMMYFUNCTION("FILTER('설정시트'!$D$7:$L$20,'설정시트'!$C$7:$C$20=I378)"),"#N/A")</f>
        <v>#N/A</v>
      </c>
      <c r="AC378" s="214"/>
      <c r="AD378" s="214"/>
      <c r="AE378" s="214"/>
      <c r="AF378" s="214"/>
      <c r="AG378" s="214"/>
      <c r="AH378" s="214"/>
      <c r="AI378" s="214"/>
    </row>
    <row r="379">
      <c r="H379" s="221"/>
      <c r="I379" s="222"/>
      <c r="J379" s="217"/>
      <c r="K379" s="220"/>
      <c r="L379" s="213"/>
      <c r="M379" s="143"/>
      <c r="N379" s="213"/>
      <c r="O379" s="212"/>
      <c r="P379" s="212"/>
      <c r="Q379" s="143"/>
      <c r="R379" s="213"/>
      <c r="S379" s="212"/>
      <c r="T379" s="145"/>
      <c r="AB379" s="214" t="str">
        <f>IFERROR(__xludf.DUMMYFUNCTION("FILTER('설정시트'!$D$7:$L$20,'설정시트'!$C$7:$C$20=I379)"),"#N/A")</f>
        <v>#N/A</v>
      </c>
      <c r="AC379" s="214"/>
      <c r="AD379" s="214"/>
      <c r="AE379" s="214"/>
      <c r="AF379" s="214"/>
      <c r="AG379" s="214"/>
      <c r="AH379" s="214"/>
      <c r="AI379" s="214"/>
    </row>
    <row r="380">
      <c r="H380" s="221"/>
      <c r="I380" s="222"/>
      <c r="J380" s="217"/>
      <c r="K380" s="220"/>
      <c r="L380" s="213"/>
      <c r="M380" s="143"/>
      <c r="N380" s="213"/>
      <c r="O380" s="212"/>
      <c r="P380" s="212"/>
      <c r="Q380" s="143"/>
      <c r="R380" s="213"/>
      <c r="S380" s="212"/>
      <c r="T380" s="145"/>
      <c r="AB380" s="214" t="str">
        <f>IFERROR(__xludf.DUMMYFUNCTION("FILTER('설정시트'!$D$7:$L$20,'설정시트'!$C$7:$C$20=I380)"),"#N/A")</f>
        <v>#N/A</v>
      </c>
      <c r="AC380" s="214"/>
      <c r="AD380" s="214"/>
      <c r="AE380" s="214"/>
      <c r="AF380" s="214"/>
      <c r="AG380" s="214"/>
      <c r="AH380" s="214"/>
      <c r="AI380" s="214"/>
    </row>
    <row r="381">
      <c r="H381" s="221"/>
      <c r="I381" s="222"/>
      <c r="J381" s="217"/>
      <c r="K381" s="220"/>
      <c r="L381" s="213"/>
      <c r="M381" s="143"/>
      <c r="N381" s="213"/>
      <c r="O381" s="212"/>
      <c r="P381" s="212"/>
      <c r="Q381" s="143"/>
      <c r="R381" s="213"/>
      <c r="S381" s="212"/>
      <c r="T381" s="145"/>
      <c r="AB381" s="214" t="str">
        <f>IFERROR(__xludf.DUMMYFUNCTION("FILTER('설정시트'!$D$7:$L$20,'설정시트'!$C$7:$C$20=I381)"),"#N/A")</f>
        <v>#N/A</v>
      </c>
      <c r="AC381" s="214"/>
      <c r="AD381" s="214"/>
      <c r="AE381" s="214"/>
      <c r="AF381" s="214"/>
      <c r="AG381" s="214"/>
      <c r="AH381" s="214"/>
      <c r="AI381" s="214"/>
    </row>
    <row r="382">
      <c r="H382" s="221"/>
      <c r="I382" s="222"/>
      <c r="J382" s="217"/>
      <c r="K382" s="220"/>
      <c r="L382" s="213"/>
      <c r="M382" s="143"/>
      <c r="N382" s="213"/>
      <c r="O382" s="212"/>
      <c r="P382" s="212"/>
      <c r="Q382" s="143"/>
      <c r="R382" s="213"/>
      <c r="S382" s="212"/>
      <c r="T382" s="145"/>
      <c r="AB382" s="214" t="str">
        <f>IFERROR(__xludf.DUMMYFUNCTION("FILTER('설정시트'!$D$7:$L$20,'설정시트'!$C$7:$C$20=I382)"),"#N/A")</f>
        <v>#N/A</v>
      </c>
      <c r="AC382" s="214"/>
      <c r="AD382" s="214"/>
      <c r="AE382" s="214"/>
      <c r="AF382" s="214"/>
      <c r="AG382" s="214"/>
      <c r="AH382" s="214"/>
      <c r="AI382" s="214"/>
    </row>
    <row r="383">
      <c r="H383" s="221"/>
      <c r="I383" s="222"/>
      <c r="J383" s="217"/>
      <c r="K383" s="220"/>
      <c r="L383" s="213"/>
      <c r="M383" s="143"/>
      <c r="N383" s="213"/>
      <c r="O383" s="212"/>
      <c r="P383" s="212"/>
      <c r="Q383" s="143"/>
      <c r="R383" s="213"/>
      <c r="S383" s="212"/>
      <c r="T383" s="145"/>
      <c r="AB383" s="214" t="str">
        <f>IFERROR(__xludf.DUMMYFUNCTION("FILTER('설정시트'!$D$7:$L$20,'설정시트'!$C$7:$C$20=I383)"),"#N/A")</f>
        <v>#N/A</v>
      </c>
      <c r="AC383" s="214"/>
      <c r="AD383" s="214"/>
      <c r="AE383" s="214"/>
      <c r="AF383" s="214"/>
      <c r="AG383" s="214"/>
      <c r="AH383" s="214"/>
      <c r="AI383" s="214"/>
    </row>
    <row r="384">
      <c r="H384" s="221"/>
      <c r="I384" s="222"/>
      <c r="J384" s="217"/>
      <c r="K384" s="220"/>
      <c r="L384" s="213"/>
      <c r="M384" s="143"/>
      <c r="N384" s="213"/>
      <c r="O384" s="212"/>
      <c r="P384" s="212"/>
      <c r="Q384" s="143"/>
      <c r="R384" s="213"/>
      <c r="S384" s="212"/>
      <c r="T384" s="145"/>
      <c r="AB384" s="214" t="str">
        <f>IFERROR(__xludf.DUMMYFUNCTION("FILTER('설정시트'!$D$7:$L$20,'설정시트'!$C$7:$C$20=I384)"),"#N/A")</f>
        <v>#N/A</v>
      </c>
      <c r="AC384" s="214"/>
      <c r="AD384" s="214"/>
      <c r="AE384" s="214"/>
      <c r="AF384" s="214"/>
      <c r="AG384" s="214"/>
      <c r="AH384" s="214"/>
      <c r="AI384" s="214"/>
    </row>
    <row r="385">
      <c r="H385" s="221"/>
      <c r="I385" s="222"/>
      <c r="J385" s="217"/>
      <c r="K385" s="220"/>
      <c r="L385" s="213"/>
      <c r="M385" s="143"/>
      <c r="N385" s="213"/>
      <c r="O385" s="212"/>
      <c r="P385" s="212"/>
      <c r="Q385" s="143"/>
      <c r="R385" s="213"/>
      <c r="S385" s="212"/>
      <c r="T385" s="145"/>
      <c r="AB385" s="214" t="str">
        <f>IFERROR(__xludf.DUMMYFUNCTION("FILTER('설정시트'!$D$7:$L$20,'설정시트'!$C$7:$C$20=I385)"),"#N/A")</f>
        <v>#N/A</v>
      </c>
      <c r="AC385" s="214"/>
      <c r="AD385" s="214"/>
      <c r="AE385" s="214"/>
      <c r="AF385" s="214"/>
      <c r="AG385" s="214"/>
      <c r="AH385" s="214"/>
      <c r="AI385" s="214"/>
    </row>
    <row r="386">
      <c r="H386" s="221"/>
      <c r="I386" s="222"/>
      <c r="J386" s="217"/>
      <c r="K386" s="220"/>
      <c r="L386" s="213"/>
      <c r="M386" s="143"/>
      <c r="N386" s="213"/>
      <c r="O386" s="212"/>
      <c r="P386" s="212"/>
      <c r="Q386" s="143"/>
      <c r="R386" s="213"/>
      <c r="S386" s="212"/>
      <c r="T386" s="145"/>
      <c r="AB386" s="214" t="str">
        <f>IFERROR(__xludf.DUMMYFUNCTION("FILTER('설정시트'!$D$7:$L$20,'설정시트'!$C$7:$C$20=I386)"),"#N/A")</f>
        <v>#N/A</v>
      </c>
      <c r="AC386" s="214"/>
      <c r="AD386" s="214"/>
      <c r="AE386" s="214"/>
      <c r="AF386" s="214"/>
      <c r="AG386" s="214"/>
      <c r="AH386" s="214"/>
      <c r="AI386" s="214"/>
    </row>
    <row r="387">
      <c r="H387" s="221"/>
      <c r="I387" s="222"/>
      <c r="J387" s="217"/>
      <c r="K387" s="220"/>
      <c r="L387" s="213"/>
      <c r="M387" s="143"/>
      <c r="N387" s="213"/>
      <c r="O387" s="212"/>
      <c r="P387" s="212"/>
      <c r="Q387" s="143"/>
      <c r="R387" s="213"/>
      <c r="S387" s="212"/>
      <c r="T387" s="145"/>
      <c r="AB387" s="214" t="str">
        <f>IFERROR(__xludf.DUMMYFUNCTION("FILTER('설정시트'!$D$7:$L$20,'설정시트'!$C$7:$C$20=I387)"),"#N/A")</f>
        <v>#N/A</v>
      </c>
      <c r="AC387" s="214"/>
      <c r="AD387" s="214"/>
      <c r="AE387" s="214"/>
      <c r="AF387" s="214"/>
      <c r="AG387" s="214"/>
      <c r="AH387" s="214"/>
      <c r="AI387" s="214"/>
    </row>
    <row r="388">
      <c r="H388" s="221"/>
      <c r="I388" s="222"/>
      <c r="J388" s="217"/>
      <c r="K388" s="220"/>
      <c r="L388" s="213"/>
      <c r="M388" s="143"/>
      <c r="N388" s="213"/>
      <c r="O388" s="212"/>
      <c r="P388" s="212"/>
      <c r="Q388" s="143"/>
      <c r="R388" s="213"/>
      <c r="S388" s="212"/>
      <c r="T388" s="145"/>
      <c r="AB388" s="214" t="str">
        <f>IFERROR(__xludf.DUMMYFUNCTION("FILTER('설정시트'!$D$7:$L$20,'설정시트'!$C$7:$C$20=I388)"),"#N/A")</f>
        <v>#N/A</v>
      </c>
      <c r="AC388" s="214"/>
      <c r="AD388" s="214"/>
      <c r="AE388" s="214"/>
      <c r="AF388" s="214"/>
      <c r="AG388" s="214"/>
      <c r="AH388" s="214"/>
      <c r="AI388" s="214"/>
    </row>
    <row r="389">
      <c r="H389" s="221"/>
      <c r="I389" s="222"/>
      <c r="J389" s="217"/>
      <c r="K389" s="220"/>
      <c r="L389" s="213"/>
      <c r="M389" s="143"/>
      <c r="N389" s="213"/>
      <c r="O389" s="212"/>
      <c r="P389" s="212"/>
      <c r="Q389" s="143"/>
      <c r="R389" s="213"/>
      <c r="S389" s="212"/>
      <c r="T389" s="145"/>
      <c r="AB389" s="214" t="str">
        <f>IFERROR(__xludf.DUMMYFUNCTION("FILTER('설정시트'!$D$7:$L$20,'설정시트'!$C$7:$C$20=I389)"),"#N/A")</f>
        <v>#N/A</v>
      </c>
      <c r="AC389" s="214"/>
      <c r="AD389" s="214"/>
      <c r="AE389" s="214"/>
      <c r="AF389" s="214"/>
      <c r="AG389" s="214"/>
      <c r="AH389" s="214"/>
      <c r="AI389" s="214"/>
    </row>
    <row r="390">
      <c r="H390" s="221"/>
      <c r="I390" s="222"/>
      <c r="J390" s="217"/>
      <c r="K390" s="220"/>
      <c r="L390" s="213"/>
      <c r="M390" s="143"/>
      <c r="N390" s="213"/>
      <c r="O390" s="212"/>
      <c r="P390" s="212"/>
      <c r="Q390" s="143"/>
      <c r="R390" s="213"/>
      <c r="S390" s="212"/>
      <c r="T390" s="145"/>
      <c r="AB390" s="214" t="str">
        <f>IFERROR(__xludf.DUMMYFUNCTION("FILTER('설정시트'!$D$7:$L$20,'설정시트'!$C$7:$C$20=I390)"),"#N/A")</f>
        <v>#N/A</v>
      </c>
      <c r="AC390" s="214"/>
      <c r="AD390" s="214"/>
      <c r="AE390" s="214"/>
      <c r="AF390" s="214"/>
      <c r="AG390" s="214"/>
      <c r="AH390" s="214"/>
      <c r="AI390" s="214"/>
    </row>
    <row r="391">
      <c r="H391" s="221"/>
      <c r="I391" s="222"/>
      <c r="J391" s="217"/>
      <c r="K391" s="220"/>
      <c r="L391" s="213"/>
      <c r="M391" s="143"/>
      <c r="N391" s="213"/>
      <c r="O391" s="212"/>
      <c r="P391" s="212"/>
      <c r="Q391" s="143"/>
      <c r="R391" s="213"/>
      <c r="S391" s="212"/>
      <c r="T391" s="145"/>
      <c r="AB391" s="214" t="str">
        <f>IFERROR(__xludf.DUMMYFUNCTION("FILTER('설정시트'!$D$7:$L$20,'설정시트'!$C$7:$C$20=I391)"),"#N/A")</f>
        <v>#N/A</v>
      </c>
      <c r="AC391" s="214"/>
      <c r="AD391" s="214"/>
      <c r="AE391" s="214"/>
      <c r="AF391" s="214"/>
      <c r="AG391" s="214"/>
      <c r="AH391" s="214"/>
      <c r="AI391" s="214"/>
    </row>
    <row r="392">
      <c r="H392" s="221"/>
      <c r="I392" s="222"/>
      <c r="J392" s="217"/>
      <c r="K392" s="220"/>
      <c r="L392" s="213"/>
      <c r="M392" s="143"/>
      <c r="N392" s="213"/>
      <c r="O392" s="212"/>
      <c r="P392" s="212"/>
      <c r="Q392" s="143"/>
      <c r="R392" s="213"/>
      <c r="S392" s="212"/>
      <c r="T392" s="145"/>
      <c r="AB392" s="214" t="str">
        <f>IFERROR(__xludf.DUMMYFUNCTION("FILTER('설정시트'!$D$7:$L$20,'설정시트'!$C$7:$C$20=I392)"),"#N/A")</f>
        <v>#N/A</v>
      </c>
      <c r="AC392" s="214"/>
      <c r="AD392" s="214"/>
      <c r="AE392" s="214"/>
      <c r="AF392" s="214"/>
      <c r="AG392" s="214"/>
      <c r="AH392" s="214"/>
      <c r="AI392" s="214"/>
    </row>
    <row r="393">
      <c r="H393" s="221"/>
      <c r="I393" s="222"/>
      <c r="J393" s="217"/>
      <c r="K393" s="220"/>
      <c r="L393" s="213"/>
      <c r="M393" s="143"/>
      <c r="N393" s="213"/>
      <c r="O393" s="212"/>
      <c r="P393" s="212"/>
      <c r="Q393" s="143"/>
      <c r="R393" s="213"/>
      <c r="S393" s="212"/>
      <c r="T393" s="145"/>
      <c r="AB393" s="214" t="str">
        <f>IFERROR(__xludf.DUMMYFUNCTION("FILTER('설정시트'!$D$7:$L$20,'설정시트'!$C$7:$C$20=I393)"),"#N/A")</f>
        <v>#N/A</v>
      </c>
      <c r="AC393" s="214"/>
      <c r="AD393" s="214"/>
      <c r="AE393" s="214"/>
      <c r="AF393" s="214"/>
      <c r="AG393" s="214"/>
      <c r="AH393" s="214"/>
      <c r="AI393" s="214"/>
    </row>
    <row r="394">
      <c r="H394" s="221"/>
      <c r="I394" s="222"/>
      <c r="J394" s="217"/>
      <c r="K394" s="220"/>
      <c r="L394" s="213"/>
      <c r="M394" s="143"/>
      <c r="N394" s="213"/>
      <c r="O394" s="212"/>
      <c r="P394" s="212"/>
      <c r="Q394" s="143"/>
      <c r="R394" s="213"/>
      <c r="S394" s="212"/>
      <c r="T394" s="145"/>
      <c r="AB394" s="214" t="str">
        <f>IFERROR(__xludf.DUMMYFUNCTION("FILTER('설정시트'!$D$7:$L$20,'설정시트'!$C$7:$C$20=I394)"),"#N/A")</f>
        <v>#N/A</v>
      </c>
      <c r="AC394" s="214"/>
      <c r="AD394" s="214"/>
      <c r="AE394" s="214"/>
      <c r="AF394" s="214"/>
      <c r="AG394" s="214"/>
      <c r="AH394" s="214"/>
      <c r="AI394" s="214"/>
    </row>
    <row r="395">
      <c r="H395" s="221"/>
      <c r="I395" s="222"/>
      <c r="J395" s="217"/>
      <c r="K395" s="220"/>
      <c r="L395" s="213"/>
      <c r="M395" s="143"/>
      <c r="N395" s="213"/>
      <c r="O395" s="212"/>
      <c r="P395" s="212"/>
      <c r="Q395" s="143"/>
      <c r="R395" s="213"/>
      <c r="S395" s="212"/>
      <c r="T395" s="145"/>
      <c r="AB395" s="214" t="str">
        <f>IFERROR(__xludf.DUMMYFUNCTION("FILTER('설정시트'!$D$7:$L$20,'설정시트'!$C$7:$C$20=I395)"),"#N/A")</f>
        <v>#N/A</v>
      </c>
      <c r="AC395" s="214"/>
      <c r="AD395" s="214"/>
      <c r="AE395" s="214"/>
      <c r="AF395" s="214"/>
      <c r="AG395" s="214"/>
      <c r="AH395" s="214"/>
      <c r="AI395" s="214"/>
    </row>
    <row r="396">
      <c r="H396" s="221"/>
      <c r="I396" s="222"/>
      <c r="J396" s="217"/>
      <c r="K396" s="220"/>
      <c r="L396" s="213"/>
      <c r="M396" s="143"/>
      <c r="N396" s="213"/>
      <c r="O396" s="212"/>
      <c r="P396" s="212"/>
      <c r="Q396" s="143"/>
      <c r="R396" s="213"/>
      <c r="S396" s="212"/>
      <c r="T396" s="145"/>
      <c r="AB396" s="214" t="str">
        <f>IFERROR(__xludf.DUMMYFUNCTION("FILTER('설정시트'!$D$7:$L$20,'설정시트'!$C$7:$C$20=I396)"),"#N/A")</f>
        <v>#N/A</v>
      </c>
      <c r="AC396" s="214"/>
      <c r="AD396" s="214"/>
      <c r="AE396" s="214"/>
      <c r="AF396" s="214"/>
      <c r="AG396" s="214"/>
      <c r="AH396" s="214"/>
      <c r="AI396" s="214"/>
    </row>
    <row r="397">
      <c r="H397" s="221"/>
      <c r="I397" s="222"/>
      <c r="J397" s="217"/>
      <c r="K397" s="220"/>
      <c r="L397" s="213"/>
      <c r="M397" s="143"/>
      <c r="N397" s="213"/>
      <c r="O397" s="212"/>
      <c r="P397" s="212"/>
      <c r="Q397" s="143"/>
      <c r="R397" s="213"/>
      <c r="S397" s="212"/>
      <c r="T397" s="145"/>
      <c r="AB397" s="214" t="str">
        <f>IFERROR(__xludf.DUMMYFUNCTION("FILTER('설정시트'!$D$7:$L$20,'설정시트'!$C$7:$C$20=I397)"),"#N/A")</f>
        <v>#N/A</v>
      </c>
      <c r="AC397" s="214"/>
      <c r="AD397" s="214"/>
      <c r="AE397" s="214"/>
      <c r="AF397" s="214"/>
      <c r="AG397" s="214"/>
      <c r="AH397" s="214"/>
      <c r="AI397" s="214"/>
    </row>
    <row r="398">
      <c r="H398" s="221"/>
      <c r="I398" s="222"/>
      <c r="J398" s="217"/>
      <c r="K398" s="220"/>
      <c r="L398" s="213"/>
      <c r="M398" s="143"/>
      <c r="N398" s="213"/>
      <c r="O398" s="212"/>
      <c r="P398" s="212"/>
      <c r="Q398" s="143"/>
      <c r="R398" s="213"/>
      <c r="S398" s="212"/>
      <c r="T398" s="145"/>
      <c r="AB398" s="214" t="str">
        <f>IFERROR(__xludf.DUMMYFUNCTION("FILTER('설정시트'!$D$7:$L$20,'설정시트'!$C$7:$C$20=I398)"),"#N/A")</f>
        <v>#N/A</v>
      </c>
      <c r="AC398" s="214"/>
      <c r="AD398" s="214"/>
      <c r="AE398" s="214"/>
      <c r="AF398" s="214"/>
      <c r="AG398" s="214"/>
      <c r="AH398" s="214"/>
      <c r="AI398" s="214"/>
    </row>
    <row r="399">
      <c r="H399" s="221"/>
      <c r="I399" s="222"/>
      <c r="J399" s="217"/>
      <c r="K399" s="220"/>
      <c r="L399" s="213"/>
      <c r="M399" s="143"/>
      <c r="N399" s="213"/>
      <c r="O399" s="212"/>
      <c r="P399" s="212"/>
      <c r="Q399" s="143"/>
      <c r="R399" s="213"/>
      <c r="S399" s="212"/>
      <c r="T399" s="145"/>
      <c r="AB399" s="214" t="str">
        <f>IFERROR(__xludf.DUMMYFUNCTION("FILTER('설정시트'!$D$7:$L$20,'설정시트'!$C$7:$C$20=I399)"),"#N/A")</f>
        <v>#N/A</v>
      </c>
      <c r="AC399" s="214"/>
      <c r="AD399" s="214"/>
      <c r="AE399" s="214"/>
      <c r="AF399" s="214"/>
      <c r="AG399" s="214"/>
      <c r="AH399" s="214"/>
      <c r="AI399" s="214"/>
    </row>
    <row r="400">
      <c r="H400" s="221"/>
      <c r="I400" s="222"/>
      <c r="J400" s="217"/>
      <c r="K400" s="220"/>
      <c r="L400" s="213"/>
      <c r="M400" s="143"/>
      <c r="N400" s="213"/>
      <c r="O400" s="212"/>
      <c r="P400" s="212"/>
      <c r="Q400" s="143"/>
      <c r="R400" s="213"/>
      <c r="S400" s="212"/>
      <c r="T400" s="145"/>
      <c r="AB400" s="214" t="str">
        <f>IFERROR(__xludf.DUMMYFUNCTION("FILTER('설정시트'!$D$7:$L$20,'설정시트'!$C$7:$C$20=I400)"),"#N/A")</f>
        <v>#N/A</v>
      </c>
      <c r="AC400" s="214"/>
      <c r="AD400" s="214"/>
      <c r="AE400" s="214"/>
      <c r="AF400" s="214"/>
      <c r="AG400" s="214"/>
      <c r="AH400" s="214"/>
      <c r="AI400" s="214"/>
    </row>
    <row r="401">
      <c r="H401" s="221"/>
      <c r="I401" s="222"/>
      <c r="J401" s="217"/>
      <c r="K401" s="220"/>
      <c r="L401" s="213"/>
      <c r="M401" s="143"/>
      <c r="N401" s="213"/>
      <c r="O401" s="212"/>
      <c r="P401" s="212"/>
      <c r="Q401" s="143"/>
      <c r="R401" s="213"/>
      <c r="S401" s="212"/>
      <c r="T401" s="145"/>
      <c r="AB401" s="214" t="str">
        <f>IFERROR(__xludf.DUMMYFUNCTION("FILTER('설정시트'!$D$7:$L$20,'설정시트'!$C$7:$C$20=I401)"),"#N/A")</f>
        <v>#N/A</v>
      </c>
      <c r="AC401" s="214"/>
      <c r="AD401" s="214"/>
      <c r="AE401" s="214"/>
      <c r="AF401" s="214"/>
      <c r="AG401" s="214"/>
      <c r="AH401" s="214"/>
      <c r="AI401" s="214"/>
    </row>
    <row r="402">
      <c r="H402" s="221"/>
      <c r="I402" s="222"/>
      <c r="J402" s="217"/>
      <c r="K402" s="220"/>
      <c r="L402" s="213"/>
      <c r="M402" s="143"/>
      <c r="N402" s="213"/>
      <c r="O402" s="212"/>
      <c r="P402" s="212"/>
      <c r="Q402" s="143"/>
      <c r="R402" s="213"/>
      <c r="S402" s="212"/>
      <c r="T402" s="145"/>
      <c r="AB402" s="214" t="str">
        <f>IFERROR(__xludf.DUMMYFUNCTION("FILTER('설정시트'!$D$7:$L$20,'설정시트'!$C$7:$C$20=I402)"),"#N/A")</f>
        <v>#N/A</v>
      </c>
      <c r="AC402" s="214"/>
      <c r="AD402" s="214"/>
      <c r="AE402" s="214"/>
      <c r="AF402" s="214"/>
      <c r="AG402" s="214"/>
      <c r="AH402" s="214"/>
      <c r="AI402" s="214"/>
    </row>
    <row r="403">
      <c r="H403" s="221"/>
      <c r="I403" s="222"/>
      <c r="J403" s="217"/>
      <c r="K403" s="220"/>
      <c r="L403" s="213"/>
      <c r="M403" s="143"/>
      <c r="N403" s="213"/>
      <c r="O403" s="212"/>
      <c r="P403" s="212"/>
      <c r="Q403" s="143"/>
      <c r="R403" s="213"/>
      <c r="S403" s="212"/>
      <c r="T403" s="145"/>
      <c r="AB403" s="214" t="str">
        <f>IFERROR(__xludf.DUMMYFUNCTION("FILTER('설정시트'!$D$7:$L$20,'설정시트'!$C$7:$C$20=I403)"),"#N/A")</f>
        <v>#N/A</v>
      </c>
      <c r="AC403" s="214"/>
      <c r="AD403" s="214"/>
      <c r="AE403" s="214"/>
      <c r="AF403" s="214"/>
      <c r="AG403" s="214"/>
      <c r="AH403" s="214"/>
      <c r="AI403" s="214"/>
    </row>
    <row r="404">
      <c r="H404" s="221"/>
      <c r="I404" s="222"/>
      <c r="J404" s="217"/>
      <c r="K404" s="220"/>
      <c r="L404" s="213"/>
      <c r="M404" s="143"/>
      <c r="N404" s="213"/>
      <c r="O404" s="212"/>
      <c r="P404" s="212"/>
      <c r="Q404" s="143"/>
      <c r="R404" s="213"/>
      <c r="S404" s="212"/>
      <c r="T404" s="145"/>
      <c r="AB404" s="214" t="str">
        <f>IFERROR(__xludf.DUMMYFUNCTION("FILTER('설정시트'!$D$7:$L$20,'설정시트'!$C$7:$C$20=I404)"),"#N/A")</f>
        <v>#N/A</v>
      </c>
      <c r="AC404" s="214"/>
      <c r="AD404" s="214"/>
      <c r="AE404" s="214"/>
      <c r="AF404" s="214"/>
      <c r="AG404" s="214"/>
      <c r="AH404" s="214"/>
      <c r="AI404" s="214"/>
    </row>
    <row r="405">
      <c r="H405" s="221"/>
      <c r="I405" s="222"/>
      <c r="J405" s="217"/>
      <c r="K405" s="220"/>
      <c r="L405" s="213"/>
      <c r="M405" s="143"/>
      <c r="N405" s="213"/>
      <c r="O405" s="212"/>
      <c r="P405" s="212"/>
      <c r="Q405" s="143"/>
      <c r="R405" s="213"/>
      <c r="S405" s="212"/>
      <c r="T405" s="145"/>
      <c r="AB405" s="214" t="str">
        <f>IFERROR(__xludf.DUMMYFUNCTION("FILTER('설정시트'!$D$7:$L$20,'설정시트'!$C$7:$C$20=I405)"),"#N/A")</f>
        <v>#N/A</v>
      </c>
      <c r="AC405" s="214"/>
      <c r="AD405" s="214"/>
      <c r="AE405" s="214"/>
      <c r="AF405" s="214"/>
      <c r="AG405" s="214"/>
      <c r="AH405" s="214"/>
      <c r="AI405" s="214"/>
    </row>
    <row r="406">
      <c r="H406" s="221"/>
      <c r="I406" s="222"/>
      <c r="J406" s="217"/>
      <c r="K406" s="220"/>
      <c r="L406" s="213"/>
      <c r="M406" s="143"/>
      <c r="N406" s="213"/>
      <c r="O406" s="212"/>
      <c r="P406" s="212"/>
      <c r="Q406" s="143"/>
      <c r="R406" s="213"/>
      <c r="S406" s="212"/>
      <c r="T406" s="145"/>
      <c r="AB406" s="214" t="str">
        <f>IFERROR(__xludf.DUMMYFUNCTION("FILTER('설정시트'!$D$7:$L$20,'설정시트'!$C$7:$C$20=I406)"),"#N/A")</f>
        <v>#N/A</v>
      </c>
      <c r="AC406" s="214"/>
      <c r="AD406" s="214"/>
      <c r="AE406" s="214"/>
      <c r="AF406" s="214"/>
      <c r="AG406" s="214"/>
      <c r="AH406" s="214"/>
      <c r="AI406" s="214"/>
    </row>
    <row r="407">
      <c r="H407" s="221"/>
      <c r="I407" s="222"/>
      <c r="J407" s="217"/>
      <c r="K407" s="220"/>
      <c r="L407" s="213"/>
      <c r="M407" s="143"/>
      <c r="N407" s="213"/>
      <c r="O407" s="212"/>
      <c r="P407" s="212"/>
      <c r="Q407" s="143"/>
      <c r="R407" s="213"/>
      <c r="S407" s="212"/>
      <c r="T407" s="145"/>
      <c r="AB407" s="214" t="str">
        <f>IFERROR(__xludf.DUMMYFUNCTION("FILTER('설정시트'!$D$7:$L$20,'설정시트'!$C$7:$C$20=I407)"),"#N/A")</f>
        <v>#N/A</v>
      </c>
      <c r="AC407" s="214"/>
      <c r="AD407" s="214"/>
      <c r="AE407" s="214"/>
      <c r="AF407" s="214"/>
      <c r="AG407" s="214"/>
      <c r="AH407" s="214"/>
      <c r="AI407" s="214"/>
    </row>
    <row r="408">
      <c r="H408" s="221"/>
      <c r="I408" s="222"/>
      <c r="J408" s="217"/>
      <c r="K408" s="220"/>
      <c r="L408" s="213"/>
      <c r="M408" s="143"/>
      <c r="N408" s="213"/>
      <c r="O408" s="212"/>
      <c r="P408" s="212"/>
      <c r="Q408" s="143"/>
      <c r="R408" s="213"/>
      <c r="S408" s="212"/>
      <c r="T408" s="145"/>
      <c r="AB408" s="214" t="str">
        <f>IFERROR(__xludf.DUMMYFUNCTION("FILTER('설정시트'!$D$7:$L$20,'설정시트'!$C$7:$C$20=I408)"),"#N/A")</f>
        <v>#N/A</v>
      </c>
      <c r="AC408" s="214"/>
      <c r="AD408" s="214"/>
      <c r="AE408" s="214"/>
      <c r="AF408" s="214"/>
      <c r="AG408" s="214"/>
      <c r="AH408" s="214"/>
      <c r="AI408" s="214"/>
    </row>
    <row r="409">
      <c r="H409" s="221"/>
      <c r="I409" s="222"/>
      <c r="J409" s="217"/>
      <c r="K409" s="220"/>
      <c r="L409" s="213"/>
      <c r="M409" s="143"/>
      <c r="N409" s="213"/>
      <c r="O409" s="212"/>
      <c r="P409" s="212"/>
      <c r="Q409" s="143"/>
      <c r="R409" s="213"/>
      <c r="S409" s="212"/>
      <c r="T409" s="145"/>
      <c r="AB409" s="214" t="str">
        <f>IFERROR(__xludf.DUMMYFUNCTION("FILTER('설정시트'!$D$7:$L$20,'설정시트'!$C$7:$C$20=I409)"),"#N/A")</f>
        <v>#N/A</v>
      </c>
      <c r="AC409" s="214"/>
      <c r="AD409" s="214"/>
      <c r="AE409" s="214"/>
      <c r="AF409" s="214"/>
      <c r="AG409" s="214"/>
      <c r="AH409" s="214"/>
      <c r="AI409" s="214"/>
    </row>
    <row r="410">
      <c r="H410" s="221"/>
      <c r="I410" s="222"/>
      <c r="J410" s="217"/>
      <c r="K410" s="220"/>
      <c r="L410" s="213"/>
      <c r="M410" s="143"/>
      <c r="N410" s="213"/>
      <c r="O410" s="212"/>
      <c r="P410" s="212"/>
      <c r="Q410" s="143"/>
      <c r="R410" s="213"/>
      <c r="S410" s="212"/>
      <c r="T410" s="145"/>
      <c r="AB410" s="214" t="str">
        <f>IFERROR(__xludf.DUMMYFUNCTION("FILTER('설정시트'!$D$7:$L$20,'설정시트'!$C$7:$C$20=I410)"),"#N/A")</f>
        <v>#N/A</v>
      </c>
      <c r="AC410" s="214"/>
      <c r="AD410" s="214"/>
      <c r="AE410" s="214"/>
      <c r="AF410" s="214"/>
      <c r="AG410" s="214"/>
      <c r="AH410" s="214"/>
      <c r="AI410" s="214"/>
    </row>
    <row r="411">
      <c r="H411" s="221"/>
      <c r="I411" s="222"/>
      <c r="J411" s="217"/>
      <c r="K411" s="220"/>
      <c r="L411" s="213"/>
      <c r="M411" s="143"/>
      <c r="N411" s="213"/>
      <c r="O411" s="212"/>
      <c r="P411" s="212"/>
      <c r="Q411" s="143"/>
      <c r="R411" s="213"/>
      <c r="S411" s="212"/>
      <c r="T411" s="145"/>
      <c r="AB411" s="214" t="str">
        <f>IFERROR(__xludf.DUMMYFUNCTION("FILTER('설정시트'!$D$7:$L$20,'설정시트'!$C$7:$C$20=I411)"),"#N/A")</f>
        <v>#N/A</v>
      </c>
      <c r="AC411" s="214"/>
      <c r="AD411" s="214"/>
      <c r="AE411" s="214"/>
      <c r="AF411" s="214"/>
      <c r="AG411" s="214"/>
      <c r="AH411" s="214"/>
      <c r="AI411" s="214"/>
    </row>
    <row r="412">
      <c r="H412" s="221"/>
      <c r="I412" s="222"/>
      <c r="J412" s="217"/>
      <c r="K412" s="220"/>
      <c r="L412" s="213"/>
      <c r="M412" s="143"/>
      <c r="N412" s="213"/>
      <c r="O412" s="212"/>
      <c r="P412" s="212"/>
      <c r="Q412" s="143"/>
      <c r="R412" s="213"/>
      <c r="S412" s="212"/>
      <c r="T412" s="145"/>
      <c r="AB412" s="214" t="str">
        <f>IFERROR(__xludf.DUMMYFUNCTION("FILTER('설정시트'!$D$7:$L$20,'설정시트'!$C$7:$C$20=I412)"),"#N/A")</f>
        <v>#N/A</v>
      </c>
      <c r="AC412" s="214"/>
      <c r="AD412" s="214"/>
      <c r="AE412" s="214"/>
      <c r="AF412" s="214"/>
      <c r="AG412" s="214"/>
      <c r="AH412" s="214"/>
      <c r="AI412" s="214"/>
    </row>
    <row r="413">
      <c r="H413" s="221"/>
      <c r="I413" s="222"/>
      <c r="J413" s="217"/>
      <c r="K413" s="220"/>
      <c r="L413" s="213"/>
      <c r="M413" s="143"/>
      <c r="N413" s="213"/>
      <c r="O413" s="212"/>
      <c r="P413" s="212"/>
      <c r="Q413" s="143"/>
      <c r="R413" s="213"/>
      <c r="S413" s="212"/>
      <c r="T413" s="145"/>
      <c r="AB413" s="214" t="str">
        <f>IFERROR(__xludf.DUMMYFUNCTION("FILTER('설정시트'!$D$7:$L$20,'설정시트'!$C$7:$C$20=I413)"),"#N/A")</f>
        <v>#N/A</v>
      </c>
      <c r="AC413" s="214"/>
      <c r="AD413" s="214"/>
      <c r="AE413" s="214"/>
      <c r="AF413" s="214"/>
      <c r="AG413" s="214"/>
      <c r="AH413" s="214"/>
      <c r="AI413" s="214"/>
    </row>
    <row r="414">
      <c r="H414" s="221"/>
      <c r="I414" s="222"/>
      <c r="J414" s="217"/>
      <c r="K414" s="220"/>
      <c r="L414" s="213"/>
      <c r="M414" s="143"/>
      <c r="N414" s="213"/>
      <c r="O414" s="212"/>
      <c r="P414" s="212"/>
      <c r="Q414" s="143"/>
      <c r="R414" s="213"/>
      <c r="S414" s="212"/>
      <c r="T414" s="145"/>
      <c r="AB414" s="214" t="str">
        <f>IFERROR(__xludf.DUMMYFUNCTION("FILTER('설정시트'!$D$7:$L$20,'설정시트'!$C$7:$C$20=I414)"),"#N/A")</f>
        <v>#N/A</v>
      </c>
      <c r="AC414" s="214"/>
      <c r="AD414" s="214"/>
      <c r="AE414" s="214"/>
      <c r="AF414" s="214"/>
      <c r="AG414" s="214"/>
      <c r="AH414" s="214"/>
      <c r="AI414" s="214"/>
    </row>
    <row r="415">
      <c r="H415" s="221"/>
      <c r="I415" s="222"/>
      <c r="J415" s="217"/>
      <c r="K415" s="220"/>
      <c r="L415" s="213"/>
      <c r="M415" s="143"/>
      <c r="N415" s="213"/>
      <c r="O415" s="212"/>
      <c r="P415" s="212"/>
      <c r="Q415" s="143"/>
      <c r="R415" s="213"/>
      <c r="S415" s="212"/>
      <c r="T415" s="145"/>
      <c r="AB415" s="214" t="str">
        <f>IFERROR(__xludf.DUMMYFUNCTION("FILTER('설정시트'!$D$7:$L$20,'설정시트'!$C$7:$C$20=I415)"),"#N/A")</f>
        <v>#N/A</v>
      </c>
      <c r="AC415" s="214"/>
      <c r="AD415" s="214"/>
      <c r="AE415" s="214"/>
      <c r="AF415" s="214"/>
      <c r="AG415" s="214"/>
      <c r="AH415" s="214"/>
      <c r="AI415" s="214"/>
    </row>
    <row r="416">
      <c r="H416" s="221"/>
      <c r="I416" s="222"/>
      <c r="J416" s="217"/>
      <c r="K416" s="220"/>
      <c r="L416" s="213"/>
      <c r="M416" s="143"/>
      <c r="N416" s="213"/>
      <c r="O416" s="212"/>
      <c r="P416" s="212"/>
      <c r="Q416" s="143"/>
      <c r="R416" s="213"/>
      <c r="S416" s="212"/>
      <c r="T416" s="145"/>
      <c r="AB416" s="214" t="str">
        <f>IFERROR(__xludf.DUMMYFUNCTION("FILTER('설정시트'!$D$7:$L$20,'설정시트'!$C$7:$C$20=I416)"),"#N/A")</f>
        <v>#N/A</v>
      </c>
      <c r="AC416" s="214"/>
      <c r="AD416" s="214"/>
      <c r="AE416" s="214"/>
      <c r="AF416" s="214"/>
      <c r="AG416" s="214"/>
      <c r="AH416" s="214"/>
      <c r="AI416" s="214"/>
    </row>
    <row r="417">
      <c r="H417" s="221"/>
      <c r="I417" s="222"/>
      <c r="J417" s="217"/>
      <c r="K417" s="220"/>
      <c r="L417" s="213"/>
      <c r="M417" s="143"/>
      <c r="N417" s="213"/>
      <c r="O417" s="212"/>
      <c r="P417" s="212"/>
      <c r="Q417" s="143"/>
      <c r="R417" s="213"/>
      <c r="S417" s="212"/>
      <c r="T417" s="145"/>
      <c r="AB417" s="214" t="str">
        <f>IFERROR(__xludf.DUMMYFUNCTION("FILTER('설정시트'!$D$7:$L$20,'설정시트'!$C$7:$C$20=I417)"),"#N/A")</f>
        <v>#N/A</v>
      </c>
      <c r="AC417" s="214"/>
      <c r="AD417" s="214"/>
      <c r="AE417" s="214"/>
      <c r="AF417" s="214"/>
      <c r="AG417" s="214"/>
      <c r="AH417" s="214"/>
      <c r="AI417" s="214"/>
    </row>
    <row r="418">
      <c r="H418" s="221"/>
      <c r="I418" s="222"/>
      <c r="J418" s="217"/>
      <c r="K418" s="220"/>
      <c r="L418" s="213"/>
      <c r="M418" s="143"/>
      <c r="N418" s="213"/>
      <c r="O418" s="212"/>
      <c r="P418" s="212"/>
      <c r="Q418" s="143"/>
      <c r="R418" s="213"/>
      <c r="S418" s="212"/>
      <c r="T418" s="145"/>
      <c r="AB418" s="214" t="str">
        <f>IFERROR(__xludf.DUMMYFUNCTION("FILTER('설정시트'!$D$7:$L$20,'설정시트'!$C$7:$C$20=I418)"),"#N/A")</f>
        <v>#N/A</v>
      </c>
      <c r="AC418" s="214"/>
      <c r="AD418" s="214"/>
      <c r="AE418" s="214"/>
      <c r="AF418" s="214"/>
      <c r="AG418" s="214"/>
      <c r="AH418" s="214"/>
      <c r="AI418" s="214"/>
    </row>
    <row r="419">
      <c r="H419" s="221"/>
      <c r="I419" s="222"/>
      <c r="J419" s="217"/>
      <c r="K419" s="220"/>
      <c r="L419" s="213"/>
      <c r="M419" s="143"/>
      <c r="N419" s="213"/>
      <c r="O419" s="212"/>
      <c r="P419" s="212"/>
      <c r="Q419" s="143"/>
      <c r="R419" s="213"/>
      <c r="S419" s="212"/>
      <c r="T419" s="145"/>
      <c r="AB419" s="214" t="str">
        <f>IFERROR(__xludf.DUMMYFUNCTION("FILTER('설정시트'!$D$7:$L$20,'설정시트'!$C$7:$C$20=I419)"),"#N/A")</f>
        <v>#N/A</v>
      </c>
      <c r="AC419" s="214"/>
      <c r="AD419" s="214"/>
      <c r="AE419" s="214"/>
      <c r="AF419" s="214"/>
      <c r="AG419" s="214"/>
      <c r="AH419" s="214"/>
      <c r="AI419" s="214"/>
    </row>
    <row r="420">
      <c r="H420" s="221"/>
      <c r="I420" s="222"/>
      <c r="J420" s="217"/>
      <c r="K420" s="220"/>
      <c r="L420" s="213"/>
      <c r="M420" s="143"/>
      <c r="N420" s="213"/>
      <c r="O420" s="212"/>
      <c r="P420" s="212"/>
      <c r="Q420" s="143"/>
      <c r="R420" s="213"/>
      <c r="S420" s="212"/>
      <c r="T420" s="145"/>
      <c r="AB420" s="214" t="str">
        <f>IFERROR(__xludf.DUMMYFUNCTION("FILTER('설정시트'!$D$7:$L$20,'설정시트'!$C$7:$C$20=I420)"),"#N/A")</f>
        <v>#N/A</v>
      </c>
      <c r="AC420" s="214"/>
      <c r="AD420" s="214"/>
      <c r="AE420" s="214"/>
      <c r="AF420" s="214"/>
      <c r="AG420" s="214"/>
      <c r="AH420" s="214"/>
      <c r="AI420" s="214"/>
    </row>
    <row r="421">
      <c r="H421" s="221"/>
      <c r="I421" s="222"/>
      <c r="J421" s="217"/>
      <c r="K421" s="220"/>
      <c r="L421" s="213"/>
      <c r="M421" s="143"/>
      <c r="N421" s="213"/>
      <c r="O421" s="212"/>
      <c r="P421" s="212"/>
      <c r="Q421" s="143"/>
      <c r="R421" s="213"/>
      <c r="S421" s="212"/>
      <c r="T421" s="145"/>
      <c r="AB421" s="214" t="str">
        <f>IFERROR(__xludf.DUMMYFUNCTION("FILTER('설정시트'!$D$7:$L$20,'설정시트'!$C$7:$C$20=I421)"),"#N/A")</f>
        <v>#N/A</v>
      </c>
      <c r="AC421" s="214"/>
      <c r="AD421" s="214"/>
      <c r="AE421" s="214"/>
      <c r="AF421" s="214"/>
      <c r="AG421" s="214"/>
      <c r="AH421" s="214"/>
      <c r="AI421" s="214"/>
    </row>
    <row r="422">
      <c r="H422" s="221"/>
      <c r="I422" s="222"/>
      <c r="J422" s="217"/>
      <c r="K422" s="220"/>
      <c r="L422" s="213"/>
      <c r="M422" s="143"/>
      <c r="N422" s="213"/>
      <c r="O422" s="212"/>
      <c r="P422" s="212"/>
      <c r="Q422" s="143"/>
      <c r="R422" s="213"/>
      <c r="S422" s="212"/>
      <c r="T422" s="145"/>
      <c r="AB422" s="214" t="str">
        <f>IFERROR(__xludf.DUMMYFUNCTION("FILTER('설정시트'!$D$7:$L$20,'설정시트'!$C$7:$C$20=I422)"),"#N/A")</f>
        <v>#N/A</v>
      </c>
      <c r="AC422" s="214"/>
      <c r="AD422" s="214"/>
      <c r="AE422" s="214"/>
      <c r="AF422" s="214"/>
      <c r="AG422" s="214"/>
      <c r="AH422" s="214"/>
      <c r="AI422" s="214"/>
    </row>
    <row r="423">
      <c r="H423" s="221"/>
      <c r="I423" s="222"/>
      <c r="J423" s="217"/>
      <c r="K423" s="220"/>
      <c r="L423" s="213"/>
      <c r="M423" s="143"/>
      <c r="N423" s="213"/>
      <c r="O423" s="212"/>
      <c r="P423" s="212"/>
      <c r="Q423" s="143"/>
      <c r="R423" s="213"/>
      <c r="S423" s="212"/>
      <c r="T423" s="145"/>
      <c r="AB423" s="214" t="str">
        <f>IFERROR(__xludf.DUMMYFUNCTION("FILTER('설정시트'!$D$7:$L$20,'설정시트'!$C$7:$C$20=I423)"),"#N/A")</f>
        <v>#N/A</v>
      </c>
      <c r="AC423" s="214"/>
      <c r="AD423" s="214"/>
      <c r="AE423" s="214"/>
      <c r="AF423" s="214"/>
      <c r="AG423" s="214"/>
      <c r="AH423" s="214"/>
      <c r="AI423" s="214"/>
    </row>
    <row r="424">
      <c r="H424" s="221"/>
      <c r="I424" s="222"/>
      <c r="J424" s="217"/>
      <c r="K424" s="220"/>
      <c r="L424" s="213"/>
      <c r="M424" s="143"/>
      <c r="N424" s="213"/>
      <c r="O424" s="212"/>
      <c r="P424" s="212"/>
      <c r="Q424" s="143"/>
      <c r="R424" s="213"/>
      <c r="S424" s="212"/>
      <c r="T424" s="145"/>
      <c r="AB424" s="214" t="str">
        <f>IFERROR(__xludf.DUMMYFUNCTION("FILTER('설정시트'!$D$7:$L$20,'설정시트'!$C$7:$C$20=I424)"),"#N/A")</f>
        <v>#N/A</v>
      </c>
      <c r="AC424" s="214"/>
      <c r="AD424" s="214"/>
      <c r="AE424" s="214"/>
      <c r="AF424" s="214"/>
      <c r="AG424" s="214"/>
      <c r="AH424" s="214"/>
      <c r="AI424" s="214"/>
    </row>
    <row r="425">
      <c r="H425" s="221"/>
      <c r="I425" s="222"/>
      <c r="J425" s="217"/>
      <c r="K425" s="220"/>
      <c r="L425" s="213"/>
      <c r="M425" s="143"/>
      <c r="N425" s="213"/>
      <c r="O425" s="212"/>
      <c r="P425" s="212"/>
      <c r="Q425" s="143"/>
      <c r="R425" s="213"/>
      <c r="S425" s="212"/>
      <c r="T425" s="145"/>
      <c r="AB425" s="214" t="str">
        <f>IFERROR(__xludf.DUMMYFUNCTION("FILTER('설정시트'!$D$7:$L$20,'설정시트'!$C$7:$C$20=I425)"),"#N/A")</f>
        <v>#N/A</v>
      </c>
      <c r="AC425" s="214"/>
      <c r="AD425" s="214"/>
      <c r="AE425" s="214"/>
      <c r="AF425" s="214"/>
      <c r="AG425" s="214"/>
      <c r="AH425" s="214"/>
      <c r="AI425" s="214"/>
    </row>
    <row r="426">
      <c r="H426" s="221"/>
      <c r="I426" s="222"/>
      <c r="J426" s="217"/>
      <c r="K426" s="220"/>
      <c r="L426" s="213"/>
      <c r="M426" s="143"/>
      <c r="N426" s="213"/>
      <c r="O426" s="212"/>
      <c r="P426" s="212"/>
      <c r="Q426" s="143"/>
      <c r="R426" s="213"/>
      <c r="S426" s="212"/>
      <c r="T426" s="145"/>
      <c r="AB426" s="214" t="str">
        <f>IFERROR(__xludf.DUMMYFUNCTION("FILTER('설정시트'!$D$7:$L$20,'설정시트'!$C$7:$C$20=I426)"),"#N/A")</f>
        <v>#N/A</v>
      </c>
      <c r="AC426" s="214"/>
      <c r="AD426" s="214"/>
      <c r="AE426" s="214"/>
      <c r="AF426" s="214"/>
      <c r="AG426" s="214"/>
      <c r="AH426" s="214"/>
      <c r="AI426" s="214"/>
    </row>
    <row r="427">
      <c r="H427" s="221"/>
      <c r="I427" s="222"/>
      <c r="J427" s="217"/>
      <c r="K427" s="220"/>
      <c r="L427" s="213"/>
      <c r="M427" s="143"/>
      <c r="N427" s="213"/>
      <c r="O427" s="212"/>
      <c r="P427" s="212"/>
      <c r="Q427" s="143"/>
      <c r="R427" s="213"/>
      <c r="S427" s="212"/>
      <c r="T427" s="145"/>
      <c r="AB427" s="214" t="str">
        <f>IFERROR(__xludf.DUMMYFUNCTION("FILTER('설정시트'!$D$7:$L$20,'설정시트'!$C$7:$C$20=I427)"),"#N/A")</f>
        <v>#N/A</v>
      </c>
      <c r="AC427" s="214"/>
      <c r="AD427" s="214"/>
      <c r="AE427" s="214"/>
      <c r="AF427" s="214"/>
      <c r="AG427" s="214"/>
      <c r="AH427" s="214"/>
      <c r="AI427" s="214"/>
    </row>
    <row r="428">
      <c r="H428" s="221"/>
      <c r="I428" s="222"/>
      <c r="J428" s="217"/>
      <c r="K428" s="220"/>
      <c r="L428" s="213"/>
      <c r="M428" s="143"/>
      <c r="N428" s="213"/>
      <c r="O428" s="212"/>
      <c r="P428" s="212"/>
      <c r="Q428" s="143"/>
      <c r="R428" s="213"/>
      <c r="S428" s="212"/>
      <c r="T428" s="145"/>
      <c r="AB428" s="214" t="str">
        <f>IFERROR(__xludf.DUMMYFUNCTION("FILTER('설정시트'!$D$7:$L$20,'설정시트'!$C$7:$C$20=I428)"),"#N/A")</f>
        <v>#N/A</v>
      </c>
      <c r="AC428" s="214"/>
      <c r="AD428" s="214"/>
      <c r="AE428" s="214"/>
      <c r="AF428" s="214"/>
      <c r="AG428" s="214"/>
      <c r="AH428" s="214"/>
      <c r="AI428" s="214"/>
    </row>
    <row r="429">
      <c r="H429" s="221"/>
      <c r="I429" s="222"/>
      <c r="J429" s="217"/>
      <c r="K429" s="220"/>
      <c r="L429" s="213"/>
      <c r="M429" s="143"/>
      <c r="N429" s="213"/>
      <c r="O429" s="212"/>
      <c r="P429" s="212"/>
      <c r="Q429" s="143"/>
      <c r="R429" s="213"/>
      <c r="S429" s="212"/>
      <c r="T429" s="145"/>
      <c r="AB429" s="214" t="str">
        <f>IFERROR(__xludf.DUMMYFUNCTION("FILTER('설정시트'!$D$7:$L$20,'설정시트'!$C$7:$C$20=I429)"),"#N/A")</f>
        <v>#N/A</v>
      </c>
      <c r="AC429" s="214"/>
      <c r="AD429" s="214"/>
      <c r="AE429" s="214"/>
      <c r="AF429" s="214"/>
      <c r="AG429" s="214"/>
      <c r="AH429" s="214"/>
      <c r="AI429" s="214"/>
    </row>
    <row r="430">
      <c r="H430" s="221"/>
      <c r="I430" s="222"/>
      <c r="J430" s="217"/>
      <c r="K430" s="220"/>
      <c r="L430" s="213"/>
      <c r="M430" s="143"/>
      <c r="N430" s="213"/>
      <c r="O430" s="212"/>
      <c r="P430" s="212"/>
      <c r="Q430" s="143"/>
      <c r="R430" s="213"/>
      <c r="S430" s="212"/>
      <c r="T430" s="145"/>
      <c r="AB430" s="214" t="str">
        <f>IFERROR(__xludf.DUMMYFUNCTION("FILTER('설정시트'!$D$7:$L$20,'설정시트'!$C$7:$C$20=I430)"),"#N/A")</f>
        <v>#N/A</v>
      </c>
      <c r="AC430" s="214"/>
      <c r="AD430" s="214"/>
      <c r="AE430" s="214"/>
      <c r="AF430" s="214"/>
      <c r="AG430" s="214"/>
      <c r="AH430" s="214"/>
      <c r="AI430" s="214"/>
    </row>
    <row r="431">
      <c r="H431" s="221"/>
      <c r="I431" s="222"/>
      <c r="J431" s="217"/>
      <c r="K431" s="220"/>
      <c r="L431" s="213"/>
      <c r="M431" s="143"/>
      <c r="N431" s="213"/>
      <c r="O431" s="212"/>
      <c r="P431" s="212"/>
      <c r="Q431" s="143"/>
      <c r="R431" s="213"/>
      <c r="S431" s="212"/>
      <c r="T431" s="145"/>
      <c r="AB431" s="214" t="str">
        <f>IFERROR(__xludf.DUMMYFUNCTION("FILTER('설정시트'!$D$7:$L$20,'설정시트'!$C$7:$C$20=I431)"),"#N/A")</f>
        <v>#N/A</v>
      </c>
      <c r="AC431" s="214"/>
      <c r="AD431" s="214"/>
      <c r="AE431" s="214"/>
      <c r="AF431" s="214"/>
      <c r="AG431" s="214"/>
      <c r="AH431" s="214"/>
      <c r="AI431" s="214"/>
    </row>
    <row r="432">
      <c r="H432" s="221"/>
      <c r="I432" s="222"/>
      <c r="J432" s="217"/>
      <c r="K432" s="220"/>
      <c r="L432" s="213"/>
      <c r="M432" s="143"/>
      <c r="N432" s="213"/>
      <c r="O432" s="212"/>
      <c r="P432" s="212"/>
      <c r="Q432" s="143"/>
      <c r="R432" s="213"/>
      <c r="S432" s="212"/>
      <c r="T432" s="145"/>
      <c r="AB432" s="214" t="str">
        <f>IFERROR(__xludf.DUMMYFUNCTION("FILTER('설정시트'!$D$7:$L$20,'설정시트'!$C$7:$C$20=I432)"),"#N/A")</f>
        <v>#N/A</v>
      </c>
      <c r="AC432" s="214"/>
      <c r="AD432" s="214"/>
      <c r="AE432" s="214"/>
      <c r="AF432" s="214"/>
      <c r="AG432" s="214"/>
      <c r="AH432" s="214"/>
      <c r="AI432" s="214"/>
    </row>
    <row r="433">
      <c r="H433" s="221"/>
      <c r="I433" s="222"/>
      <c r="J433" s="217"/>
      <c r="K433" s="220"/>
      <c r="L433" s="213"/>
      <c r="M433" s="143"/>
      <c r="N433" s="213"/>
      <c r="O433" s="212"/>
      <c r="P433" s="212"/>
      <c r="Q433" s="143"/>
      <c r="R433" s="213"/>
      <c r="S433" s="212"/>
      <c r="T433" s="145"/>
      <c r="AB433" s="214" t="str">
        <f>IFERROR(__xludf.DUMMYFUNCTION("FILTER('설정시트'!$D$7:$L$20,'설정시트'!$C$7:$C$20=I433)"),"#N/A")</f>
        <v>#N/A</v>
      </c>
      <c r="AC433" s="214"/>
      <c r="AD433" s="214"/>
      <c r="AE433" s="214"/>
      <c r="AF433" s="214"/>
      <c r="AG433" s="214"/>
      <c r="AH433" s="214"/>
      <c r="AI433" s="214"/>
    </row>
    <row r="434">
      <c r="H434" s="221"/>
      <c r="I434" s="222"/>
      <c r="J434" s="217"/>
      <c r="K434" s="220"/>
      <c r="L434" s="213"/>
      <c r="M434" s="143"/>
      <c r="N434" s="213"/>
      <c r="O434" s="212"/>
      <c r="P434" s="212"/>
      <c r="Q434" s="143"/>
      <c r="R434" s="213"/>
      <c r="S434" s="212"/>
      <c r="T434" s="145"/>
      <c r="AB434" s="214" t="str">
        <f>IFERROR(__xludf.DUMMYFUNCTION("FILTER('설정시트'!$D$7:$L$20,'설정시트'!$C$7:$C$20=I434)"),"#N/A")</f>
        <v>#N/A</v>
      </c>
      <c r="AC434" s="214"/>
      <c r="AD434" s="214"/>
      <c r="AE434" s="214"/>
      <c r="AF434" s="214"/>
      <c r="AG434" s="214"/>
      <c r="AH434" s="214"/>
      <c r="AI434" s="214"/>
    </row>
    <row r="435">
      <c r="H435" s="221"/>
      <c r="I435" s="222"/>
      <c r="J435" s="217"/>
      <c r="K435" s="220"/>
      <c r="L435" s="213"/>
      <c r="M435" s="143"/>
      <c r="N435" s="213"/>
      <c r="O435" s="212"/>
      <c r="P435" s="212"/>
      <c r="Q435" s="143"/>
      <c r="R435" s="213"/>
      <c r="S435" s="212"/>
      <c r="T435" s="145"/>
      <c r="AB435" s="214" t="str">
        <f>IFERROR(__xludf.DUMMYFUNCTION("FILTER('설정시트'!$D$7:$L$20,'설정시트'!$C$7:$C$20=I435)"),"#N/A")</f>
        <v>#N/A</v>
      </c>
      <c r="AC435" s="214"/>
      <c r="AD435" s="214"/>
      <c r="AE435" s="214"/>
      <c r="AF435" s="214"/>
      <c r="AG435" s="214"/>
      <c r="AH435" s="214"/>
      <c r="AI435" s="214"/>
    </row>
    <row r="436">
      <c r="H436" s="221"/>
      <c r="I436" s="222"/>
      <c r="J436" s="217"/>
      <c r="K436" s="220"/>
      <c r="L436" s="213"/>
      <c r="M436" s="143"/>
      <c r="N436" s="213"/>
      <c r="O436" s="212"/>
      <c r="P436" s="212"/>
      <c r="Q436" s="143"/>
      <c r="R436" s="213"/>
      <c r="S436" s="212"/>
      <c r="T436" s="145"/>
      <c r="AB436" s="214" t="str">
        <f>IFERROR(__xludf.DUMMYFUNCTION("FILTER('설정시트'!$D$7:$L$20,'설정시트'!$C$7:$C$20=I436)"),"#N/A")</f>
        <v>#N/A</v>
      </c>
      <c r="AC436" s="214"/>
      <c r="AD436" s="214"/>
      <c r="AE436" s="214"/>
      <c r="AF436" s="214"/>
      <c r="AG436" s="214"/>
      <c r="AH436" s="214"/>
      <c r="AI436" s="214"/>
    </row>
    <row r="437">
      <c r="H437" s="221"/>
      <c r="I437" s="222"/>
      <c r="J437" s="217"/>
      <c r="K437" s="220"/>
      <c r="L437" s="213"/>
      <c r="M437" s="143"/>
      <c r="N437" s="213"/>
      <c r="O437" s="212"/>
      <c r="P437" s="212"/>
      <c r="Q437" s="143"/>
      <c r="R437" s="213"/>
      <c r="S437" s="212"/>
      <c r="T437" s="145"/>
      <c r="AB437" s="214" t="str">
        <f>IFERROR(__xludf.DUMMYFUNCTION("FILTER('설정시트'!$D$7:$L$20,'설정시트'!$C$7:$C$20=I437)"),"#N/A")</f>
        <v>#N/A</v>
      </c>
      <c r="AC437" s="214"/>
      <c r="AD437" s="214"/>
      <c r="AE437" s="214"/>
      <c r="AF437" s="214"/>
      <c r="AG437" s="214"/>
      <c r="AH437" s="214"/>
      <c r="AI437" s="214"/>
    </row>
    <row r="438">
      <c r="H438" s="221"/>
      <c r="I438" s="222"/>
      <c r="J438" s="217"/>
      <c r="K438" s="220"/>
      <c r="L438" s="213"/>
      <c r="M438" s="143"/>
      <c r="N438" s="213"/>
      <c r="O438" s="212"/>
      <c r="P438" s="212"/>
      <c r="Q438" s="143"/>
      <c r="R438" s="213"/>
      <c r="S438" s="212"/>
      <c r="T438" s="145"/>
      <c r="AB438" s="214" t="str">
        <f>IFERROR(__xludf.DUMMYFUNCTION("FILTER('설정시트'!$D$7:$L$20,'설정시트'!$C$7:$C$20=I438)"),"#N/A")</f>
        <v>#N/A</v>
      </c>
      <c r="AC438" s="214"/>
      <c r="AD438" s="214"/>
      <c r="AE438" s="214"/>
      <c r="AF438" s="214"/>
      <c r="AG438" s="214"/>
      <c r="AH438" s="214"/>
      <c r="AI438" s="214"/>
    </row>
    <row r="439">
      <c r="H439" s="221"/>
      <c r="I439" s="222"/>
      <c r="J439" s="217"/>
      <c r="K439" s="220"/>
      <c r="L439" s="213"/>
      <c r="M439" s="143"/>
      <c r="N439" s="213"/>
      <c r="O439" s="212"/>
      <c r="P439" s="212"/>
      <c r="Q439" s="143"/>
      <c r="R439" s="213"/>
      <c r="S439" s="212"/>
      <c r="T439" s="145"/>
      <c r="AB439" s="214" t="str">
        <f>IFERROR(__xludf.DUMMYFUNCTION("FILTER('설정시트'!$D$7:$L$20,'설정시트'!$C$7:$C$20=I439)"),"#N/A")</f>
        <v>#N/A</v>
      </c>
      <c r="AC439" s="214"/>
      <c r="AD439" s="214"/>
      <c r="AE439" s="214"/>
      <c r="AF439" s="214"/>
      <c r="AG439" s="214"/>
      <c r="AH439" s="214"/>
      <c r="AI439" s="214"/>
    </row>
    <row r="440">
      <c r="H440" s="221"/>
      <c r="I440" s="222"/>
      <c r="J440" s="217"/>
      <c r="K440" s="220"/>
      <c r="L440" s="213"/>
      <c r="M440" s="143"/>
      <c r="N440" s="213"/>
      <c r="O440" s="212"/>
      <c r="P440" s="212"/>
      <c r="Q440" s="143"/>
      <c r="R440" s="213"/>
      <c r="S440" s="212"/>
      <c r="T440" s="145"/>
      <c r="AB440" s="214" t="str">
        <f>IFERROR(__xludf.DUMMYFUNCTION("FILTER('설정시트'!$D$7:$L$20,'설정시트'!$C$7:$C$20=I440)"),"#N/A")</f>
        <v>#N/A</v>
      </c>
      <c r="AC440" s="214"/>
      <c r="AD440" s="214"/>
      <c r="AE440" s="214"/>
      <c r="AF440" s="214"/>
      <c r="AG440" s="214"/>
      <c r="AH440" s="214"/>
      <c r="AI440" s="214"/>
    </row>
    <row r="441">
      <c r="H441" s="221"/>
      <c r="I441" s="222"/>
      <c r="J441" s="217"/>
      <c r="K441" s="220"/>
      <c r="L441" s="213"/>
      <c r="M441" s="143"/>
      <c r="N441" s="213"/>
      <c r="O441" s="212"/>
      <c r="P441" s="212"/>
      <c r="Q441" s="143"/>
      <c r="R441" s="213"/>
      <c r="S441" s="212"/>
      <c r="T441" s="145"/>
      <c r="AB441" s="214" t="str">
        <f>IFERROR(__xludf.DUMMYFUNCTION("FILTER('설정시트'!$D$7:$L$20,'설정시트'!$C$7:$C$20=I441)"),"#N/A")</f>
        <v>#N/A</v>
      </c>
      <c r="AC441" s="214"/>
      <c r="AD441" s="214"/>
      <c r="AE441" s="214"/>
      <c r="AF441" s="214"/>
      <c r="AG441" s="214"/>
      <c r="AH441" s="214"/>
      <c r="AI441" s="214"/>
    </row>
    <row r="442">
      <c r="H442" s="221"/>
      <c r="I442" s="222"/>
      <c r="J442" s="217"/>
      <c r="K442" s="220"/>
      <c r="L442" s="213"/>
      <c r="M442" s="143"/>
      <c r="N442" s="213"/>
      <c r="O442" s="212"/>
      <c r="P442" s="212"/>
      <c r="Q442" s="143"/>
      <c r="R442" s="213"/>
      <c r="S442" s="212"/>
      <c r="T442" s="145"/>
      <c r="AB442" s="214" t="str">
        <f>IFERROR(__xludf.DUMMYFUNCTION("FILTER('설정시트'!$D$7:$L$20,'설정시트'!$C$7:$C$20=I442)"),"#N/A")</f>
        <v>#N/A</v>
      </c>
      <c r="AC442" s="214"/>
      <c r="AD442" s="214"/>
      <c r="AE442" s="214"/>
      <c r="AF442" s="214"/>
      <c r="AG442" s="214"/>
      <c r="AH442" s="214"/>
      <c r="AI442" s="214"/>
    </row>
    <row r="443">
      <c r="H443" s="221"/>
      <c r="I443" s="222"/>
      <c r="J443" s="217"/>
      <c r="K443" s="220"/>
      <c r="L443" s="213"/>
      <c r="M443" s="143"/>
      <c r="N443" s="213"/>
      <c r="O443" s="212"/>
      <c r="P443" s="212"/>
      <c r="Q443" s="143"/>
      <c r="R443" s="213"/>
      <c r="S443" s="212"/>
      <c r="T443" s="145"/>
      <c r="AB443" s="214" t="str">
        <f>IFERROR(__xludf.DUMMYFUNCTION("FILTER('설정시트'!$D$7:$L$20,'설정시트'!$C$7:$C$20=I443)"),"#N/A")</f>
        <v>#N/A</v>
      </c>
      <c r="AC443" s="214"/>
      <c r="AD443" s="214"/>
      <c r="AE443" s="214"/>
      <c r="AF443" s="214"/>
      <c r="AG443" s="214"/>
      <c r="AH443" s="214"/>
      <c r="AI443" s="214"/>
    </row>
    <row r="444">
      <c r="H444" s="221"/>
      <c r="I444" s="222"/>
      <c r="J444" s="217"/>
      <c r="K444" s="220"/>
      <c r="L444" s="213"/>
      <c r="M444" s="143"/>
      <c r="N444" s="213"/>
      <c r="O444" s="212"/>
      <c r="P444" s="212"/>
      <c r="Q444" s="143"/>
      <c r="R444" s="213"/>
      <c r="S444" s="212"/>
      <c r="T444" s="145"/>
      <c r="AB444" s="214" t="str">
        <f>IFERROR(__xludf.DUMMYFUNCTION("FILTER('설정시트'!$D$7:$L$20,'설정시트'!$C$7:$C$20=I444)"),"#N/A")</f>
        <v>#N/A</v>
      </c>
      <c r="AC444" s="214"/>
      <c r="AD444" s="214"/>
      <c r="AE444" s="214"/>
      <c r="AF444" s="214"/>
      <c r="AG444" s="214"/>
      <c r="AH444" s="214"/>
      <c r="AI444" s="214"/>
    </row>
    <row r="445">
      <c r="H445" s="221"/>
      <c r="I445" s="222"/>
      <c r="J445" s="217"/>
      <c r="K445" s="220"/>
      <c r="L445" s="213"/>
      <c r="M445" s="143"/>
      <c r="N445" s="213"/>
      <c r="O445" s="212"/>
      <c r="P445" s="212"/>
      <c r="Q445" s="143"/>
      <c r="R445" s="213"/>
      <c r="S445" s="212"/>
      <c r="T445" s="145"/>
      <c r="AB445" s="214" t="str">
        <f>IFERROR(__xludf.DUMMYFUNCTION("FILTER('설정시트'!$D$7:$L$20,'설정시트'!$C$7:$C$20=I445)"),"#N/A")</f>
        <v>#N/A</v>
      </c>
      <c r="AC445" s="214"/>
      <c r="AD445" s="214"/>
      <c r="AE445" s="214"/>
      <c r="AF445" s="214"/>
      <c r="AG445" s="214"/>
      <c r="AH445" s="214"/>
      <c r="AI445" s="214"/>
    </row>
    <row r="446">
      <c r="H446" s="221"/>
      <c r="I446" s="222"/>
      <c r="J446" s="217"/>
      <c r="K446" s="220"/>
      <c r="L446" s="213"/>
      <c r="M446" s="143"/>
      <c r="N446" s="213"/>
      <c r="O446" s="212"/>
      <c r="P446" s="212"/>
      <c r="Q446" s="143"/>
      <c r="R446" s="213"/>
      <c r="S446" s="212"/>
      <c r="T446" s="145"/>
      <c r="AB446" s="214" t="str">
        <f>IFERROR(__xludf.DUMMYFUNCTION("FILTER('설정시트'!$D$7:$L$20,'설정시트'!$C$7:$C$20=I446)"),"#N/A")</f>
        <v>#N/A</v>
      </c>
      <c r="AC446" s="214"/>
      <c r="AD446" s="214"/>
      <c r="AE446" s="214"/>
      <c r="AF446" s="214"/>
      <c r="AG446" s="214"/>
      <c r="AH446" s="214"/>
      <c r="AI446" s="214"/>
    </row>
    <row r="447">
      <c r="H447" s="221"/>
      <c r="I447" s="222"/>
      <c r="J447" s="217"/>
      <c r="K447" s="220"/>
      <c r="L447" s="213"/>
      <c r="M447" s="143"/>
      <c r="N447" s="213"/>
      <c r="O447" s="212"/>
      <c r="P447" s="212"/>
      <c r="Q447" s="143"/>
      <c r="R447" s="213"/>
      <c r="S447" s="212"/>
      <c r="T447" s="145"/>
      <c r="AB447" s="214" t="str">
        <f>IFERROR(__xludf.DUMMYFUNCTION("FILTER('설정시트'!$D$7:$L$20,'설정시트'!$C$7:$C$20=I447)"),"#N/A")</f>
        <v>#N/A</v>
      </c>
      <c r="AC447" s="214"/>
      <c r="AD447" s="214"/>
      <c r="AE447" s="214"/>
      <c r="AF447" s="214"/>
      <c r="AG447" s="214"/>
      <c r="AH447" s="214"/>
      <c r="AI447" s="214"/>
    </row>
    <row r="448">
      <c r="H448" s="221"/>
      <c r="I448" s="222"/>
      <c r="J448" s="217"/>
      <c r="K448" s="220"/>
      <c r="L448" s="213"/>
      <c r="M448" s="143"/>
      <c r="N448" s="213"/>
      <c r="O448" s="212"/>
      <c r="P448" s="212"/>
      <c r="Q448" s="143"/>
      <c r="R448" s="213"/>
      <c r="S448" s="212"/>
      <c r="T448" s="145"/>
      <c r="AB448" s="214" t="str">
        <f>IFERROR(__xludf.DUMMYFUNCTION("FILTER('설정시트'!$D$7:$L$20,'설정시트'!$C$7:$C$20=I448)"),"#N/A")</f>
        <v>#N/A</v>
      </c>
      <c r="AC448" s="214"/>
      <c r="AD448" s="214"/>
      <c r="AE448" s="214"/>
      <c r="AF448" s="214"/>
      <c r="AG448" s="214"/>
      <c r="AH448" s="214"/>
      <c r="AI448" s="214"/>
    </row>
    <row r="449">
      <c r="H449" s="221"/>
      <c r="I449" s="222"/>
      <c r="J449" s="217"/>
      <c r="K449" s="220"/>
      <c r="L449" s="213"/>
      <c r="M449" s="143"/>
      <c r="N449" s="213"/>
      <c r="O449" s="212"/>
      <c r="P449" s="212"/>
      <c r="Q449" s="143"/>
      <c r="R449" s="213"/>
      <c r="S449" s="212"/>
      <c r="T449" s="145"/>
      <c r="AB449" s="214" t="str">
        <f>IFERROR(__xludf.DUMMYFUNCTION("FILTER('설정시트'!$D$7:$L$20,'설정시트'!$C$7:$C$20=I449)"),"#N/A")</f>
        <v>#N/A</v>
      </c>
      <c r="AC449" s="214"/>
      <c r="AD449" s="214"/>
      <c r="AE449" s="214"/>
      <c r="AF449" s="214"/>
      <c r="AG449" s="214"/>
      <c r="AH449" s="214"/>
      <c r="AI449" s="214"/>
    </row>
    <row r="450">
      <c r="H450" s="221"/>
      <c r="I450" s="222"/>
      <c r="J450" s="217"/>
      <c r="K450" s="220"/>
      <c r="L450" s="213"/>
      <c r="M450" s="143"/>
      <c r="N450" s="213"/>
      <c r="O450" s="212"/>
      <c r="P450" s="212"/>
      <c r="Q450" s="143"/>
      <c r="R450" s="213"/>
      <c r="S450" s="212"/>
      <c r="T450" s="145"/>
      <c r="AB450" s="214" t="str">
        <f>IFERROR(__xludf.DUMMYFUNCTION("FILTER('설정시트'!$D$7:$L$20,'설정시트'!$C$7:$C$20=I450)"),"#N/A")</f>
        <v>#N/A</v>
      </c>
      <c r="AC450" s="214"/>
      <c r="AD450" s="214"/>
      <c r="AE450" s="214"/>
      <c r="AF450" s="214"/>
      <c r="AG450" s="214"/>
      <c r="AH450" s="214"/>
      <c r="AI450" s="214"/>
    </row>
    <row r="451">
      <c r="H451" s="221"/>
      <c r="I451" s="222"/>
      <c r="J451" s="217"/>
      <c r="K451" s="220"/>
      <c r="L451" s="213"/>
      <c r="M451" s="143"/>
      <c r="N451" s="213"/>
      <c r="O451" s="212"/>
      <c r="P451" s="212"/>
      <c r="Q451" s="143"/>
      <c r="R451" s="213"/>
      <c r="S451" s="212"/>
      <c r="T451" s="145"/>
      <c r="AB451" s="214" t="str">
        <f>IFERROR(__xludf.DUMMYFUNCTION("FILTER('설정시트'!$D$7:$L$20,'설정시트'!$C$7:$C$20=I451)"),"#N/A")</f>
        <v>#N/A</v>
      </c>
      <c r="AC451" s="214"/>
      <c r="AD451" s="214"/>
      <c r="AE451" s="214"/>
      <c r="AF451" s="214"/>
      <c r="AG451" s="214"/>
      <c r="AH451" s="214"/>
      <c r="AI451" s="214"/>
    </row>
    <row r="452">
      <c r="H452" s="221"/>
      <c r="I452" s="222"/>
      <c r="J452" s="217"/>
      <c r="K452" s="220"/>
      <c r="L452" s="213"/>
      <c r="M452" s="143"/>
      <c r="N452" s="213"/>
      <c r="O452" s="212"/>
      <c r="P452" s="212"/>
      <c r="Q452" s="143"/>
      <c r="R452" s="213"/>
      <c r="S452" s="212"/>
      <c r="T452" s="145"/>
      <c r="AB452" s="214" t="str">
        <f>IFERROR(__xludf.DUMMYFUNCTION("FILTER('설정시트'!$D$7:$L$20,'설정시트'!$C$7:$C$20=I452)"),"#N/A")</f>
        <v>#N/A</v>
      </c>
      <c r="AC452" s="214"/>
      <c r="AD452" s="214"/>
      <c r="AE452" s="214"/>
      <c r="AF452" s="214"/>
      <c r="AG452" s="214"/>
      <c r="AH452" s="214"/>
      <c r="AI452" s="214"/>
    </row>
    <row r="453">
      <c r="H453" s="221"/>
      <c r="I453" s="222"/>
      <c r="J453" s="217"/>
      <c r="K453" s="220"/>
      <c r="L453" s="213"/>
      <c r="M453" s="143"/>
      <c r="N453" s="213"/>
      <c r="O453" s="212"/>
      <c r="P453" s="212"/>
      <c r="Q453" s="143"/>
      <c r="R453" s="213"/>
      <c r="S453" s="212"/>
      <c r="T453" s="145"/>
      <c r="AB453" s="214" t="str">
        <f>IFERROR(__xludf.DUMMYFUNCTION("FILTER('설정시트'!$D$7:$L$20,'설정시트'!$C$7:$C$20=I453)"),"#N/A")</f>
        <v>#N/A</v>
      </c>
      <c r="AC453" s="214"/>
      <c r="AD453" s="214"/>
      <c r="AE453" s="214"/>
      <c r="AF453" s="214"/>
      <c r="AG453" s="214"/>
      <c r="AH453" s="214"/>
      <c r="AI453" s="214"/>
    </row>
    <row r="454">
      <c r="H454" s="221"/>
      <c r="I454" s="222"/>
      <c r="J454" s="217"/>
      <c r="K454" s="220"/>
      <c r="L454" s="213"/>
      <c r="M454" s="143"/>
      <c r="N454" s="213"/>
      <c r="O454" s="212"/>
      <c r="P454" s="212"/>
      <c r="Q454" s="143"/>
      <c r="R454" s="213"/>
      <c r="S454" s="212"/>
      <c r="T454" s="145"/>
      <c r="AB454" s="214" t="str">
        <f>IFERROR(__xludf.DUMMYFUNCTION("FILTER('설정시트'!$D$7:$L$20,'설정시트'!$C$7:$C$20=I454)"),"#N/A")</f>
        <v>#N/A</v>
      </c>
      <c r="AC454" s="214"/>
      <c r="AD454" s="214"/>
      <c r="AE454" s="214"/>
      <c r="AF454" s="214"/>
      <c r="AG454" s="214"/>
      <c r="AH454" s="214"/>
      <c r="AI454" s="214"/>
    </row>
    <row r="455">
      <c r="H455" s="221"/>
      <c r="I455" s="222"/>
      <c r="J455" s="217"/>
      <c r="K455" s="220"/>
      <c r="L455" s="213"/>
      <c r="M455" s="143"/>
      <c r="N455" s="213"/>
      <c r="O455" s="212"/>
      <c r="P455" s="212"/>
      <c r="Q455" s="143"/>
      <c r="R455" s="213"/>
      <c r="S455" s="212"/>
      <c r="T455" s="145"/>
      <c r="AB455" s="214" t="str">
        <f>IFERROR(__xludf.DUMMYFUNCTION("FILTER('설정시트'!$D$7:$L$20,'설정시트'!$C$7:$C$20=I455)"),"#N/A")</f>
        <v>#N/A</v>
      </c>
      <c r="AC455" s="214"/>
      <c r="AD455" s="214"/>
      <c r="AE455" s="214"/>
      <c r="AF455" s="214"/>
      <c r="AG455" s="214"/>
      <c r="AH455" s="214"/>
      <c r="AI455" s="214"/>
    </row>
    <row r="456">
      <c r="H456" s="221"/>
      <c r="I456" s="222"/>
      <c r="J456" s="217"/>
      <c r="K456" s="220"/>
      <c r="L456" s="213"/>
      <c r="M456" s="143"/>
      <c r="N456" s="213"/>
      <c r="O456" s="212"/>
      <c r="P456" s="212"/>
      <c r="Q456" s="143"/>
      <c r="R456" s="213"/>
      <c r="S456" s="212"/>
      <c r="T456" s="145"/>
      <c r="AB456" s="214" t="str">
        <f>IFERROR(__xludf.DUMMYFUNCTION("FILTER('설정시트'!$D$7:$L$20,'설정시트'!$C$7:$C$20=I456)"),"#N/A")</f>
        <v>#N/A</v>
      </c>
      <c r="AC456" s="214"/>
      <c r="AD456" s="214"/>
      <c r="AE456" s="214"/>
      <c r="AF456" s="214"/>
      <c r="AG456" s="214"/>
      <c r="AH456" s="214"/>
      <c r="AI456" s="214"/>
    </row>
    <row r="457">
      <c r="H457" s="221"/>
      <c r="I457" s="222"/>
      <c r="J457" s="217"/>
      <c r="K457" s="220"/>
      <c r="L457" s="213"/>
      <c r="M457" s="143"/>
      <c r="N457" s="213"/>
      <c r="O457" s="212"/>
      <c r="P457" s="212"/>
      <c r="Q457" s="143"/>
      <c r="R457" s="213"/>
      <c r="S457" s="212"/>
      <c r="T457" s="145"/>
      <c r="AB457" s="214" t="str">
        <f>IFERROR(__xludf.DUMMYFUNCTION("FILTER('설정시트'!$D$7:$L$20,'설정시트'!$C$7:$C$20=I457)"),"#N/A")</f>
        <v>#N/A</v>
      </c>
      <c r="AC457" s="214"/>
      <c r="AD457" s="214"/>
      <c r="AE457" s="214"/>
      <c r="AF457" s="214"/>
      <c r="AG457" s="214"/>
      <c r="AH457" s="214"/>
      <c r="AI457" s="214"/>
    </row>
    <row r="458">
      <c r="H458" s="221"/>
      <c r="I458" s="222"/>
      <c r="J458" s="217"/>
      <c r="K458" s="220"/>
      <c r="L458" s="213"/>
      <c r="M458" s="143"/>
      <c r="N458" s="213"/>
      <c r="O458" s="212"/>
      <c r="P458" s="212"/>
      <c r="Q458" s="143"/>
      <c r="R458" s="213"/>
      <c r="S458" s="212"/>
      <c r="T458" s="145"/>
      <c r="AB458" s="214" t="str">
        <f>IFERROR(__xludf.DUMMYFUNCTION("FILTER('설정시트'!$D$7:$L$20,'설정시트'!$C$7:$C$20=I458)"),"#N/A")</f>
        <v>#N/A</v>
      </c>
      <c r="AC458" s="214"/>
      <c r="AD458" s="214"/>
      <c r="AE458" s="214"/>
      <c r="AF458" s="214"/>
      <c r="AG458" s="214"/>
      <c r="AH458" s="214"/>
      <c r="AI458" s="214"/>
    </row>
    <row r="459">
      <c r="H459" s="221"/>
      <c r="I459" s="222"/>
      <c r="J459" s="217"/>
      <c r="K459" s="220"/>
      <c r="L459" s="213"/>
      <c r="M459" s="143"/>
      <c r="N459" s="213"/>
      <c r="O459" s="212"/>
      <c r="P459" s="212"/>
      <c r="Q459" s="143"/>
      <c r="R459" s="213"/>
      <c r="S459" s="212"/>
      <c r="T459" s="145"/>
      <c r="AB459" s="214" t="str">
        <f>IFERROR(__xludf.DUMMYFUNCTION("FILTER('설정시트'!$D$7:$L$20,'설정시트'!$C$7:$C$20=I459)"),"#N/A")</f>
        <v>#N/A</v>
      </c>
      <c r="AC459" s="214"/>
      <c r="AD459" s="214"/>
      <c r="AE459" s="214"/>
      <c r="AF459" s="214"/>
      <c r="AG459" s="214"/>
      <c r="AH459" s="214"/>
      <c r="AI459" s="214"/>
    </row>
    <row r="460">
      <c r="H460" s="221"/>
      <c r="I460" s="222"/>
      <c r="J460" s="217"/>
      <c r="K460" s="220"/>
      <c r="L460" s="213"/>
      <c r="M460" s="143"/>
      <c r="N460" s="213"/>
      <c r="O460" s="212"/>
      <c r="P460" s="212"/>
      <c r="Q460" s="143"/>
      <c r="R460" s="213"/>
      <c r="S460" s="212"/>
      <c r="T460" s="145"/>
      <c r="AB460" s="214" t="str">
        <f>IFERROR(__xludf.DUMMYFUNCTION("FILTER('설정시트'!$D$7:$L$20,'설정시트'!$C$7:$C$20=I460)"),"#N/A")</f>
        <v>#N/A</v>
      </c>
      <c r="AC460" s="214"/>
      <c r="AD460" s="214"/>
      <c r="AE460" s="214"/>
      <c r="AF460" s="214"/>
      <c r="AG460" s="214"/>
      <c r="AH460" s="214"/>
      <c r="AI460" s="214"/>
    </row>
    <row r="461">
      <c r="H461" s="221"/>
      <c r="I461" s="222"/>
      <c r="J461" s="217"/>
      <c r="K461" s="220"/>
      <c r="L461" s="213"/>
      <c r="M461" s="143"/>
      <c r="N461" s="213"/>
      <c r="O461" s="212"/>
      <c r="P461" s="212"/>
      <c r="Q461" s="143"/>
      <c r="R461" s="213"/>
      <c r="S461" s="212"/>
      <c r="T461" s="145"/>
      <c r="AB461" s="214" t="str">
        <f>IFERROR(__xludf.DUMMYFUNCTION("FILTER('설정시트'!$D$7:$L$20,'설정시트'!$C$7:$C$20=I461)"),"#N/A")</f>
        <v>#N/A</v>
      </c>
      <c r="AC461" s="214"/>
      <c r="AD461" s="214"/>
      <c r="AE461" s="214"/>
      <c r="AF461" s="214"/>
      <c r="AG461" s="214"/>
      <c r="AH461" s="214"/>
      <c r="AI461" s="214"/>
    </row>
    <row r="462">
      <c r="H462" s="221"/>
      <c r="I462" s="222"/>
      <c r="J462" s="217"/>
      <c r="K462" s="220"/>
      <c r="L462" s="213"/>
      <c r="M462" s="143"/>
      <c r="N462" s="213"/>
      <c r="O462" s="212"/>
      <c r="P462" s="212"/>
      <c r="Q462" s="143"/>
      <c r="R462" s="213"/>
      <c r="S462" s="212"/>
      <c r="T462" s="145"/>
      <c r="AB462" s="214" t="str">
        <f>IFERROR(__xludf.DUMMYFUNCTION("FILTER('설정시트'!$D$7:$L$20,'설정시트'!$C$7:$C$20=I462)"),"#N/A")</f>
        <v>#N/A</v>
      </c>
      <c r="AC462" s="214"/>
      <c r="AD462" s="214"/>
      <c r="AE462" s="214"/>
      <c r="AF462" s="214"/>
      <c r="AG462" s="214"/>
      <c r="AH462" s="214"/>
      <c r="AI462" s="214"/>
    </row>
    <row r="463">
      <c r="H463" s="221"/>
      <c r="I463" s="222"/>
      <c r="J463" s="217"/>
      <c r="K463" s="220"/>
      <c r="L463" s="213"/>
      <c r="M463" s="143"/>
      <c r="N463" s="213"/>
      <c r="O463" s="212"/>
      <c r="P463" s="212"/>
      <c r="Q463" s="143"/>
      <c r="R463" s="213"/>
      <c r="S463" s="212"/>
      <c r="T463" s="145"/>
      <c r="AB463" s="214" t="str">
        <f>IFERROR(__xludf.DUMMYFUNCTION("FILTER('설정시트'!$D$7:$L$20,'설정시트'!$C$7:$C$20=I463)"),"#N/A")</f>
        <v>#N/A</v>
      </c>
      <c r="AC463" s="214"/>
      <c r="AD463" s="214"/>
      <c r="AE463" s="214"/>
      <c r="AF463" s="214"/>
      <c r="AG463" s="214"/>
      <c r="AH463" s="214"/>
      <c r="AI463" s="214"/>
    </row>
    <row r="464">
      <c r="H464" s="221"/>
      <c r="I464" s="222"/>
      <c r="J464" s="217"/>
      <c r="K464" s="220"/>
      <c r="L464" s="213"/>
      <c r="M464" s="143"/>
      <c r="N464" s="213"/>
      <c r="O464" s="212"/>
      <c r="P464" s="212"/>
      <c r="Q464" s="143"/>
      <c r="R464" s="213"/>
      <c r="S464" s="212"/>
      <c r="T464" s="145"/>
      <c r="AB464" s="214" t="str">
        <f>IFERROR(__xludf.DUMMYFUNCTION("FILTER('설정시트'!$D$7:$L$20,'설정시트'!$C$7:$C$20=I464)"),"#N/A")</f>
        <v>#N/A</v>
      </c>
      <c r="AC464" s="214"/>
      <c r="AD464" s="214"/>
      <c r="AE464" s="214"/>
      <c r="AF464" s="214"/>
      <c r="AG464" s="214"/>
      <c r="AH464" s="214"/>
      <c r="AI464" s="214"/>
    </row>
    <row r="465">
      <c r="H465" s="221"/>
      <c r="I465" s="222"/>
      <c r="J465" s="217"/>
      <c r="K465" s="220"/>
      <c r="L465" s="213"/>
      <c r="M465" s="143"/>
      <c r="N465" s="213"/>
      <c r="O465" s="212"/>
      <c r="P465" s="212"/>
      <c r="Q465" s="143"/>
      <c r="R465" s="213"/>
      <c r="S465" s="212"/>
      <c r="T465" s="145"/>
      <c r="AB465" s="214" t="str">
        <f>IFERROR(__xludf.DUMMYFUNCTION("FILTER('설정시트'!$D$7:$L$20,'설정시트'!$C$7:$C$20=I465)"),"#N/A")</f>
        <v>#N/A</v>
      </c>
      <c r="AC465" s="214"/>
      <c r="AD465" s="214"/>
      <c r="AE465" s="214"/>
      <c r="AF465" s="214"/>
      <c r="AG465" s="214"/>
      <c r="AH465" s="214"/>
      <c r="AI465" s="214"/>
    </row>
    <row r="466">
      <c r="H466" s="221"/>
      <c r="I466" s="222"/>
      <c r="J466" s="217"/>
      <c r="K466" s="220"/>
      <c r="L466" s="213"/>
      <c r="M466" s="143"/>
      <c r="N466" s="213"/>
      <c r="O466" s="212"/>
      <c r="P466" s="212"/>
      <c r="Q466" s="143"/>
      <c r="R466" s="213"/>
      <c r="S466" s="212"/>
      <c r="T466" s="145"/>
      <c r="AB466" s="214" t="str">
        <f>IFERROR(__xludf.DUMMYFUNCTION("FILTER('설정시트'!$D$7:$L$20,'설정시트'!$C$7:$C$20=I466)"),"#N/A")</f>
        <v>#N/A</v>
      </c>
      <c r="AC466" s="214"/>
      <c r="AD466" s="214"/>
      <c r="AE466" s="214"/>
      <c r="AF466" s="214"/>
      <c r="AG466" s="214"/>
      <c r="AH466" s="214"/>
      <c r="AI466" s="214"/>
    </row>
    <row r="467">
      <c r="H467" s="221"/>
      <c r="I467" s="222"/>
      <c r="J467" s="217"/>
      <c r="K467" s="220"/>
      <c r="L467" s="213"/>
      <c r="M467" s="143"/>
      <c r="N467" s="213"/>
      <c r="O467" s="212"/>
      <c r="P467" s="212"/>
      <c r="Q467" s="143"/>
      <c r="R467" s="213"/>
      <c r="S467" s="212"/>
      <c r="T467" s="145"/>
      <c r="AB467" s="214" t="str">
        <f>IFERROR(__xludf.DUMMYFUNCTION("FILTER('설정시트'!$D$7:$L$20,'설정시트'!$C$7:$C$20=I467)"),"#N/A")</f>
        <v>#N/A</v>
      </c>
      <c r="AC467" s="214"/>
      <c r="AD467" s="214"/>
      <c r="AE467" s="214"/>
      <c r="AF467" s="214"/>
      <c r="AG467" s="214"/>
      <c r="AH467" s="214"/>
      <c r="AI467" s="214"/>
    </row>
    <row r="468">
      <c r="H468" s="221"/>
      <c r="I468" s="222"/>
      <c r="J468" s="217"/>
      <c r="K468" s="220"/>
      <c r="L468" s="213"/>
      <c r="M468" s="143"/>
      <c r="N468" s="213"/>
      <c r="O468" s="212"/>
      <c r="P468" s="212"/>
      <c r="Q468" s="143"/>
      <c r="R468" s="213"/>
      <c r="S468" s="212"/>
      <c r="T468" s="145"/>
      <c r="AB468" s="214" t="str">
        <f>IFERROR(__xludf.DUMMYFUNCTION("FILTER('설정시트'!$D$7:$L$20,'설정시트'!$C$7:$C$20=I468)"),"#N/A")</f>
        <v>#N/A</v>
      </c>
      <c r="AC468" s="214"/>
      <c r="AD468" s="214"/>
      <c r="AE468" s="214"/>
      <c r="AF468" s="214"/>
      <c r="AG468" s="214"/>
      <c r="AH468" s="214"/>
      <c r="AI468" s="214"/>
    </row>
    <row r="469">
      <c r="H469" s="221"/>
      <c r="I469" s="222"/>
      <c r="J469" s="217"/>
      <c r="K469" s="220"/>
      <c r="L469" s="213"/>
      <c r="M469" s="143"/>
      <c r="N469" s="213"/>
      <c r="O469" s="212"/>
      <c r="P469" s="212"/>
      <c r="Q469" s="143"/>
      <c r="R469" s="213"/>
      <c r="S469" s="212"/>
      <c r="T469" s="145"/>
      <c r="AB469" s="214" t="str">
        <f>IFERROR(__xludf.DUMMYFUNCTION("FILTER('설정시트'!$D$7:$L$20,'설정시트'!$C$7:$C$20=I469)"),"#N/A")</f>
        <v>#N/A</v>
      </c>
      <c r="AC469" s="214"/>
      <c r="AD469" s="214"/>
      <c r="AE469" s="214"/>
      <c r="AF469" s="214"/>
      <c r="AG469" s="214"/>
      <c r="AH469" s="214"/>
      <c r="AI469" s="214"/>
    </row>
    <row r="470">
      <c r="H470" s="221"/>
      <c r="I470" s="222"/>
      <c r="J470" s="217"/>
      <c r="K470" s="220"/>
      <c r="L470" s="213"/>
      <c r="M470" s="143"/>
      <c r="N470" s="213"/>
      <c r="O470" s="212"/>
      <c r="P470" s="212"/>
      <c r="Q470" s="143"/>
      <c r="R470" s="213"/>
      <c r="S470" s="212"/>
      <c r="T470" s="145"/>
      <c r="AB470" s="214" t="str">
        <f>IFERROR(__xludf.DUMMYFUNCTION("FILTER('설정시트'!$D$7:$L$20,'설정시트'!$C$7:$C$20=I470)"),"#N/A")</f>
        <v>#N/A</v>
      </c>
      <c r="AC470" s="214"/>
      <c r="AD470" s="214"/>
      <c r="AE470" s="214"/>
      <c r="AF470" s="214"/>
      <c r="AG470" s="214"/>
      <c r="AH470" s="214"/>
      <c r="AI470" s="214"/>
    </row>
    <row r="471">
      <c r="H471" s="221"/>
      <c r="I471" s="222"/>
      <c r="J471" s="217"/>
      <c r="K471" s="220"/>
      <c r="L471" s="213"/>
      <c r="M471" s="143"/>
      <c r="N471" s="213"/>
      <c r="O471" s="212"/>
      <c r="P471" s="212"/>
      <c r="Q471" s="143"/>
      <c r="R471" s="213"/>
      <c r="S471" s="212"/>
      <c r="T471" s="145"/>
      <c r="AB471" s="214" t="str">
        <f>IFERROR(__xludf.DUMMYFUNCTION("FILTER('설정시트'!$D$7:$L$20,'설정시트'!$C$7:$C$20=I471)"),"#N/A")</f>
        <v>#N/A</v>
      </c>
      <c r="AC471" s="214"/>
      <c r="AD471" s="214"/>
      <c r="AE471" s="214"/>
      <c r="AF471" s="214"/>
      <c r="AG471" s="214"/>
      <c r="AH471" s="214"/>
      <c r="AI471" s="214"/>
    </row>
    <row r="472">
      <c r="H472" s="221"/>
      <c r="I472" s="222"/>
      <c r="J472" s="217"/>
      <c r="K472" s="220"/>
      <c r="L472" s="213"/>
      <c r="M472" s="143"/>
      <c r="N472" s="213"/>
      <c r="O472" s="212"/>
      <c r="P472" s="212"/>
      <c r="Q472" s="143"/>
      <c r="R472" s="213"/>
      <c r="S472" s="212"/>
      <c r="T472" s="145"/>
      <c r="AB472" s="214" t="str">
        <f>IFERROR(__xludf.DUMMYFUNCTION("FILTER('설정시트'!$D$7:$L$20,'설정시트'!$C$7:$C$20=I472)"),"#N/A")</f>
        <v>#N/A</v>
      </c>
      <c r="AC472" s="214"/>
      <c r="AD472" s="214"/>
      <c r="AE472" s="214"/>
      <c r="AF472" s="214"/>
      <c r="AG472" s="214"/>
      <c r="AH472" s="214"/>
      <c r="AI472" s="214"/>
    </row>
    <row r="473">
      <c r="H473" s="221"/>
      <c r="I473" s="222"/>
      <c r="J473" s="217"/>
      <c r="K473" s="220"/>
      <c r="L473" s="213"/>
      <c r="M473" s="143"/>
      <c r="N473" s="213"/>
      <c r="O473" s="212"/>
      <c r="P473" s="212"/>
      <c r="Q473" s="143"/>
      <c r="R473" s="213"/>
      <c r="S473" s="212"/>
      <c r="T473" s="145"/>
      <c r="AB473" s="214" t="str">
        <f>IFERROR(__xludf.DUMMYFUNCTION("FILTER('설정시트'!$D$7:$L$20,'설정시트'!$C$7:$C$20=I473)"),"#N/A")</f>
        <v>#N/A</v>
      </c>
      <c r="AC473" s="214"/>
      <c r="AD473" s="214"/>
      <c r="AE473" s="214"/>
      <c r="AF473" s="214"/>
      <c r="AG473" s="214"/>
      <c r="AH473" s="214"/>
      <c r="AI473" s="214"/>
    </row>
    <row r="474">
      <c r="H474" s="221"/>
      <c r="I474" s="222"/>
      <c r="J474" s="217"/>
      <c r="K474" s="220"/>
      <c r="L474" s="213"/>
      <c r="M474" s="143"/>
      <c r="N474" s="213"/>
      <c r="O474" s="212"/>
      <c r="P474" s="212"/>
      <c r="Q474" s="143"/>
      <c r="R474" s="213"/>
      <c r="S474" s="212"/>
      <c r="T474" s="145"/>
      <c r="AB474" s="214" t="str">
        <f>IFERROR(__xludf.DUMMYFUNCTION("FILTER('설정시트'!$D$7:$L$20,'설정시트'!$C$7:$C$20=I474)"),"#N/A")</f>
        <v>#N/A</v>
      </c>
      <c r="AC474" s="214"/>
      <c r="AD474" s="214"/>
      <c r="AE474" s="214"/>
      <c r="AF474" s="214"/>
      <c r="AG474" s="214"/>
      <c r="AH474" s="214"/>
      <c r="AI474" s="214"/>
    </row>
    <row r="475">
      <c r="H475" s="221"/>
      <c r="I475" s="222"/>
      <c r="J475" s="217"/>
      <c r="K475" s="220"/>
      <c r="L475" s="213"/>
      <c r="M475" s="143"/>
      <c r="N475" s="213"/>
      <c r="O475" s="212"/>
      <c r="P475" s="212"/>
      <c r="Q475" s="143"/>
      <c r="R475" s="213"/>
      <c r="S475" s="212"/>
      <c r="T475" s="145"/>
      <c r="AB475" s="214" t="str">
        <f>IFERROR(__xludf.DUMMYFUNCTION("FILTER('설정시트'!$D$7:$L$20,'설정시트'!$C$7:$C$20=I475)"),"#N/A")</f>
        <v>#N/A</v>
      </c>
      <c r="AC475" s="214"/>
      <c r="AD475" s="214"/>
      <c r="AE475" s="214"/>
      <c r="AF475" s="214"/>
      <c r="AG475" s="214"/>
      <c r="AH475" s="214"/>
      <c r="AI475" s="214"/>
    </row>
    <row r="476">
      <c r="H476" s="221"/>
      <c r="I476" s="222"/>
      <c r="J476" s="217"/>
      <c r="K476" s="220"/>
      <c r="L476" s="213"/>
      <c r="M476" s="143"/>
      <c r="N476" s="213"/>
      <c r="O476" s="212"/>
      <c r="P476" s="212"/>
      <c r="Q476" s="143"/>
      <c r="R476" s="213"/>
      <c r="S476" s="212"/>
      <c r="T476" s="145"/>
      <c r="AB476" s="214" t="str">
        <f>IFERROR(__xludf.DUMMYFUNCTION("FILTER('설정시트'!$D$7:$L$20,'설정시트'!$C$7:$C$20=I476)"),"#N/A")</f>
        <v>#N/A</v>
      </c>
      <c r="AC476" s="214"/>
      <c r="AD476" s="214"/>
      <c r="AE476" s="214"/>
      <c r="AF476" s="214"/>
      <c r="AG476" s="214"/>
      <c r="AH476" s="214"/>
      <c r="AI476" s="214"/>
    </row>
    <row r="477">
      <c r="H477" s="221"/>
      <c r="I477" s="222"/>
      <c r="J477" s="217"/>
      <c r="K477" s="220"/>
      <c r="L477" s="213"/>
      <c r="M477" s="143"/>
      <c r="N477" s="213"/>
      <c r="O477" s="212"/>
      <c r="P477" s="212"/>
      <c r="Q477" s="143"/>
      <c r="R477" s="213"/>
      <c r="S477" s="212"/>
      <c r="T477" s="145"/>
      <c r="AB477" s="214" t="str">
        <f>IFERROR(__xludf.DUMMYFUNCTION("FILTER('설정시트'!$D$7:$L$20,'설정시트'!$C$7:$C$20=I477)"),"#N/A")</f>
        <v>#N/A</v>
      </c>
      <c r="AC477" s="214"/>
      <c r="AD477" s="214"/>
      <c r="AE477" s="214"/>
      <c r="AF477" s="214"/>
      <c r="AG477" s="214"/>
      <c r="AH477" s="214"/>
      <c r="AI477" s="214"/>
    </row>
    <row r="478">
      <c r="H478" s="221"/>
      <c r="I478" s="222"/>
      <c r="J478" s="217"/>
      <c r="K478" s="220"/>
      <c r="L478" s="213"/>
      <c r="M478" s="143"/>
      <c r="N478" s="213"/>
      <c r="O478" s="212"/>
      <c r="P478" s="212"/>
      <c r="Q478" s="143"/>
      <c r="R478" s="213"/>
      <c r="S478" s="212"/>
      <c r="T478" s="145"/>
      <c r="AB478" s="214" t="str">
        <f>IFERROR(__xludf.DUMMYFUNCTION("FILTER('설정시트'!$D$7:$L$20,'설정시트'!$C$7:$C$20=I478)"),"#N/A")</f>
        <v>#N/A</v>
      </c>
      <c r="AC478" s="214"/>
      <c r="AD478" s="214"/>
      <c r="AE478" s="214"/>
      <c r="AF478" s="214"/>
      <c r="AG478" s="214"/>
      <c r="AH478" s="214"/>
      <c r="AI478" s="214"/>
    </row>
    <row r="479">
      <c r="H479" s="221"/>
      <c r="I479" s="222"/>
      <c r="J479" s="217"/>
      <c r="K479" s="220"/>
      <c r="L479" s="213"/>
      <c r="M479" s="143"/>
      <c r="N479" s="213"/>
      <c r="O479" s="212"/>
      <c r="P479" s="212"/>
      <c r="Q479" s="143"/>
      <c r="R479" s="213"/>
      <c r="S479" s="212"/>
      <c r="T479" s="145"/>
      <c r="AB479" s="214" t="str">
        <f>IFERROR(__xludf.DUMMYFUNCTION("FILTER('설정시트'!$D$7:$L$20,'설정시트'!$C$7:$C$20=I479)"),"#N/A")</f>
        <v>#N/A</v>
      </c>
      <c r="AC479" s="214"/>
      <c r="AD479" s="214"/>
      <c r="AE479" s="214"/>
      <c r="AF479" s="214"/>
      <c r="AG479" s="214"/>
      <c r="AH479" s="214"/>
      <c r="AI479" s="214"/>
    </row>
    <row r="480">
      <c r="H480" s="221"/>
      <c r="I480" s="222"/>
      <c r="J480" s="217"/>
      <c r="K480" s="220"/>
      <c r="L480" s="213"/>
      <c r="M480" s="143"/>
      <c r="N480" s="213"/>
      <c r="O480" s="212"/>
      <c r="P480" s="212"/>
      <c r="Q480" s="143"/>
      <c r="R480" s="213"/>
      <c r="S480" s="212"/>
      <c r="T480" s="145"/>
      <c r="AB480" s="214" t="str">
        <f>IFERROR(__xludf.DUMMYFUNCTION("FILTER('설정시트'!$D$7:$L$20,'설정시트'!$C$7:$C$20=I480)"),"#N/A")</f>
        <v>#N/A</v>
      </c>
      <c r="AC480" s="214"/>
      <c r="AD480" s="214"/>
      <c r="AE480" s="214"/>
      <c r="AF480" s="214"/>
      <c r="AG480" s="214"/>
      <c r="AH480" s="214"/>
      <c r="AI480" s="214"/>
    </row>
    <row r="481">
      <c r="H481" s="221"/>
      <c r="I481" s="222"/>
      <c r="J481" s="217"/>
      <c r="K481" s="220"/>
      <c r="L481" s="213"/>
      <c r="M481" s="143"/>
      <c r="N481" s="213"/>
      <c r="O481" s="212"/>
      <c r="P481" s="212"/>
      <c r="Q481" s="143"/>
      <c r="R481" s="213"/>
      <c r="S481" s="212"/>
      <c r="T481" s="145"/>
      <c r="AB481" s="214" t="str">
        <f>IFERROR(__xludf.DUMMYFUNCTION("FILTER('설정시트'!$D$7:$L$20,'설정시트'!$C$7:$C$20=I481)"),"#N/A")</f>
        <v>#N/A</v>
      </c>
      <c r="AC481" s="214"/>
      <c r="AD481" s="214"/>
      <c r="AE481" s="214"/>
      <c r="AF481" s="214"/>
      <c r="AG481" s="214"/>
      <c r="AH481" s="214"/>
      <c r="AI481" s="214"/>
    </row>
    <row r="482">
      <c r="H482" s="221"/>
      <c r="I482" s="222"/>
      <c r="J482" s="217"/>
      <c r="K482" s="220"/>
      <c r="L482" s="213"/>
      <c r="M482" s="143"/>
      <c r="N482" s="213"/>
      <c r="O482" s="212"/>
      <c r="P482" s="212"/>
      <c r="Q482" s="143"/>
      <c r="R482" s="213"/>
      <c r="S482" s="212"/>
      <c r="T482" s="145"/>
      <c r="AB482" s="214" t="str">
        <f>IFERROR(__xludf.DUMMYFUNCTION("FILTER('설정시트'!$D$7:$L$20,'설정시트'!$C$7:$C$20=I482)"),"#N/A")</f>
        <v>#N/A</v>
      </c>
      <c r="AC482" s="214"/>
      <c r="AD482" s="214"/>
      <c r="AE482" s="214"/>
      <c r="AF482" s="214"/>
      <c r="AG482" s="214"/>
      <c r="AH482" s="214"/>
      <c r="AI482" s="214"/>
    </row>
    <row r="483">
      <c r="H483" s="221"/>
      <c r="I483" s="222"/>
      <c r="J483" s="217"/>
      <c r="K483" s="220"/>
      <c r="L483" s="213"/>
      <c r="M483" s="143"/>
      <c r="N483" s="213"/>
      <c r="O483" s="212"/>
      <c r="P483" s="212"/>
      <c r="Q483" s="143"/>
      <c r="R483" s="213"/>
      <c r="S483" s="212"/>
      <c r="T483" s="145"/>
      <c r="AB483" s="214" t="str">
        <f>IFERROR(__xludf.DUMMYFUNCTION("FILTER('설정시트'!$D$7:$L$20,'설정시트'!$C$7:$C$20=I483)"),"#N/A")</f>
        <v>#N/A</v>
      </c>
      <c r="AC483" s="214"/>
      <c r="AD483" s="214"/>
      <c r="AE483" s="214"/>
      <c r="AF483" s="214"/>
      <c r="AG483" s="214"/>
      <c r="AH483" s="214"/>
      <c r="AI483" s="214"/>
    </row>
    <row r="484">
      <c r="H484" s="221"/>
      <c r="I484" s="222"/>
      <c r="J484" s="217"/>
      <c r="K484" s="220"/>
      <c r="L484" s="213"/>
      <c r="M484" s="143"/>
      <c r="N484" s="213"/>
      <c r="O484" s="212"/>
      <c r="P484" s="212"/>
      <c r="Q484" s="143"/>
      <c r="R484" s="213"/>
      <c r="S484" s="212"/>
      <c r="T484" s="145"/>
      <c r="AB484" s="214" t="str">
        <f>IFERROR(__xludf.DUMMYFUNCTION("FILTER('설정시트'!$D$7:$L$20,'설정시트'!$C$7:$C$20=I484)"),"#N/A")</f>
        <v>#N/A</v>
      </c>
      <c r="AC484" s="214"/>
      <c r="AD484" s="214"/>
      <c r="AE484" s="214"/>
      <c r="AF484" s="214"/>
      <c r="AG484" s="214"/>
      <c r="AH484" s="214"/>
      <c r="AI484" s="214"/>
    </row>
    <row r="485">
      <c r="H485" s="221"/>
      <c r="I485" s="222"/>
      <c r="J485" s="217"/>
      <c r="K485" s="220"/>
      <c r="L485" s="213"/>
      <c r="M485" s="143"/>
      <c r="N485" s="213"/>
      <c r="O485" s="212"/>
      <c r="P485" s="212"/>
      <c r="Q485" s="143"/>
      <c r="R485" s="213"/>
      <c r="S485" s="212"/>
      <c r="T485" s="145"/>
      <c r="AB485" s="214" t="str">
        <f>IFERROR(__xludf.DUMMYFUNCTION("FILTER('설정시트'!$D$7:$L$20,'설정시트'!$C$7:$C$20=I485)"),"#N/A")</f>
        <v>#N/A</v>
      </c>
      <c r="AC485" s="214"/>
      <c r="AD485" s="214"/>
      <c r="AE485" s="214"/>
      <c r="AF485" s="214"/>
      <c r="AG485" s="214"/>
      <c r="AH485" s="214"/>
      <c r="AI485" s="214"/>
    </row>
    <row r="486">
      <c r="H486" s="221"/>
      <c r="I486" s="222"/>
      <c r="J486" s="217"/>
      <c r="K486" s="220"/>
      <c r="L486" s="213"/>
      <c r="M486" s="143"/>
      <c r="N486" s="213"/>
      <c r="O486" s="212"/>
      <c r="P486" s="212"/>
      <c r="Q486" s="143"/>
      <c r="R486" s="213"/>
      <c r="S486" s="212"/>
      <c r="T486" s="145"/>
      <c r="AB486" s="214" t="str">
        <f>IFERROR(__xludf.DUMMYFUNCTION("FILTER('설정시트'!$D$7:$L$20,'설정시트'!$C$7:$C$20=I486)"),"#N/A")</f>
        <v>#N/A</v>
      </c>
      <c r="AC486" s="214"/>
      <c r="AD486" s="214"/>
      <c r="AE486" s="214"/>
      <c r="AF486" s="214"/>
      <c r="AG486" s="214"/>
      <c r="AH486" s="214"/>
      <c r="AI486" s="214"/>
    </row>
    <row r="487">
      <c r="H487" s="221"/>
      <c r="I487" s="222"/>
      <c r="J487" s="217"/>
      <c r="K487" s="220"/>
      <c r="L487" s="213"/>
      <c r="M487" s="143"/>
      <c r="N487" s="213"/>
      <c r="O487" s="212"/>
      <c r="P487" s="212"/>
      <c r="Q487" s="143"/>
      <c r="R487" s="213"/>
      <c r="S487" s="212"/>
      <c r="T487" s="145"/>
      <c r="AB487" s="214" t="str">
        <f>IFERROR(__xludf.DUMMYFUNCTION("FILTER('설정시트'!$D$7:$L$20,'설정시트'!$C$7:$C$20=I487)"),"#N/A")</f>
        <v>#N/A</v>
      </c>
      <c r="AC487" s="214"/>
      <c r="AD487" s="214"/>
      <c r="AE487" s="214"/>
      <c r="AF487" s="214"/>
      <c r="AG487" s="214"/>
      <c r="AH487" s="214"/>
      <c r="AI487" s="214"/>
    </row>
    <row r="488">
      <c r="H488" s="221"/>
      <c r="I488" s="222"/>
      <c r="J488" s="217"/>
      <c r="K488" s="220"/>
      <c r="L488" s="213"/>
      <c r="M488" s="143"/>
      <c r="N488" s="213"/>
      <c r="O488" s="212"/>
      <c r="P488" s="212"/>
      <c r="Q488" s="143"/>
      <c r="R488" s="213"/>
      <c r="S488" s="212"/>
      <c r="T488" s="145"/>
      <c r="AB488" s="214" t="str">
        <f>IFERROR(__xludf.DUMMYFUNCTION("FILTER('설정시트'!$D$7:$L$20,'설정시트'!$C$7:$C$20=I488)"),"#N/A")</f>
        <v>#N/A</v>
      </c>
      <c r="AC488" s="214"/>
      <c r="AD488" s="214"/>
      <c r="AE488" s="214"/>
      <c r="AF488" s="214"/>
      <c r="AG488" s="214"/>
      <c r="AH488" s="214"/>
      <c r="AI488" s="214"/>
    </row>
    <row r="489">
      <c r="H489" s="221"/>
      <c r="I489" s="222"/>
      <c r="J489" s="217"/>
      <c r="K489" s="220"/>
      <c r="L489" s="213"/>
      <c r="M489" s="143"/>
      <c r="N489" s="213"/>
      <c r="O489" s="212"/>
      <c r="P489" s="212"/>
      <c r="Q489" s="143"/>
      <c r="R489" s="213"/>
      <c r="S489" s="212"/>
      <c r="T489" s="145"/>
      <c r="AB489" s="214" t="str">
        <f>IFERROR(__xludf.DUMMYFUNCTION("FILTER('설정시트'!$D$7:$L$20,'설정시트'!$C$7:$C$20=I489)"),"#N/A")</f>
        <v>#N/A</v>
      </c>
      <c r="AC489" s="214"/>
      <c r="AD489" s="214"/>
      <c r="AE489" s="214"/>
      <c r="AF489" s="214"/>
      <c r="AG489" s="214"/>
      <c r="AH489" s="214"/>
      <c r="AI489" s="214"/>
    </row>
    <row r="490">
      <c r="H490" s="221"/>
      <c r="I490" s="222"/>
      <c r="J490" s="217"/>
      <c r="K490" s="220"/>
      <c r="L490" s="213"/>
      <c r="M490" s="143"/>
      <c r="N490" s="213"/>
      <c r="O490" s="212"/>
      <c r="P490" s="212"/>
      <c r="Q490" s="143"/>
      <c r="R490" s="213"/>
      <c r="S490" s="212"/>
      <c r="T490" s="145"/>
      <c r="AB490" s="214" t="str">
        <f>IFERROR(__xludf.DUMMYFUNCTION("FILTER('설정시트'!$D$7:$L$20,'설정시트'!$C$7:$C$20=I490)"),"#N/A")</f>
        <v>#N/A</v>
      </c>
      <c r="AC490" s="214"/>
      <c r="AD490" s="214"/>
      <c r="AE490" s="214"/>
      <c r="AF490" s="214"/>
      <c r="AG490" s="214"/>
      <c r="AH490" s="214"/>
      <c r="AI490" s="214"/>
    </row>
    <row r="491">
      <c r="H491" s="221"/>
      <c r="I491" s="222"/>
      <c r="J491" s="217"/>
      <c r="K491" s="220"/>
      <c r="L491" s="213"/>
      <c r="M491" s="143"/>
      <c r="N491" s="213"/>
      <c r="O491" s="212"/>
      <c r="P491" s="212"/>
      <c r="Q491" s="143"/>
      <c r="R491" s="213"/>
      <c r="S491" s="212"/>
      <c r="T491" s="145"/>
      <c r="AB491" s="214" t="str">
        <f>IFERROR(__xludf.DUMMYFUNCTION("FILTER('설정시트'!$D$7:$L$20,'설정시트'!$C$7:$C$20=I491)"),"#N/A")</f>
        <v>#N/A</v>
      </c>
      <c r="AC491" s="214"/>
      <c r="AD491" s="214"/>
      <c r="AE491" s="214"/>
      <c r="AF491" s="214"/>
      <c r="AG491" s="214"/>
      <c r="AH491" s="214"/>
      <c r="AI491" s="214"/>
    </row>
    <row r="492">
      <c r="H492" s="221"/>
      <c r="I492" s="222"/>
      <c r="J492" s="217"/>
      <c r="K492" s="220"/>
      <c r="L492" s="213"/>
      <c r="M492" s="143"/>
      <c r="N492" s="213"/>
      <c r="O492" s="212"/>
      <c r="P492" s="212"/>
      <c r="Q492" s="143"/>
      <c r="R492" s="213"/>
      <c r="S492" s="212"/>
      <c r="T492" s="145"/>
      <c r="AB492" s="214" t="str">
        <f>IFERROR(__xludf.DUMMYFUNCTION("FILTER('설정시트'!$D$7:$L$20,'설정시트'!$C$7:$C$20=I492)"),"#N/A")</f>
        <v>#N/A</v>
      </c>
      <c r="AC492" s="214"/>
      <c r="AD492" s="214"/>
      <c r="AE492" s="214"/>
      <c r="AF492" s="214"/>
      <c r="AG492" s="214"/>
      <c r="AH492" s="214"/>
      <c r="AI492" s="214"/>
    </row>
    <row r="493">
      <c r="H493" s="221"/>
      <c r="I493" s="222"/>
      <c r="J493" s="217"/>
      <c r="K493" s="220"/>
      <c r="L493" s="213"/>
      <c r="M493" s="143"/>
      <c r="N493" s="213"/>
      <c r="O493" s="212"/>
      <c r="P493" s="212"/>
      <c r="Q493" s="143"/>
      <c r="R493" s="213"/>
      <c r="S493" s="212"/>
      <c r="T493" s="145"/>
      <c r="AB493" s="214" t="str">
        <f>IFERROR(__xludf.DUMMYFUNCTION("FILTER('설정시트'!$D$7:$L$20,'설정시트'!$C$7:$C$20=I493)"),"#N/A")</f>
        <v>#N/A</v>
      </c>
      <c r="AC493" s="214"/>
      <c r="AD493" s="214"/>
      <c r="AE493" s="214"/>
      <c r="AF493" s="214"/>
      <c r="AG493" s="214"/>
      <c r="AH493" s="214"/>
      <c r="AI493" s="214"/>
    </row>
    <row r="494">
      <c r="H494" s="221"/>
      <c r="I494" s="222"/>
      <c r="J494" s="217"/>
      <c r="K494" s="220"/>
      <c r="L494" s="213"/>
      <c r="M494" s="143"/>
      <c r="N494" s="213"/>
      <c r="O494" s="212"/>
      <c r="P494" s="212"/>
      <c r="Q494" s="143"/>
      <c r="R494" s="213"/>
      <c r="S494" s="212"/>
      <c r="T494" s="145"/>
      <c r="AB494" s="214" t="str">
        <f>IFERROR(__xludf.DUMMYFUNCTION("FILTER('설정시트'!$D$7:$L$20,'설정시트'!$C$7:$C$20=I494)"),"#N/A")</f>
        <v>#N/A</v>
      </c>
      <c r="AC494" s="214"/>
      <c r="AD494" s="214"/>
      <c r="AE494" s="214"/>
      <c r="AF494" s="214"/>
      <c r="AG494" s="214"/>
      <c r="AH494" s="214"/>
      <c r="AI494" s="214"/>
    </row>
    <row r="495">
      <c r="H495" s="221"/>
      <c r="I495" s="222"/>
      <c r="J495" s="217"/>
      <c r="K495" s="220"/>
      <c r="L495" s="213"/>
      <c r="M495" s="143"/>
      <c r="N495" s="213"/>
      <c r="O495" s="212"/>
      <c r="P495" s="212"/>
      <c r="Q495" s="143"/>
      <c r="R495" s="213"/>
      <c r="S495" s="212"/>
      <c r="T495" s="145"/>
      <c r="AB495" s="214" t="str">
        <f>IFERROR(__xludf.DUMMYFUNCTION("FILTER('설정시트'!$D$7:$L$20,'설정시트'!$C$7:$C$20=I495)"),"#N/A")</f>
        <v>#N/A</v>
      </c>
      <c r="AC495" s="214"/>
      <c r="AD495" s="214"/>
      <c r="AE495" s="214"/>
      <c r="AF495" s="214"/>
      <c r="AG495" s="214"/>
      <c r="AH495" s="214"/>
      <c r="AI495" s="214"/>
    </row>
    <row r="496">
      <c r="H496" s="221"/>
      <c r="I496" s="222"/>
      <c r="J496" s="217"/>
      <c r="K496" s="220"/>
      <c r="L496" s="213"/>
      <c r="M496" s="143"/>
      <c r="N496" s="213"/>
      <c r="O496" s="212"/>
      <c r="P496" s="212"/>
      <c r="Q496" s="143"/>
      <c r="R496" s="213"/>
      <c r="S496" s="212"/>
      <c r="T496" s="145"/>
      <c r="AB496" s="214" t="str">
        <f>IFERROR(__xludf.DUMMYFUNCTION("FILTER('설정시트'!$D$7:$L$20,'설정시트'!$C$7:$C$20=I496)"),"#N/A")</f>
        <v>#N/A</v>
      </c>
      <c r="AC496" s="214"/>
      <c r="AD496" s="214"/>
      <c r="AE496" s="214"/>
      <c r="AF496" s="214"/>
      <c r="AG496" s="214"/>
      <c r="AH496" s="214"/>
      <c r="AI496" s="214"/>
    </row>
    <row r="497">
      <c r="H497" s="221"/>
      <c r="I497" s="222"/>
      <c r="J497" s="217"/>
      <c r="K497" s="220"/>
      <c r="L497" s="213"/>
      <c r="M497" s="143"/>
      <c r="N497" s="213"/>
      <c r="O497" s="212"/>
      <c r="P497" s="212"/>
      <c r="Q497" s="143"/>
      <c r="R497" s="213"/>
      <c r="S497" s="212"/>
      <c r="T497" s="145"/>
      <c r="AB497" s="214" t="str">
        <f>IFERROR(__xludf.DUMMYFUNCTION("FILTER('설정시트'!$D$7:$L$20,'설정시트'!$C$7:$C$20=I497)"),"#N/A")</f>
        <v>#N/A</v>
      </c>
      <c r="AC497" s="214"/>
      <c r="AD497" s="214"/>
      <c r="AE497" s="214"/>
      <c r="AF497" s="214"/>
      <c r="AG497" s="214"/>
      <c r="AH497" s="214"/>
      <c r="AI497" s="214"/>
    </row>
    <row r="498">
      <c r="H498" s="221"/>
      <c r="I498" s="222"/>
      <c r="J498" s="217"/>
      <c r="K498" s="220"/>
      <c r="L498" s="213"/>
      <c r="M498" s="143"/>
      <c r="N498" s="213"/>
      <c r="O498" s="212"/>
      <c r="P498" s="212"/>
      <c r="Q498" s="143"/>
      <c r="R498" s="213"/>
      <c r="S498" s="212"/>
      <c r="T498" s="145"/>
      <c r="AB498" s="214" t="str">
        <f>IFERROR(__xludf.DUMMYFUNCTION("FILTER('설정시트'!$D$7:$L$20,'설정시트'!$C$7:$C$20=I498)"),"#N/A")</f>
        <v>#N/A</v>
      </c>
      <c r="AC498" s="214"/>
      <c r="AD498" s="214"/>
      <c r="AE498" s="214"/>
      <c r="AF498" s="214"/>
      <c r="AG498" s="214"/>
      <c r="AH498" s="214"/>
      <c r="AI498" s="214"/>
    </row>
    <row r="499">
      <c r="H499" s="221"/>
      <c r="I499" s="222"/>
      <c r="J499" s="217"/>
      <c r="K499" s="220"/>
      <c r="L499" s="213"/>
      <c r="M499" s="143"/>
      <c r="N499" s="213"/>
      <c r="O499" s="212"/>
      <c r="P499" s="212"/>
      <c r="Q499" s="143"/>
      <c r="R499" s="213"/>
      <c r="S499" s="212"/>
      <c r="T499" s="145"/>
      <c r="AB499" s="214" t="str">
        <f>IFERROR(__xludf.DUMMYFUNCTION("FILTER('설정시트'!$D$7:$L$20,'설정시트'!$C$7:$C$20=I499)"),"#N/A")</f>
        <v>#N/A</v>
      </c>
      <c r="AC499" s="214"/>
      <c r="AD499" s="214"/>
      <c r="AE499" s="214"/>
      <c r="AF499" s="214"/>
      <c r="AG499" s="214"/>
      <c r="AH499" s="214"/>
      <c r="AI499" s="214"/>
    </row>
    <row r="500">
      <c r="H500" s="223"/>
      <c r="I500" s="224"/>
      <c r="J500" s="225"/>
      <c r="K500" s="226"/>
      <c r="L500" s="227"/>
      <c r="M500" s="165"/>
      <c r="N500" s="227"/>
      <c r="O500" s="228"/>
      <c r="P500" s="228"/>
      <c r="Q500" s="165"/>
      <c r="R500" s="227"/>
      <c r="S500" s="228"/>
      <c r="T500" s="55"/>
      <c r="AB500" s="214" t="str">
        <f>IFERROR(__xludf.DUMMYFUNCTION("FILTER('설정시트'!$D$7:$L$20,'설정시트'!$C$7:$C$20=I500)"),"#N/A")</f>
        <v>#N/A</v>
      </c>
      <c r="AC500" s="214"/>
      <c r="AD500" s="214"/>
      <c r="AE500" s="214"/>
      <c r="AF500" s="214"/>
      <c r="AG500" s="214"/>
      <c r="AH500" s="214"/>
      <c r="AI500" s="214"/>
    </row>
  </sheetData>
  <customSheetViews>
    <customSheetView guid="{1306F103-82DB-4721-A081-DFC677B29403}" filter="1" showAutoFilter="1">
      <autoFilter ref="$H$61:$J$150"/>
    </customSheetView>
    <customSheetView guid="{48029EEC-043B-4596-BD82-4885B5601D90}" filter="1" showAutoFilter="1">
      <autoFilter ref="$I$61:$L$500"/>
    </customSheetView>
  </customSheetViews>
  <mergeCells count="1443">
    <mergeCell ref="H19:I19"/>
    <mergeCell ref="H20:I20"/>
    <mergeCell ref="J20:K20"/>
    <mergeCell ref="R24:S24"/>
    <mergeCell ref="T24:U24"/>
    <mergeCell ref="V24:W24"/>
    <mergeCell ref="X24:Y24"/>
    <mergeCell ref="D16:D17"/>
    <mergeCell ref="H16:K16"/>
    <mergeCell ref="H17:I17"/>
    <mergeCell ref="J17:K17"/>
    <mergeCell ref="H18:I18"/>
    <mergeCell ref="J18:K18"/>
    <mergeCell ref="J19:K19"/>
    <mergeCell ref="C3:C4"/>
    <mergeCell ref="D3:D5"/>
    <mergeCell ref="C12:C13"/>
    <mergeCell ref="D12:D13"/>
    <mergeCell ref="C14:C15"/>
    <mergeCell ref="D14:D15"/>
    <mergeCell ref="C16:C17"/>
    <mergeCell ref="X27:Y27"/>
    <mergeCell ref="X28:Y28"/>
    <mergeCell ref="T29:U29"/>
    <mergeCell ref="X29:Y29"/>
    <mergeCell ref="T30:U30"/>
    <mergeCell ref="X30:Y30"/>
    <mergeCell ref="T25:U25"/>
    <mergeCell ref="V25:W30"/>
    <mergeCell ref="X25:Y25"/>
    <mergeCell ref="T26:U26"/>
    <mergeCell ref="X26:Y26"/>
    <mergeCell ref="T27:U27"/>
    <mergeCell ref="T28:U28"/>
    <mergeCell ref="H31:J32"/>
    <mergeCell ref="M31:O32"/>
    <mergeCell ref="R31:W32"/>
    <mergeCell ref="X31:Y31"/>
    <mergeCell ref="X32:Y32"/>
    <mergeCell ref="T33:U33"/>
    <mergeCell ref="X33:Y33"/>
    <mergeCell ref="X34:Y34"/>
    <mergeCell ref="E25:E32"/>
    <mergeCell ref="E35:E42"/>
    <mergeCell ref="T34:U34"/>
    <mergeCell ref="T35:U35"/>
    <mergeCell ref="X35:Y35"/>
    <mergeCell ref="X36:Y36"/>
    <mergeCell ref="X37:Y37"/>
    <mergeCell ref="X38:Y38"/>
    <mergeCell ref="T36:U36"/>
    <mergeCell ref="T37:U37"/>
    <mergeCell ref="T41:U41"/>
    <mergeCell ref="H25:H30"/>
    <mergeCell ref="H33:H38"/>
    <mergeCell ref="J33:J38"/>
    <mergeCell ref="M33:M38"/>
    <mergeCell ref="O33:O38"/>
    <mergeCell ref="R33:S38"/>
    <mergeCell ref="V33:W38"/>
    <mergeCell ref="T38:U38"/>
    <mergeCell ref="H39:J40"/>
    <mergeCell ref="M39:O40"/>
    <mergeCell ref="R39:W40"/>
    <mergeCell ref="X39:Y39"/>
    <mergeCell ref="X40:Y40"/>
    <mergeCell ref="C25:C32"/>
    <mergeCell ref="J25:J30"/>
    <mergeCell ref="M25:M30"/>
    <mergeCell ref="O25:O30"/>
    <mergeCell ref="R25:S30"/>
    <mergeCell ref="C33:E34"/>
    <mergeCell ref="C35:C42"/>
    <mergeCell ref="H55:J56"/>
    <mergeCell ref="M55:O56"/>
    <mergeCell ref="J41:J46"/>
    <mergeCell ref="H47:J48"/>
    <mergeCell ref="M47:O48"/>
    <mergeCell ref="H49:H54"/>
    <mergeCell ref="J49:J54"/>
    <mergeCell ref="M49:M54"/>
    <mergeCell ref="O49:O54"/>
    <mergeCell ref="T42:U42"/>
    <mergeCell ref="T43:U43"/>
    <mergeCell ref="H41:H46"/>
    <mergeCell ref="M41:M46"/>
    <mergeCell ref="O41:O46"/>
    <mergeCell ref="R41:S46"/>
    <mergeCell ref="V41:W46"/>
    <mergeCell ref="C43:E44"/>
    <mergeCell ref="T46:U46"/>
    <mergeCell ref="X41:Y41"/>
    <mergeCell ref="X42:Y42"/>
    <mergeCell ref="X43:Y43"/>
    <mergeCell ref="X44:Y44"/>
    <mergeCell ref="X45:Y45"/>
    <mergeCell ref="X46:Y46"/>
    <mergeCell ref="X47:Y47"/>
    <mergeCell ref="T51:U51"/>
    <mergeCell ref="T52:U52"/>
    <mergeCell ref="T53:U53"/>
    <mergeCell ref="T54:U54"/>
    <mergeCell ref="T44:U44"/>
    <mergeCell ref="T45:U45"/>
    <mergeCell ref="R47:W48"/>
    <mergeCell ref="R49:S54"/>
    <mergeCell ref="T49:U49"/>
    <mergeCell ref="V49:W54"/>
    <mergeCell ref="T50:U50"/>
    <mergeCell ref="R55:W56"/>
    <mergeCell ref="X48:Y48"/>
    <mergeCell ref="X49:Y49"/>
    <mergeCell ref="X50:Y50"/>
    <mergeCell ref="X51:Y51"/>
    <mergeCell ref="X52:Y52"/>
    <mergeCell ref="X53:Y53"/>
    <mergeCell ref="X54:Y54"/>
    <mergeCell ref="N70:Q70"/>
    <mergeCell ref="R70:T70"/>
    <mergeCell ref="L68:M68"/>
    <mergeCell ref="N68:Q68"/>
    <mergeCell ref="R68:T68"/>
    <mergeCell ref="L69:M69"/>
    <mergeCell ref="N69:Q69"/>
    <mergeCell ref="R69:T69"/>
    <mergeCell ref="L70:M70"/>
    <mergeCell ref="N73:Q73"/>
    <mergeCell ref="R73:T73"/>
    <mergeCell ref="L71:M71"/>
    <mergeCell ref="N71:Q71"/>
    <mergeCell ref="R71:T71"/>
    <mergeCell ref="L72:M72"/>
    <mergeCell ref="N72:Q72"/>
    <mergeCell ref="R72:T72"/>
    <mergeCell ref="L73:M73"/>
    <mergeCell ref="N76:Q76"/>
    <mergeCell ref="R76:T76"/>
    <mergeCell ref="L74:M74"/>
    <mergeCell ref="N74:Q74"/>
    <mergeCell ref="R74:T74"/>
    <mergeCell ref="L75:M75"/>
    <mergeCell ref="N75:Q75"/>
    <mergeCell ref="R75:T75"/>
    <mergeCell ref="L76:M76"/>
    <mergeCell ref="N79:Q79"/>
    <mergeCell ref="R79:T79"/>
    <mergeCell ref="L77:M77"/>
    <mergeCell ref="N77:Q77"/>
    <mergeCell ref="R77:T77"/>
    <mergeCell ref="L78:M78"/>
    <mergeCell ref="N78:Q78"/>
    <mergeCell ref="R78:T78"/>
    <mergeCell ref="L79:M79"/>
    <mergeCell ref="N82:Q82"/>
    <mergeCell ref="R82:T82"/>
    <mergeCell ref="L80:M80"/>
    <mergeCell ref="N80:Q80"/>
    <mergeCell ref="R80:T80"/>
    <mergeCell ref="L81:M81"/>
    <mergeCell ref="N81:Q81"/>
    <mergeCell ref="R81:T81"/>
    <mergeCell ref="L82:M82"/>
    <mergeCell ref="N85:Q85"/>
    <mergeCell ref="R85:T85"/>
    <mergeCell ref="L83:M83"/>
    <mergeCell ref="N83:Q83"/>
    <mergeCell ref="R83:T83"/>
    <mergeCell ref="L84:M84"/>
    <mergeCell ref="N84:Q84"/>
    <mergeCell ref="R84:T84"/>
    <mergeCell ref="L85:M85"/>
    <mergeCell ref="N88:Q88"/>
    <mergeCell ref="R88:T88"/>
    <mergeCell ref="L86:M86"/>
    <mergeCell ref="N86:Q86"/>
    <mergeCell ref="R86:T86"/>
    <mergeCell ref="L87:M87"/>
    <mergeCell ref="N87:Q87"/>
    <mergeCell ref="R87:T87"/>
    <mergeCell ref="L88:M88"/>
    <mergeCell ref="N91:Q91"/>
    <mergeCell ref="R91:T91"/>
    <mergeCell ref="L89:M89"/>
    <mergeCell ref="N89:Q89"/>
    <mergeCell ref="R89:T89"/>
    <mergeCell ref="L90:M90"/>
    <mergeCell ref="N90:Q90"/>
    <mergeCell ref="R90:T90"/>
    <mergeCell ref="L91:M91"/>
    <mergeCell ref="N94:Q94"/>
    <mergeCell ref="R94:T94"/>
    <mergeCell ref="L92:M92"/>
    <mergeCell ref="N92:Q92"/>
    <mergeCell ref="R92:T92"/>
    <mergeCell ref="L93:M93"/>
    <mergeCell ref="N93:Q93"/>
    <mergeCell ref="R93:T93"/>
    <mergeCell ref="L94:M94"/>
    <mergeCell ref="N97:Q97"/>
    <mergeCell ref="R97:T97"/>
    <mergeCell ref="L95:M95"/>
    <mergeCell ref="N95:Q95"/>
    <mergeCell ref="R95:T95"/>
    <mergeCell ref="L96:M96"/>
    <mergeCell ref="N96:Q96"/>
    <mergeCell ref="R96:T96"/>
    <mergeCell ref="L97:M97"/>
    <mergeCell ref="N100:Q100"/>
    <mergeCell ref="R100:T100"/>
    <mergeCell ref="L98:M98"/>
    <mergeCell ref="N98:Q98"/>
    <mergeCell ref="R98:T98"/>
    <mergeCell ref="L99:M99"/>
    <mergeCell ref="N99:Q99"/>
    <mergeCell ref="R99:T99"/>
    <mergeCell ref="L100:M100"/>
    <mergeCell ref="N103:Q103"/>
    <mergeCell ref="R103:T103"/>
    <mergeCell ref="L101:M101"/>
    <mergeCell ref="N101:Q101"/>
    <mergeCell ref="R101:T101"/>
    <mergeCell ref="L102:M102"/>
    <mergeCell ref="N102:Q102"/>
    <mergeCell ref="R102:T102"/>
    <mergeCell ref="L103:M103"/>
    <mergeCell ref="N106:Q106"/>
    <mergeCell ref="R106:T106"/>
    <mergeCell ref="L104:M104"/>
    <mergeCell ref="N104:Q104"/>
    <mergeCell ref="R104:T104"/>
    <mergeCell ref="L105:M105"/>
    <mergeCell ref="N105:Q105"/>
    <mergeCell ref="R105:T105"/>
    <mergeCell ref="L106:M106"/>
    <mergeCell ref="N109:Q109"/>
    <mergeCell ref="R109:T109"/>
    <mergeCell ref="L107:M107"/>
    <mergeCell ref="N107:Q107"/>
    <mergeCell ref="R107:T107"/>
    <mergeCell ref="L108:M108"/>
    <mergeCell ref="N108:Q108"/>
    <mergeCell ref="R108:T108"/>
    <mergeCell ref="L109:M109"/>
    <mergeCell ref="N112:Q112"/>
    <mergeCell ref="R112:T112"/>
    <mergeCell ref="L110:M110"/>
    <mergeCell ref="N110:Q110"/>
    <mergeCell ref="R110:T110"/>
    <mergeCell ref="L111:M111"/>
    <mergeCell ref="N111:Q111"/>
    <mergeCell ref="R111:T111"/>
    <mergeCell ref="L112:M112"/>
    <mergeCell ref="N115:Q115"/>
    <mergeCell ref="R115:T115"/>
    <mergeCell ref="L113:M113"/>
    <mergeCell ref="N113:Q113"/>
    <mergeCell ref="R113:T113"/>
    <mergeCell ref="L114:M114"/>
    <mergeCell ref="N114:Q114"/>
    <mergeCell ref="R114:T114"/>
    <mergeCell ref="L115:M115"/>
    <mergeCell ref="N118:Q118"/>
    <mergeCell ref="R118:T118"/>
    <mergeCell ref="L116:M116"/>
    <mergeCell ref="N116:Q116"/>
    <mergeCell ref="R116:T116"/>
    <mergeCell ref="L117:M117"/>
    <mergeCell ref="N117:Q117"/>
    <mergeCell ref="R117:T117"/>
    <mergeCell ref="L118:M118"/>
    <mergeCell ref="N121:Q121"/>
    <mergeCell ref="R121:T121"/>
    <mergeCell ref="L119:M119"/>
    <mergeCell ref="N119:Q119"/>
    <mergeCell ref="R119:T119"/>
    <mergeCell ref="L120:M120"/>
    <mergeCell ref="N120:Q120"/>
    <mergeCell ref="R120:T120"/>
    <mergeCell ref="L121:M121"/>
    <mergeCell ref="N124:Q124"/>
    <mergeCell ref="R124:T124"/>
    <mergeCell ref="L122:M122"/>
    <mergeCell ref="N122:Q122"/>
    <mergeCell ref="R122:T122"/>
    <mergeCell ref="L123:M123"/>
    <mergeCell ref="N123:Q123"/>
    <mergeCell ref="R123:T123"/>
    <mergeCell ref="L124:M124"/>
    <mergeCell ref="N127:Q127"/>
    <mergeCell ref="R127:T127"/>
    <mergeCell ref="L125:M125"/>
    <mergeCell ref="N125:Q125"/>
    <mergeCell ref="R125:T125"/>
    <mergeCell ref="L126:M126"/>
    <mergeCell ref="N126:Q126"/>
    <mergeCell ref="R126:T126"/>
    <mergeCell ref="L127:M127"/>
    <mergeCell ref="N130:Q130"/>
    <mergeCell ref="R130:T130"/>
    <mergeCell ref="L128:M128"/>
    <mergeCell ref="N128:Q128"/>
    <mergeCell ref="R128:T128"/>
    <mergeCell ref="L129:M129"/>
    <mergeCell ref="N129:Q129"/>
    <mergeCell ref="R129:T129"/>
    <mergeCell ref="L130:M130"/>
    <mergeCell ref="N133:Q133"/>
    <mergeCell ref="R133:T133"/>
    <mergeCell ref="L131:M131"/>
    <mergeCell ref="N131:Q131"/>
    <mergeCell ref="R131:T131"/>
    <mergeCell ref="L132:M132"/>
    <mergeCell ref="N132:Q132"/>
    <mergeCell ref="R132:T132"/>
    <mergeCell ref="L133:M133"/>
    <mergeCell ref="N136:Q136"/>
    <mergeCell ref="R136:T136"/>
    <mergeCell ref="L134:M134"/>
    <mergeCell ref="N134:Q134"/>
    <mergeCell ref="R134:T134"/>
    <mergeCell ref="L135:M135"/>
    <mergeCell ref="N135:Q135"/>
    <mergeCell ref="R135:T135"/>
    <mergeCell ref="L136:M136"/>
    <mergeCell ref="N139:Q139"/>
    <mergeCell ref="R139:T139"/>
    <mergeCell ref="L137:M137"/>
    <mergeCell ref="N137:Q137"/>
    <mergeCell ref="R137:T137"/>
    <mergeCell ref="L138:M138"/>
    <mergeCell ref="N138:Q138"/>
    <mergeCell ref="R138:T138"/>
    <mergeCell ref="L139:M139"/>
    <mergeCell ref="N142:Q142"/>
    <mergeCell ref="R142:T142"/>
    <mergeCell ref="L140:M140"/>
    <mergeCell ref="N140:Q140"/>
    <mergeCell ref="R140:T140"/>
    <mergeCell ref="L141:M141"/>
    <mergeCell ref="N141:Q141"/>
    <mergeCell ref="R141:T141"/>
    <mergeCell ref="L142:M142"/>
    <mergeCell ref="N145:Q145"/>
    <mergeCell ref="R145:T145"/>
    <mergeCell ref="L143:M143"/>
    <mergeCell ref="N143:Q143"/>
    <mergeCell ref="R143:T143"/>
    <mergeCell ref="L144:M144"/>
    <mergeCell ref="N144:Q144"/>
    <mergeCell ref="R144:T144"/>
    <mergeCell ref="L145:M145"/>
    <mergeCell ref="N148:Q148"/>
    <mergeCell ref="R148:T148"/>
    <mergeCell ref="L146:M146"/>
    <mergeCell ref="N146:Q146"/>
    <mergeCell ref="R146:T146"/>
    <mergeCell ref="L147:M147"/>
    <mergeCell ref="N147:Q147"/>
    <mergeCell ref="R147:T147"/>
    <mergeCell ref="L148:M148"/>
    <mergeCell ref="N151:Q151"/>
    <mergeCell ref="R151:T151"/>
    <mergeCell ref="L149:M149"/>
    <mergeCell ref="N149:Q149"/>
    <mergeCell ref="R149:T149"/>
    <mergeCell ref="L150:M150"/>
    <mergeCell ref="N150:Q150"/>
    <mergeCell ref="R150:T150"/>
    <mergeCell ref="L151:M151"/>
    <mergeCell ref="N154:Q154"/>
    <mergeCell ref="R154:T154"/>
    <mergeCell ref="L152:M152"/>
    <mergeCell ref="N152:Q152"/>
    <mergeCell ref="R152:T152"/>
    <mergeCell ref="L153:M153"/>
    <mergeCell ref="N153:Q153"/>
    <mergeCell ref="R153:T153"/>
    <mergeCell ref="L154:M154"/>
    <mergeCell ref="N157:Q157"/>
    <mergeCell ref="R157:T157"/>
    <mergeCell ref="L155:M155"/>
    <mergeCell ref="N155:Q155"/>
    <mergeCell ref="R155:T155"/>
    <mergeCell ref="L156:M156"/>
    <mergeCell ref="N156:Q156"/>
    <mergeCell ref="R156:T156"/>
    <mergeCell ref="L157:M157"/>
    <mergeCell ref="N160:Q160"/>
    <mergeCell ref="R160:T160"/>
    <mergeCell ref="L158:M158"/>
    <mergeCell ref="N158:Q158"/>
    <mergeCell ref="R158:T158"/>
    <mergeCell ref="L159:M159"/>
    <mergeCell ref="N159:Q159"/>
    <mergeCell ref="R159:T159"/>
    <mergeCell ref="L160:M160"/>
    <mergeCell ref="N163:Q163"/>
    <mergeCell ref="R163:T163"/>
    <mergeCell ref="L161:M161"/>
    <mergeCell ref="N161:Q161"/>
    <mergeCell ref="R161:T161"/>
    <mergeCell ref="L162:M162"/>
    <mergeCell ref="N162:Q162"/>
    <mergeCell ref="R162:T162"/>
    <mergeCell ref="L163:M163"/>
    <mergeCell ref="N166:Q166"/>
    <mergeCell ref="R166:T166"/>
    <mergeCell ref="L164:M164"/>
    <mergeCell ref="N164:Q164"/>
    <mergeCell ref="R164:T164"/>
    <mergeCell ref="L165:M165"/>
    <mergeCell ref="N165:Q165"/>
    <mergeCell ref="R165:T165"/>
    <mergeCell ref="L166:M166"/>
    <mergeCell ref="N169:Q169"/>
    <mergeCell ref="R169:T169"/>
    <mergeCell ref="L167:M167"/>
    <mergeCell ref="N167:Q167"/>
    <mergeCell ref="R167:T167"/>
    <mergeCell ref="L168:M168"/>
    <mergeCell ref="N168:Q168"/>
    <mergeCell ref="R168:T168"/>
    <mergeCell ref="L169:M169"/>
    <mergeCell ref="N172:Q172"/>
    <mergeCell ref="R172:T172"/>
    <mergeCell ref="L170:M170"/>
    <mergeCell ref="N170:Q170"/>
    <mergeCell ref="R170:T170"/>
    <mergeCell ref="L171:M171"/>
    <mergeCell ref="N171:Q171"/>
    <mergeCell ref="R171:T171"/>
    <mergeCell ref="L172:M172"/>
    <mergeCell ref="N175:Q175"/>
    <mergeCell ref="R175:T175"/>
    <mergeCell ref="L173:M173"/>
    <mergeCell ref="N173:Q173"/>
    <mergeCell ref="R173:T173"/>
    <mergeCell ref="L174:M174"/>
    <mergeCell ref="N174:Q174"/>
    <mergeCell ref="R174:T174"/>
    <mergeCell ref="L175:M175"/>
    <mergeCell ref="N178:Q178"/>
    <mergeCell ref="R178:T178"/>
    <mergeCell ref="L176:M176"/>
    <mergeCell ref="N176:Q176"/>
    <mergeCell ref="R176:T176"/>
    <mergeCell ref="L177:M177"/>
    <mergeCell ref="N177:Q177"/>
    <mergeCell ref="R177:T177"/>
    <mergeCell ref="L178:M178"/>
    <mergeCell ref="N181:Q181"/>
    <mergeCell ref="R181:T181"/>
    <mergeCell ref="L179:M179"/>
    <mergeCell ref="N179:Q179"/>
    <mergeCell ref="R179:T179"/>
    <mergeCell ref="L180:M180"/>
    <mergeCell ref="N180:Q180"/>
    <mergeCell ref="R180:T180"/>
    <mergeCell ref="L181:M181"/>
    <mergeCell ref="N184:Q184"/>
    <mergeCell ref="R184:T184"/>
    <mergeCell ref="L182:M182"/>
    <mergeCell ref="N182:Q182"/>
    <mergeCell ref="R182:T182"/>
    <mergeCell ref="L183:M183"/>
    <mergeCell ref="N183:Q183"/>
    <mergeCell ref="R183:T183"/>
    <mergeCell ref="L184:M184"/>
    <mergeCell ref="N187:Q187"/>
    <mergeCell ref="R187:T187"/>
    <mergeCell ref="L185:M185"/>
    <mergeCell ref="N185:Q185"/>
    <mergeCell ref="R185:T185"/>
    <mergeCell ref="L186:M186"/>
    <mergeCell ref="N186:Q186"/>
    <mergeCell ref="R186:T186"/>
    <mergeCell ref="L187:M187"/>
    <mergeCell ref="N190:Q190"/>
    <mergeCell ref="R190:T190"/>
    <mergeCell ref="L188:M188"/>
    <mergeCell ref="N188:Q188"/>
    <mergeCell ref="R188:T188"/>
    <mergeCell ref="L189:M189"/>
    <mergeCell ref="N189:Q189"/>
    <mergeCell ref="R189:T189"/>
    <mergeCell ref="L190:M190"/>
    <mergeCell ref="N193:Q193"/>
    <mergeCell ref="R193:T193"/>
    <mergeCell ref="L191:M191"/>
    <mergeCell ref="N191:Q191"/>
    <mergeCell ref="R191:T191"/>
    <mergeCell ref="L192:M192"/>
    <mergeCell ref="N192:Q192"/>
    <mergeCell ref="R192:T192"/>
    <mergeCell ref="L193:M193"/>
    <mergeCell ref="N196:Q196"/>
    <mergeCell ref="R196:T196"/>
    <mergeCell ref="L194:M194"/>
    <mergeCell ref="N194:Q194"/>
    <mergeCell ref="R194:T194"/>
    <mergeCell ref="L195:M195"/>
    <mergeCell ref="N195:Q195"/>
    <mergeCell ref="R195:T195"/>
    <mergeCell ref="L196:M196"/>
    <mergeCell ref="N199:Q199"/>
    <mergeCell ref="R199:T199"/>
    <mergeCell ref="L197:M197"/>
    <mergeCell ref="N197:Q197"/>
    <mergeCell ref="R197:T197"/>
    <mergeCell ref="L198:M198"/>
    <mergeCell ref="N198:Q198"/>
    <mergeCell ref="R198:T198"/>
    <mergeCell ref="L199:M199"/>
    <mergeCell ref="N202:Q202"/>
    <mergeCell ref="R202:T202"/>
    <mergeCell ref="L200:M200"/>
    <mergeCell ref="N200:Q200"/>
    <mergeCell ref="R200:T200"/>
    <mergeCell ref="L201:M201"/>
    <mergeCell ref="N201:Q201"/>
    <mergeCell ref="R201:T201"/>
    <mergeCell ref="L202:M202"/>
    <mergeCell ref="N352:Q352"/>
    <mergeCell ref="R352:T352"/>
    <mergeCell ref="L350:M350"/>
    <mergeCell ref="N350:Q350"/>
    <mergeCell ref="R350:T350"/>
    <mergeCell ref="L351:M351"/>
    <mergeCell ref="N351:Q351"/>
    <mergeCell ref="R351:T351"/>
    <mergeCell ref="L352:M352"/>
    <mergeCell ref="N355:Q355"/>
    <mergeCell ref="R355:T355"/>
    <mergeCell ref="L353:M353"/>
    <mergeCell ref="N353:Q353"/>
    <mergeCell ref="R353:T353"/>
    <mergeCell ref="L354:M354"/>
    <mergeCell ref="N354:Q354"/>
    <mergeCell ref="R354:T354"/>
    <mergeCell ref="L355:M355"/>
    <mergeCell ref="N358:Q358"/>
    <mergeCell ref="R358:T358"/>
    <mergeCell ref="L356:M356"/>
    <mergeCell ref="N356:Q356"/>
    <mergeCell ref="R356:T356"/>
    <mergeCell ref="L357:M357"/>
    <mergeCell ref="N357:Q357"/>
    <mergeCell ref="R357:T357"/>
    <mergeCell ref="L358:M358"/>
    <mergeCell ref="N361:Q361"/>
    <mergeCell ref="R361:T361"/>
    <mergeCell ref="L359:M359"/>
    <mergeCell ref="N359:Q359"/>
    <mergeCell ref="R359:T359"/>
    <mergeCell ref="L360:M360"/>
    <mergeCell ref="N360:Q360"/>
    <mergeCell ref="R360:T360"/>
    <mergeCell ref="L361:M361"/>
    <mergeCell ref="N364:Q364"/>
    <mergeCell ref="R364:T364"/>
    <mergeCell ref="L362:M362"/>
    <mergeCell ref="N362:Q362"/>
    <mergeCell ref="R362:T362"/>
    <mergeCell ref="L363:M363"/>
    <mergeCell ref="N363:Q363"/>
    <mergeCell ref="R363:T363"/>
    <mergeCell ref="L364:M364"/>
    <mergeCell ref="N367:Q367"/>
    <mergeCell ref="R367:T367"/>
    <mergeCell ref="L365:M365"/>
    <mergeCell ref="N365:Q365"/>
    <mergeCell ref="R365:T365"/>
    <mergeCell ref="L366:M366"/>
    <mergeCell ref="N366:Q366"/>
    <mergeCell ref="R366:T366"/>
    <mergeCell ref="L367:M367"/>
    <mergeCell ref="N370:Q370"/>
    <mergeCell ref="R370:T370"/>
    <mergeCell ref="L368:M368"/>
    <mergeCell ref="N368:Q368"/>
    <mergeCell ref="R368:T368"/>
    <mergeCell ref="L369:M369"/>
    <mergeCell ref="N369:Q369"/>
    <mergeCell ref="R369:T369"/>
    <mergeCell ref="L370:M370"/>
    <mergeCell ref="N373:Q373"/>
    <mergeCell ref="R373:T373"/>
    <mergeCell ref="L371:M371"/>
    <mergeCell ref="N371:Q371"/>
    <mergeCell ref="R371:T371"/>
    <mergeCell ref="L372:M372"/>
    <mergeCell ref="N372:Q372"/>
    <mergeCell ref="R372:T372"/>
    <mergeCell ref="L373:M373"/>
    <mergeCell ref="N376:Q376"/>
    <mergeCell ref="R376:T376"/>
    <mergeCell ref="L374:M374"/>
    <mergeCell ref="N374:Q374"/>
    <mergeCell ref="R374:T374"/>
    <mergeCell ref="L375:M375"/>
    <mergeCell ref="N375:Q375"/>
    <mergeCell ref="R375:T375"/>
    <mergeCell ref="L376:M376"/>
    <mergeCell ref="N379:Q379"/>
    <mergeCell ref="R379:T379"/>
    <mergeCell ref="L377:M377"/>
    <mergeCell ref="N377:Q377"/>
    <mergeCell ref="R377:T377"/>
    <mergeCell ref="L378:M378"/>
    <mergeCell ref="N378:Q378"/>
    <mergeCell ref="R378:T378"/>
    <mergeCell ref="L379:M379"/>
    <mergeCell ref="N382:Q382"/>
    <mergeCell ref="R382:T382"/>
    <mergeCell ref="L380:M380"/>
    <mergeCell ref="N380:Q380"/>
    <mergeCell ref="R380:T380"/>
    <mergeCell ref="L381:M381"/>
    <mergeCell ref="N381:Q381"/>
    <mergeCell ref="R381:T381"/>
    <mergeCell ref="L382:M382"/>
    <mergeCell ref="N385:Q385"/>
    <mergeCell ref="R385:T385"/>
    <mergeCell ref="L383:M383"/>
    <mergeCell ref="N383:Q383"/>
    <mergeCell ref="R383:T383"/>
    <mergeCell ref="L384:M384"/>
    <mergeCell ref="N384:Q384"/>
    <mergeCell ref="R384:T384"/>
    <mergeCell ref="L385:M385"/>
    <mergeCell ref="N388:Q388"/>
    <mergeCell ref="R388:T388"/>
    <mergeCell ref="L386:M386"/>
    <mergeCell ref="N386:Q386"/>
    <mergeCell ref="R386:T386"/>
    <mergeCell ref="L387:M387"/>
    <mergeCell ref="N387:Q387"/>
    <mergeCell ref="R387:T387"/>
    <mergeCell ref="L388:M388"/>
    <mergeCell ref="N391:Q391"/>
    <mergeCell ref="R391:T391"/>
    <mergeCell ref="L389:M389"/>
    <mergeCell ref="N389:Q389"/>
    <mergeCell ref="R389:T389"/>
    <mergeCell ref="L390:M390"/>
    <mergeCell ref="N390:Q390"/>
    <mergeCell ref="R390:T390"/>
    <mergeCell ref="L391:M391"/>
    <mergeCell ref="N394:Q394"/>
    <mergeCell ref="R394:T394"/>
    <mergeCell ref="L392:M392"/>
    <mergeCell ref="N392:Q392"/>
    <mergeCell ref="R392:T392"/>
    <mergeCell ref="L393:M393"/>
    <mergeCell ref="N393:Q393"/>
    <mergeCell ref="R393:T393"/>
    <mergeCell ref="L394:M394"/>
    <mergeCell ref="N397:Q397"/>
    <mergeCell ref="R397:T397"/>
    <mergeCell ref="L395:M395"/>
    <mergeCell ref="N395:Q395"/>
    <mergeCell ref="R395:T395"/>
    <mergeCell ref="L396:M396"/>
    <mergeCell ref="N396:Q396"/>
    <mergeCell ref="R396:T396"/>
    <mergeCell ref="L397:M397"/>
    <mergeCell ref="N400:Q400"/>
    <mergeCell ref="R400:T400"/>
    <mergeCell ref="L398:M398"/>
    <mergeCell ref="N398:Q398"/>
    <mergeCell ref="R398:T398"/>
    <mergeCell ref="L399:M399"/>
    <mergeCell ref="N399:Q399"/>
    <mergeCell ref="R399:T399"/>
    <mergeCell ref="L400:M400"/>
    <mergeCell ref="N403:Q403"/>
    <mergeCell ref="R403:T403"/>
    <mergeCell ref="L401:M401"/>
    <mergeCell ref="N401:Q401"/>
    <mergeCell ref="R401:T401"/>
    <mergeCell ref="L402:M402"/>
    <mergeCell ref="N402:Q402"/>
    <mergeCell ref="R402:T402"/>
    <mergeCell ref="L403:M403"/>
    <mergeCell ref="N406:Q406"/>
    <mergeCell ref="R406:T406"/>
    <mergeCell ref="L404:M404"/>
    <mergeCell ref="N404:Q404"/>
    <mergeCell ref="R404:T404"/>
    <mergeCell ref="L405:M405"/>
    <mergeCell ref="N405:Q405"/>
    <mergeCell ref="R405:T405"/>
    <mergeCell ref="L406:M406"/>
    <mergeCell ref="N409:Q409"/>
    <mergeCell ref="R409:T409"/>
    <mergeCell ref="L407:M407"/>
    <mergeCell ref="N407:Q407"/>
    <mergeCell ref="R407:T407"/>
    <mergeCell ref="L408:M408"/>
    <mergeCell ref="N408:Q408"/>
    <mergeCell ref="R408:T408"/>
    <mergeCell ref="L409:M409"/>
    <mergeCell ref="N412:Q412"/>
    <mergeCell ref="R412:T412"/>
    <mergeCell ref="L410:M410"/>
    <mergeCell ref="N410:Q410"/>
    <mergeCell ref="R410:T410"/>
    <mergeCell ref="L411:M411"/>
    <mergeCell ref="N411:Q411"/>
    <mergeCell ref="R411:T411"/>
    <mergeCell ref="L412:M412"/>
    <mergeCell ref="N415:Q415"/>
    <mergeCell ref="R415:T415"/>
    <mergeCell ref="L413:M413"/>
    <mergeCell ref="N413:Q413"/>
    <mergeCell ref="R413:T413"/>
    <mergeCell ref="L414:M414"/>
    <mergeCell ref="N414:Q414"/>
    <mergeCell ref="R414:T414"/>
    <mergeCell ref="L415:M415"/>
    <mergeCell ref="N418:Q418"/>
    <mergeCell ref="R418:T418"/>
    <mergeCell ref="L416:M416"/>
    <mergeCell ref="N416:Q416"/>
    <mergeCell ref="R416:T416"/>
    <mergeCell ref="L417:M417"/>
    <mergeCell ref="N417:Q417"/>
    <mergeCell ref="R417:T417"/>
    <mergeCell ref="L418:M418"/>
    <mergeCell ref="N421:Q421"/>
    <mergeCell ref="R421:T421"/>
    <mergeCell ref="L419:M419"/>
    <mergeCell ref="N419:Q419"/>
    <mergeCell ref="R419:T419"/>
    <mergeCell ref="L420:M420"/>
    <mergeCell ref="N420:Q420"/>
    <mergeCell ref="R420:T420"/>
    <mergeCell ref="L421:M421"/>
    <mergeCell ref="N424:Q424"/>
    <mergeCell ref="R424:T424"/>
    <mergeCell ref="L422:M422"/>
    <mergeCell ref="N422:Q422"/>
    <mergeCell ref="R422:T422"/>
    <mergeCell ref="L423:M423"/>
    <mergeCell ref="N423:Q423"/>
    <mergeCell ref="R423:T423"/>
    <mergeCell ref="L424:M424"/>
    <mergeCell ref="N427:Q427"/>
    <mergeCell ref="R427:T427"/>
    <mergeCell ref="L425:M425"/>
    <mergeCell ref="N425:Q425"/>
    <mergeCell ref="R425:T425"/>
    <mergeCell ref="L426:M426"/>
    <mergeCell ref="N426:Q426"/>
    <mergeCell ref="R426:T426"/>
    <mergeCell ref="L427:M427"/>
    <mergeCell ref="N430:Q430"/>
    <mergeCell ref="R430:T430"/>
    <mergeCell ref="L428:M428"/>
    <mergeCell ref="N428:Q428"/>
    <mergeCell ref="R428:T428"/>
    <mergeCell ref="L429:M429"/>
    <mergeCell ref="N429:Q429"/>
    <mergeCell ref="R429:T429"/>
    <mergeCell ref="L430:M430"/>
    <mergeCell ref="N433:Q433"/>
    <mergeCell ref="R433:T433"/>
    <mergeCell ref="L431:M431"/>
    <mergeCell ref="N431:Q431"/>
    <mergeCell ref="R431:T431"/>
    <mergeCell ref="L432:M432"/>
    <mergeCell ref="N432:Q432"/>
    <mergeCell ref="R432:T432"/>
    <mergeCell ref="L433:M433"/>
    <mergeCell ref="N436:Q436"/>
    <mergeCell ref="R436:T436"/>
    <mergeCell ref="L434:M434"/>
    <mergeCell ref="N434:Q434"/>
    <mergeCell ref="R434:T434"/>
    <mergeCell ref="L435:M435"/>
    <mergeCell ref="N435:Q435"/>
    <mergeCell ref="R435:T435"/>
    <mergeCell ref="L436:M436"/>
    <mergeCell ref="N439:Q439"/>
    <mergeCell ref="R439:T439"/>
    <mergeCell ref="L437:M437"/>
    <mergeCell ref="N437:Q437"/>
    <mergeCell ref="R437:T437"/>
    <mergeCell ref="L438:M438"/>
    <mergeCell ref="N438:Q438"/>
    <mergeCell ref="R438:T438"/>
    <mergeCell ref="L439:M439"/>
    <mergeCell ref="N442:Q442"/>
    <mergeCell ref="R442:T442"/>
    <mergeCell ref="L440:M440"/>
    <mergeCell ref="N440:Q440"/>
    <mergeCell ref="R440:T440"/>
    <mergeCell ref="L441:M441"/>
    <mergeCell ref="N441:Q441"/>
    <mergeCell ref="R441:T441"/>
    <mergeCell ref="L442:M442"/>
    <mergeCell ref="N445:Q445"/>
    <mergeCell ref="R445:T445"/>
    <mergeCell ref="L443:M443"/>
    <mergeCell ref="N443:Q443"/>
    <mergeCell ref="R443:T443"/>
    <mergeCell ref="L444:M444"/>
    <mergeCell ref="N444:Q444"/>
    <mergeCell ref="R444:T444"/>
    <mergeCell ref="L445:M445"/>
    <mergeCell ref="N448:Q448"/>
    <mergeCell ref="R448:T448"/>
    <mergeCell ref="L446:M446"/>
    <mergeCell ref="N446:Q446"/>
    <mergeCell ref="R446:T446"/>
    <mergeCell ref="L447:M447"/>
    <mergeCell ref="N447:Q447"/>
    <mergeCell ref="R447:T447"/>
    <mergeCell ref="L448:M448"/>
    <mergeCell ref="N451:Q451"/>
    <mergeCell ref="R451:T451"/>
    <mergeCell ref="L449:M449"/>
    <mergeCell ref="N449:Q449"/>
    <mergeCell ref="R449:T449"/>
    <mergeCell ref="L450:M450"/>
    <mergeCell ref="N450:Q450"/>
    <mergeCell ref="R450:T450"/>
    <mergeCell ref="L451:M451"/>
    <mergeCell ref="N454:Q454"/>
    <mergeCell ref="R454:T454"/>
    <mergeCell ref="L452:M452"/>
    <mergeCell ref="N452:Q452"/>
    <mergeCell ref="R452:T452"/>
    <mergeCell ref="L453:M453"/>
    <mergeCell ref="N453:Q453"/>
    <mergeCell ref="R453:T453"/>
    <mergeCell ref="L454:M454"/>
    <mergeCell ref="N457:Q457"/>
    <mergeCell ref="R457:T457"/>
    <mergeCell ref="L455:M455"/>
    <mergeCell ref="N455:Q455"/>
    <mergeCell ref="R455:T455"/>
    <mergeCell ref="L456:M456"/>
    <mergeCell ref="N456:Q456"/>
    <mergeCell ref="R456:T456"/>
    <mergeCell ref="L457:M457"/>
    <mergeCell ref="N460:Q460"/>
    <mergeCell ref="R460:T460"/>
    <mergeCell ref="L458:M458"/>
    <mergeCell ref="N458:Q458"/>
    <mergeCell ref="R458:T458"/>
    <mergeCell ref="L459:M459"/>
    <mergeCell ref="N459:Q459"/>
    <mergeCell ref="R459:T459"/>
    <mergeCell ref="L460:M460"/>
    <mergeCell ref="N463:Q463"/>
    <mergeCell ref="R463:T463"/>
    <mergeCell ref="L461:M461"/>
    <mergeCell ref="N461:Q461"/>
    <mergeCell ref="R461:T461"/>
    <mergeCell ref="L462:M462"/>
    <mergeCell ref="N462:Q462"/>
    <mergeCell ref="R462:T462"/>
    <mergeCell ref="L463:M463"/>
    <mergeCell ref="N466:Q466"/>
    <mergeCell ref="R466:T466"/>
    <mergeCell ref="L464:M464"/>
    <mergeCell ref="N464:Q464"/>
    <mergeCell ref="R464:T464"/>
    <mergeCell ref="L465:M465"/>
    <mergeCell ref="N465:Q465"/>
    <mergeCell ref="R465:T465"/>
    <mergeCell ref="L466:M466"/>
    <mergeCell ref="N469:Q469"/>
    <mergeCell ref="R469:T469"/>
    <mergeCell ref="L467:M467"/>
    <mergeCell ref="N467:Q467"/>
    <mergeCell ref="R467:T467"/>
    <mergeCell ref="L468:M468"/>
    <mergeCell ref="N468:Q468"/>
    <mergeCell ref="R468:T468"/>
    <mergeCell ref="L469:M469"/>
    <mergeCell ref="N472:Q472"/>
    <mergeCell ref="R472:T472"/>
    <mergeCell ref="L470:M470"/>
    <mergeCell ref="N470:Q470"/>
    <mergeCell ref="R470:T470"/>
    <mergeCell ref="L471:M471"/>
    <mergeCell ref="N471:Q471"/>
    <mergeCell ref="R471:T471"/>
    <mergeCell ref="L472:M472"/>
    <mergeCell ref="N475:Q475"/>
    <mergeCell ref="R475:T475"/>
    <mergeCell ref="L473:M473"/>
    <mergeCell ref="N473:Q473"/>
    <mergeCell ref="R473:T473"/>
    <mergeCell ref="L474:M474"/>
    <mergeCell ref="N474:Q474"/>
    <mergeCell ref="R474:T474"/>
    <mergeCell ref="L475:M475"/>
    <mergeCell ref="N499:Q499"/>
    <mergeCell ref="R499:T499"/>
    <mergeCell ref="L497:M497"/>
    <mergeCell ref="N497:Q497"/>
    <mergeCell ref="R497:T497"/>
    <mergeCell ref="L498:M498"/>
    <mergeCell ref="N498:Q498"/>
    <mergeCell ref="R498:T498"/>
    <mergeCell ref="L499:M499"/>
    <mergeCell ref="V61:W61"/>
    <mergeCell ref="X61:Y61"/>
    <mergeCell ref="X55:Y55"/>
    <mergeCell ref="X56:Y56"/>
    <mergeCell ref="V60:W60"/>
    <mergeCell ref="X60:Y60"/>
    <mergeCell ref="L61:M61"/>
    <mergeCell ref="N61:Q61"/>
    <mergeCell ref="R61:T61"/>
    <mergeCell ref="N64:Q64"/>
    <mergeCell ref="R64:T64"/>
    <mergeCell ref="L62:M62"/>
    <mergeCell ref="N62:Q62"/>
    <mergeCell ref="R62:T62"/>
    <mergeCell ref="L63:M63"/>
    <mergeCell ref="N63:Q63"/>
    <mergeCell ref="R63:T63"/>
    <mergeCell ref="L64:M64"/>
    <mergeCell ref="N67:Q67"/>
    <mergeCell ref="R67:T67"/>
    <mergeCell ref="L65:M65"/>
    <mergeCell ref="N65:Q65"/>
    <mergeCell ref="R65:T65"/>
    <mergeCell ref="L66:M66"/>
    <mergeCell ref="N66:Q66"/>
    <mergeCell ref="R66:T66"/>
    <mergeCell ref="L67:M67"/>
    <mergeCell ref="L500:M500"/>
    <mergeCell ref="N500:Q500"/>
    <mergeCell ref="R500:T500"/>
    <mergeCell ref="N478:Q478"/>
    <mergeCell ref="R478:T478"/>
    <mergeCell ref="L476:M476"/>
    <mergeCell ref="N476:Q476"/>
    <mergeCell ref="R476:T476"/>
    <mergeCell ref="L477:M477"/>
    <mergeCell ref="N477:Q477"/>
    <mergeCell ref="R477:T477"/>
    <mergeCell ref="L478:M478"/>
    <mergeCell ref="N481:Q481"/>
    <mergeCell ref="R481:T481"/>
    <mergeCell ref="L479:M479"/>
    <mergeCell ref="N479:Q479"/>
    <mergeCell ref="R479:T479"/>
    <mergeCell ref="L480:M480"/>
    <mergeCell ref="N480:Q480"/>
    <mergeCell ref="R480:T480"/>
    <mergeCell ref="L481:M481"/>
    <mergeCell ref="N484:Q484"/>
    <mergeCell ref="R484:T484"/>
    <mergeCell ref="L482:M482"/>
    <mergeCell ref="N482:Q482"/>
    <mergeCell ref="R482:T482"/>
    <mergeCell ref="L483:M483"/>
    <mergeCell ref="N483:Q483"/>
    <mergeCell ref="R483:T483"/>
    <mergeCell ref="L484:M484"/>
    <mergeCell ref="N487:Q487"/>
    <mergeCell ref="R487:T487"/>
    <mergeCell ref="L485:M485"/>
    <mergeCell ref="N485:Q485"/>
    <mergeCell ref="R485:T485"/>
    <mergeCell ref="L486:M486"/>
    <mergeCell ref="N486:Q486"/>
    <mergeCell ref="R486:T486"/>
    <mergeCell ref="L487:M487"/>
    <mergeCell ref="N490:Q490"/>
    <mergeCell ref="R490:T490"/>
    <mergeCell ref="L488:M488"/>
    <mergeCell ref="N488:Q488"/>
    <mergeCell ref="R488:T488"/>
    <mergeCell ref="L489:M489"/>
    <mergeCell ref="N489:Q489"/>
    <mergeCell ref="R489:T489"/>
    <mergeCell ref="L490:M490"/>
    <mergeCell ref="N493:Q493"/>
    <mergeCell ref="R493:T493"/>
    <mergeCell ref="L491:M491"/>
    <mergeCell ref="N491:Q491"/>
    <mergeCell ref="R491:T491"/>
    <mergeCell ref="L492:M492"/>
    <mergeCell ref="N492:Q492"/>
    <mergeCell ref="R492:T492"/>
    <mergeCell ref="L493:M493"/>
    <mergeCell ref="N496:Q496"/>
    <mergeCell ref="R496:T496"/>
    <mergeCell ref="L494:M494"/>
    <mergeCell ref="N494:Q494"/>
    <mergeCell ref="R494:T494"/>
    <mergeCell ref="L495:M495"/>
    <mergeCell ref="N495:Q495"/>
    <mergeCell ref="R495:T495"/>
    <mergeCell ref="L496:M496"/>
    <mergeCell ref="N205:Q205"/>
    <mergeCell ref="R205:T205"/>
    <mergeCell ref="L203:M203"/>
    <mergeCell ref="N203:Q203"/>
    <mergeCell ref="R203:T203"/>
    <mergeCell ref="L204:M204"/>
    <mergeCell ref="N204:Q204"/>
    <mergeCell ref="R204:T204"/>
    <mergeCell ref="L205:M205"/>
    <mergeCell ref="N208:Q208"/>
    <mergeCell ref="R208:T208"/>
    <mergeCell ref="L206:M206"/>
    <mergeCell ref="N206:Q206"/>
    <mergeCell ref="R206:T206"/>
    <mergeCell ref="L207:M207"/>
    <mergeCell ref="N207:Q207"/>
    <mergeCell ref="R207:T207"/>
    <mergeCell ref="L208:M208"/>
    <mergeCell ref="N211:Q211"/>
    <mergeCell ref="R211:T211"/>
    <mergeCell ref="L209:M209"/>
    <mergeCell ref="N209:Q209"/>
    <mergeCell ref="R209:T209"/>
    <mergeCell ref="L210:M210"/>
    <mergeCell ref="N210:Q210"/>
    <mergeCell ref="R210:T210"/>
    <mergeCell ref="L211:M211"/>
    <mergeCell ref="N214:Q214"/>
    <mergeCell ref="R214:T214"/>
    <mergeCell ref="L212:M212"/>
    <mergeCell ref="N212:Q212"/>
    <mergeCell ref="R212:T212"/>
    <mergeCell ref="L213:M213"/>
    <mergeCell ref="N213:Q213"/>
    <mergeCell ref="R213:T213"/>
    <mergeCell ref="L214:M214"/>
    <mergeCell ref="N217:Q217"/>
    <mergeCell ref="R217:T217"/>
    <mergeCell ref="L215:M215"/>
    <mergeCell ref="N215:Q215"/>
    <mergeCell ref="R215:T215"/>
    <mergeCell ref="L216:M216"/>
    <mergeCell ref="N216:Q216"/>
    <mergeCell ref="R216:T216"/>
    <mergeCell ref="L217:M217"/>
    <mergeCell ref="N220:Q220"/>
    <mergeCell ref="R220:T220"/>
    <mergeCell ref="L218:M218"/>
    <mergeCell ref="N218:Q218"/>
    <mergeCell ref="R218:T218"/>
    <mergeCell ref="L219:M219"/>
    <mergeCell ref="N219:Q219"/>
    <mergeCell ref="R219:T219"/>
    <mergeCell ref="L220:M220"/>
    <mergeCell ref="N223:Q223"/>
    <mergeCell ref="R223:T223"/>
    <mergeCell ref="L221:M221"/>
    <mergeCell ref="N221:Q221"/>
    <mergeCell ref="R221:T221"/>
    <mergeCell ref="L222:M222"/>
    <mergeCell ref="N222:Q222"/>
    <mergeCell ref="R222:T222"/>
    <mergeCell ref="L223:M223"/>
    <mergeCell ref="N226:Q226"/>
    <mergeCell ref="R226:T226"/>
    <mergeCell ref="L224:M224"/>
    <mergeCell ref="N224:Q224"/>
    <mergeCell ref="R224:T224"/>
    <mergeCell ref="L225:M225"/>
    <mergeCell ref="N225:Q225"/>
    <mergeCell ref="R225:T225"/>
    <mergeCell ref="L226:M226"/>
    <mergeCell ref="N229:Q229"/>
    <mergeCell ref="R229:T229"/>
    <mergeCell ref="L227:M227"/>
    <mergeCell ref="N227:Q227"/>
    <mergeCell ref="R227:T227"/>
    <mergeCell ref="L228:M228"/>
    <mergeCell ref="N228:Q228"/>
    <mergeCell ref="R228:T228"/>
    <mergeCell ref="L229:M229"/>
    <mergeCell ref="N232:Q232"/>
    <mergeCell ref="R232:T232"/>
    <mergeCell ref="L230:M230"/>
    <mergeCell ref="N230:Q230"/>
    <mergeCell ref="R230:T230"/>
    <mergeCell ref="L231:M231"/>
    <mergeCell ref="N231:Q231"/>
    <mergeCell ref="R231:T231"/>
    <mergeCell ref="L232:M232"/>
    <mergeCell ref="N235:Q235"/>
    <mergeCell ref="R235:T235"/>
    <mergeCell ref="L233:M233"/>
    <mergeCell ref="N233:Q233"/>
    <mergeCell ref="R233:T233"/>
    <mergeCell ref="L234:M234"/>
    <mergeCell ref="N234:Q234"/>
    <mergeCell ref="R234:T234"/>
    <mergeCell ref="L235:M235"/>
    <mergeCell ref="N238:Q238"/>
    <mergeCell ref="R238:T238"/>
    <mergeCell ref="L236:M236"/>
    <mergeCell ref="N236:Q236"/>
    <mergeCell ref="R236:T236"/>
    <mergeCell ref="L237:M237"/>
    <mergeCell ref="N237:Q237"/>
    <mergeCell ref="R237:T237"/>
    <mergeCell ref="L238:M238"/>
    <mergeCell ref="N241:Q241"/>
    <mergeCell ref="R241:T241"/>
    <mergeCell ref="L239:M239"/>
    <mergeCell ref="N239:Q239"/>
    <mergeCell ref="R239:T239"/>
    <mergeCell ref="L240:M240"/>
    <mergeCell ref="N240:Q240"/>
    <mergeCell ref="R240:T240"/>
    <mergeCell ref="L241:M241"/>
    <mergeCell ref="N244:Q244"/>
    <mergeCell ref="R244:T244"/>
    <mergeCell ref="L242:M242"/>
    <mergeCell ref="N242:Q242"/>
    <mergeCell ref="R242:T242"/>
    <mergeCell ref="L243:M243"/>
    <mergeCell ref="N243:Q243"/>
    <mergeCell ref="R243:T243"/>
    <mergeCell ref="L244:M244"/>
    <mergeCell ref="N247:Q247"/>
    <mergeCell ref="R247:T247"/>
    <mergeCell ref="L245:M245"/>
    <mergeCell ref="N245:Q245"/>
    <mergeCell ref="R245:T245"/>
    <mergeCell ref="L246:M246"/>
    <mergeCell ref="N246:Q246"/>
    <mergeCell ref="R246:T246"/>
    <mergeCell ref="L247:M247"/>
    <mergeCell ref="N250:Q250"/>
    <mergeCell ref="R250:T250"/>
    <mergeCell ref="L248:M248"/>
    <mergeCell ref="N248:Q248"/>
    <mergeCell ref="R248:T248"/>
    <mergeCell ref="L249:M249"/>
    <mergeCell ref="N249:Q249"/>
    <mergeCell ref="R249:T249"/>
    <mergeCell ref="L250:M250"/>
    <mergeCell ref="N253:Q253"/>
    <mergeCell ref="R253:T253"/>
    <mergeCell ref="L251:M251"/>
    <mergeCell ref="N251:Q251"/>
    <mergeCell ref="R251:T251"/>
    <mergeCell ref="L252:M252"/>
    <mergeCell ref="N252:Q252"/>
    <mergeCell ref="R252:T252"/>
    <mergeCell ref="L253:M253"/>
    <mergeCell ref="N256:Q256"/>
    <mergeCell ref="R256:T256"/>
    <mergeCell ref="L254:M254"/>
    <mergeCell ref="N254:Q254"/>
    <mergeCell ref="R254:T254"/>
    <mergeCell ref="L255:M255"/>
    <mergeCell ref="N255:Q255"/>
    <mergeCell ref="R255:T255"/>
    <mergeCell ref="L256:M256"/>
    <mergeCell ref="N259:Q259"/>
    <mergeCell ref="R259:T259"/>
    <mergeCell ref="L257:M257"/>
    <mergeCell ref="N257:Q257"/>
    <mergeCell ref="R257:T257"/>
    <mergeCell ref="L258:M258"/>
    <mergeCell ref="N258:Q258"/>
    <mergeCell ref="R258:T258"/>
    <mergeCell ref="L259:M259"/>
    <mergeCell ref="N262:Q262"/>
    <mergeCell ref="R262:T262"/>
    <mergeCell ref="L260:M260"/>
    <mergeCell ref="N260:Q260"/>
    <mergeCell ref="R260:T260"/>
    <mergeCell ref="L261:M261"/>
    <mergeCell ref="N261:Q261"/>
    <mergeCell ref="R261:T261"/>
    <mergeCell ref="L262:M262"/>
    <mergeCell ref="N265:Q265"/>
    <mergeCell ref="R265:T265"/>
    <mergeCell ref="L263:M263"/>
    <mergeCell ref="N263:Q263"/>
    <mergeCell ref="R263:T263"/>
    <mergeCell ref="L264:M264"/>
    <mergeCell ref="N264:Q264"/>
    <mergeCell ref="R264:T264"/>
    <mergeCell ref="L265:M265"/>
    <mergeCell ref="N268:Q268"/>
    <mergeCell ref="R268:T268"/>
    <mergeCell ref="L266:M266"/>
    <mergeCell ref="N266:Q266"/>
    <mergeCell ref="R266:T266"/>
    <mergeCell ref="L267:M267"/>
    <mergeCell ref="N267:Q267"/>
    <mergeCell ref="R267:T267"/>
    <mergeCell ref="L268:M268"/>
    <mergeCell ref="N271:Q271"/>
    <mergeCell ref="R271:T271"/>
    <mergeCell ref="L269:M269"/>
    <mergeCell ref="N269:Q269"/>
    <mergeCell ref="R269:T269"/>
    <mergeCell ref="L270:M270"/>
    <mergeCell ref="N270:Q270"/>
    <mergeCell ref="R270:T270"/>
    <mergeCell ref="L271:M271"/>
    <mergeCell ref="N274:Q274"/>
    <mergeCell ref="R274:T274"/>
    <mergeCell ref="L272:M272"/>
    <mergeCell ref="N272:Q272"/>
    <mergeCell ref="R272:T272"/>
    <mergeCell ref="L273:M273"/>
    <mergeCell ref="N273:Q273"/>
    <mergeCell ref="R273:T273"/>
    <mergeCell ref="L274:M274"/>
    <mergeCell ref="N277:Q277"/>
    <mergeCell ref="R277:T277"/>
    <mergeCell ref="L275:M275"/>
    <mergeCell ref="N275:Q275"/>
    <mergeCell ref="R275:T275"/>
    <mergeCell ref="L276:M276"/>
    <mergeCell ref="N276:Q276"/>
    <mergeCell ref="R276:T276"/>
    <mergeCell ref="L277:M277"/>
    <mergeCell ref="N280:Q280"/>
    <mergeCell ref="R280:T280"/>
    <mergeCell ref="L278:M278"/>
    <mergeCell ref="N278:Q278"/>
    <mergeCell ref="R278:T278"/>
    <mergeCell ref="L279:M279"/>
    <mergeCell ref="N279:Q279"/>
    <mergeCell ref="R279:T279"/>
    <mergeCell ref="L280:M280"/>
    <mergeCell ref="N283:Q283"/>
    <mergeCell ref="R283:T283"/>
    <mergeCell ref="L281:M281"/>
    <mergeCell ref="N281:Q281"/>
    <mergeCell ref="R281:T281"/>
    <mergeCell ref="L282:M282"/>
    <mergeCell ref="N282:Q282"/>
    <mergeCell ref="R282:T282"/>
    <mergeCell ref="L283:M283"/>
    <mergeCell ref="N286:Q286"/>
    <mergeCell ref="R286:T286"/>
    <mergeCell ref="L284:M284"/>
    <mergeCell ref="N284:Q284"/>
    <mergeCell ref="R284:T284"/>
    <mergeCell ref="L285:M285"/>
    <mergeCell ref="N285:Q285"/>
    <mergeCell ref="R285:T285"/>
    <mergeCell ref="L286:M286"/>
    <mergeCell ref="N289:Q289"/>
    <mergeCell ref="R289:T289"/>
    <mergeCell ref="L287:M287"/>
    <mergeCell ref="N287:Q287"/>
    <mergeCell ref="R287:T287"/>
    <mergeCell ref="L288:M288"/>
    <mergeCell ref="N288:Q288"/>
    <mergeCell ref="R288:T288"/>
    <mergeCell ref="L289:M289"/>
    <mergeCell ref="N292:Q292"/>
    <mergeCell ref="R292:T292"/>
    <mergeCell ref="L290:M290"/>
    <mergeCell ref="N290:Q290"/>
    <mergeCell ref="R290:T290"/>
    <mergeCell ref="L291:M291"/>
    <mergeCell ref="N291:Q291"/>
    <mergeCell ref="R291:T291"/>
    <mergeCell ref="L292:M292"/>
    <mergeCell ref="N295:Q295"/>
    <mergeCell ref="R295:T295"/>
    <mergeCell ref="L293:M293"/>
    <mergeCell ref="N293:Q293"/>
    <mergeCell ref="R293:T293"/>
    <mergeCell ref="L294:M294"/>
    <mergeCell ref="N294:Q294"/>
    <mergeCell ref="R294:T294"/>
    <mergeCell ref="L295:M295"/>
    <mergeCell ref="N298:Q298"/>
    <mergeCell ref="R298:T298"/>
    <mergeCell ref="L296:M296"/>
    <mergeCell ref="N296:Q296"/>
    <mergeCell ref="R296:T296"/>
    <mergeCell ref="L297:M297"/>
    <mergeCell ref="N297:Q297"/>
    <mergeCell ref="R297:T297"/>
    <mergeCell ref="L298:M298"/>
    <mergeCell ref="N301:Q301"/>
    <mergeCell ref="R301:T301"/>
    <mergeCell ref="L299:M299"/>
    <mergeCell ref="N299:Q299"/>
    <mergeCell ref="R299:T299"/>
    <mergeCell ref="L300:M300"/>
    <mergeCell ref="N300:Q300"/>
    <mergeCell ref="R300:T300"/>
    <mergeCell ref="L301:M301"/>
    <mergeCell ref="N304:Q304"/>
    <mergeCell ref="R304:T304"/>
    <mergeCell ref="L302:M302"/>
    <mergeCell ref="N302:Q302"/>
    <mergeCell ref="R302:T302"/>
    <mergeCell ref="L303:M303"/>
    <mergeCell ref="N303:Q303"/>
    <mergeCell ref="R303:T303"/>
    <mergeCell ref="L304:M304"/>
    <mergeCell ref="N307:Q307"/>
    <mergeCell ref="R307:T307"/>
    <mergeCell ref="L305:M305"/>
    <mergeCell ref="N305:Q305"/>
    <mergeCell ref="R305:T305"/>
    <mergeCell ref="L306:M306"/>
    <mergeCell ref="N306:Q306"/>
    <mergeCell ref="R306:T306"/>
    <mergeCell ref="L307:M307"/>
    <mergeCell ref="N310:Q310"/>
    <mergeCell ref="R310:T310"/>
    <mergeCell ref="L308:M308"/>
    <mergeCell ref="N308:Q308"/>
    <mergeCell ref="R308:T308"/>
    <mergeCell ref="L309:M309"/>
    <mergeCell ref="N309:Q309"/>
    <mergeCell ref="R309:T309"/>
    <mergeCell ref="L310:M310"/>
    <mergeCell ref="N313:Q313"/>
    <mergeCell ref="R313:T313"/>
    <mergeCell ref="L311:M311"/>
    <mergeCell ref="N311:Q311"/>
    <mergeCell ref="R311:T311"/>
    <mergeCell ref="L312:M312"/>
    <mergeCell ref="N312:Q312"/>
    <mergeCell ref="R312:T312"/>
    <mergeCell ref="L313:M313"/>
    <mergeCell ref="N316:Q316"/>
    <mergeCell ref="R316:T316"/>
    <mergeCell ref="L314:M314"/>
    <mergeCell ref="N314:Q314"/>
    <mergeCell ref="R314:T314"/>
    <mergeCell ref="L315:M315"/>
    <mergeCell ref="N315:Q315"/>
    <mergeCell ref="R315:T315"/>
    <mergeCell ref="L316:M316"/>
    <mergeCell ref="N319:Q319"/>
    <mergeCell ref="R319:T319"/>
    <mergeCell ref="L317:M317"/>
    <mergeCell ref="N317:Q317"/>
    <mergeCell ref="R317:T317"/>
    <mergeCell ref="L318:M318"/>
    <mergeCell ref="N318:Q318"/>
    <mergeCell ref="R318:T318"/>
    <mergeCell ref="L319:M319"/>
    <mergeCell ref="N322:Q322"/>
    <mergeCell ref="R322:T322"/>
    <mergeCell ref="L320:M320"/>
    <mergeCell ref="N320:Q320"/>
    <mergeCell ref="R320:T320"/>
    <mergeCell ref="L321:M321"/>
    <mergeCell ref="N321:Q321"/>
    <mergeCell ref="R321:T321"/>
    <mergeCell ref="L322:M322"/>
    <mergeCell ref="N325:Q325"/>
    <mergeCell ref="R325:T325"/>
    <mergeCell ref="L323:M323"/>
    <mergeCell ref="N323:Q323"/>
    <mergeCell ref="R323:T323"/>
    <mergeCell ref="L324:M324"/>
    <mergeCell ref="N324:Q324"/>
    <mergeCell ref="R324:T324"/>
    <mergeCell ref="L325:M325"/>
    <mergeCell ref="N328:Q328"/>
    <mergeCell ref="R328:T328"/>
    <mergeCell ref="L326:M326"/>
    <mergeCell ref="N326:Q326"/>
    <mergeCell ref="R326:T326"/>
    <mergeCell ref="L327:M327"/>
    <mergeCell ref="N327:Q327"/>
    <mergeCell ref="R327:T327"/>
    <mergeCell ref="L328:M328"/>
    <mergeCell ref="N331:Q331"/>
    <mergeCell ref="R331:T331"/>
    <mergeCell ref="L329:M329"/>
    <mergeCell ref="N329:Q329"/>
    <mergeCell ref="R329:T329"/>
    <mergeCell ref="L330:M330"/>
    <mergeCell ref="N330:Q330"/>
    <mergeCell ref="R330:T330"/>
    <mergeCell ref="L331:M331"/>
    <mergeCell ref="N334:Q334"/>
    <mergeCell ref="R334:T334"/>
    <mergeCell ref="L332:M332"/>
    <mergeCell ref="N332:Q332"/>
    <mergeCell ref="R332:T332"/>
    <mergeCell ref="L333:M333"/>
    <mergeCell ref="N333:Q333"/>
    <mergeCell ref="R333:T333"/>
    <mergeCell ref="L334:M334"/>
    <mergeCell ref="N337:Q337"/>
    <mergeCell ref="R337:T337"/>
    <mergeCell ref="L335:M335"/>
    <mergeCell ref="N335:Q335"/>
    <mergeCell ref="R335:T335"/>
    <mergeCell ref="L336:M336"/>
    <mergeCell ref="N336:Q336"/>
    <mergeCell ref="R336:T336"/>
    <mergeCell ref="L337:M337"/>
    <mergeCell ref="N340:Q340"/>
    <mergeCell ref="R340:T340"/>
    <mergeCell ref="L338:M338"/>
    <mergeCell ref="N338:Q338"/>
    <mergeCell ref="R338:T338"/>
    <mergeCell ref="L339:M339"/>
    <mergeCell ref="N339:Q339"/>
    <mergeCell ref="R339:T339"/>
    <mergeCell ref="L340:M340"/>
    <mergeCell ref="N343:Q343"/>
    <mergeCell ref="R343:T343"/>
    <mergeCell ref="L341:M341"/>
    <mergeCell ref="N341:Q341"/>
    <mergeCell ref="R341:T341"/>
    <mergeCell ref="L342:M342"/>
    <mergeCell ref="N342:Q342"/>
    <mergeCell ref="R342:T342"/>
    <mergeCell ref="L343:M343"/>
    <mergeCell ref="N346:Q346"/>
    <mergeCell ref="R346:T346"/>
    <mergeCell ref="L344:M344"/>
    <mergeCell ref="N344:Q344"/>
    <mergeCell ref="R344:T344"/>
    <mergeCell ref="L345:M345"/>
    <mergeCell ref="N345:Q345"/>
    <mergeCell ref="R345:T345"/>
    <mergeCell ref="L346:M346"/>
    <mergeCell ref="N349:Q349"/>
    <mergeCell ref="R349:T349"/>
    <mergeCell ref="L347:M347"/>
    <mergeCell ref="N347:Q347"/>
    <mergeCell ref="R347:T347"/>
    <mergeCell ref="L348:M348"/>
    <mergeCell ref="N348:Q348"/>
    <mergeCell ref="R348:T348"/>
    <mergeCell ref="L349:M349"/>
  </mergeCells>
  <conditionalFormatting sqref="R9:X9">
    <cfRule type="expression" dxfId="5" priority="1" stopIfTrue="1">
      <formula>MONTH(R9)&lt;&gt;$D$3</formula>
    </cfRule>
  </conditionalFormatting>
  <conditionalFormatting sqref="R19:X19">
    <cfRule type="expression" dxfId="6" priority="2" stopIfTrue="1">
      <formula>MONTH(R19)&lt;&gt;$D$3</formula>
    </cfRule>
  </conditionalFormatting>
  <conditionalFormatting sqref="R17:X17">
    <cfRule type="expression" dxfId="6" priority="3" stopIfTrue="1">
      <formula>MONTH(R17)&lt;&gt;$D$3</formula>
    </cfRule>
  </conditionalFormatting>
  <conditionalFormatting sqref="R15:X15">
    <cfRule type="expression" dxfId="6" priority="4" stopIfTrue="1">
      <formula>MONTH(R15)&lt;&gt;$D$3</formula>
    </cfRule>
  </conditionalFormatting>
  <conditionalFormatting sqref="R13:X13">
    <cfRule type="expression" dxfId="6" priority="5" stopIfTrue="1">
      <formula>MONTH(R13)&lt;&gt;$D$3</formula>
    </cfRule>
  </conditionalFormatting>
  <conditionalFormatting sqref="R11:X11">
    <cfRule type="expression" dxfId="6" priority="6" stopIfTrue="1">
      <formula>MONTH(R11)&lt;&gt;$D$3</formula>
    </cfRule>
  </conditionalFormatting>
  <conditionalFormatting sqref="R20:X20">
    <cfRule type="expression" dxfId="6" priority="7" stopIfTrue="1">
      <formula>MONTH(R19)&lt;&gt;$D$3</formula>
    </cfRule>
  </conditionalFormatting>
  <conditionalFormatting sqref="R18:X18">
    <cfRule type="expression" dxfId="6" priority="8" stopIfTrue="1">
      <formula>MONTH(R17)&lt;&gt;$D$3</formula>
    </cfRule>
  </conditionalFormatting>
  <conditionalFormatting sqref="R16:X16">
    <cfRule type="expression" dxfId="6" priority="9" stopIfTrue="1">
      <formula>MONTH(R15)&lt;&gt;$D$3</formula>
    </cfRule>
  </conditionalFormatting>
  <conditionalFormatting sqref="R14:X14">
    <cfRule type="expression" dxfId="6" priority="10" stopIfTrue="1">
      <formula>MONTH(R13)&lt;&gt;$D$3</formula>
    </cfRule>
  </conditionalFormatting>
  <conditionalFormatting sqref="R12:X12">
    <cfRule type="expression" dxfId="6" priority="11" stopIfTrue="1">
      <formula>MONTH(R11)&lt;&gt;$D$3</formula>
    </cfRule>
  </conditionalFormatting>
  <conditionalFormatting sqref="R10:X10">
    <cfRule type="expression" dxfId="6" priority="12" stopIfTrue="1">
      <formula>MONTH(R9)&lt;&gt;$D$3</formula>
    </cfRule>
  </conditionalFormatting>
  <conditionalFormatting sqref="Y20">
    <cfRule type="expression" dxfId="6" priority="13" stopIfTrue="1">
      <formula>MONTH($R$19)&lt;&gt;$D$3</formula>
    </cfRule>
  </conditionalFormatting>
  <conditionalFormatting sqref="Y18">
    <cfRule type="expression" dxfId="6" priority="14" stopIfTrue="1">
      <formula>MONTH($R$17)&lt;&gt;$D$3</formula>
    </cfRule>
  </conditionalFormatting>
  <conditionalFormatting sqref="Y16">
    <cfRule type="expression" dxfId="6" priority="15" stopIfTrue="1">
      <formula>MONTH($R$15)&lt;&gt;$D$3</formula>
    </cfRule>
  </conditionalFormatting>
  <conditionalFormatting sqref="Y14">
    <cfRule type="expression" dxfId="6" priority="16" stopIfTrue="1">
      <formula>MONTH($R$13)&lt;&gt;$D$3</formula>
    </cfRule>
  </conditionalFormatting>
  <conditionalFormatting sqref="Y12">
    <cfRule type="expression" dxfId="6" priority="17" stopIfTrue="1">
      <formula>MONTH($R$11)&lt;&gt;$D$3</formula>
    </cfRule>
  </conditionalFormatting>
  <conditionalFormatting sqref="Y10">
    <cfRule type="expression" dxfId="6" priority="18" stopIfTrue="1">
      <formula>MONTH($X$9)&lt;&gt;$D$3</formula>
    </cfRule>
  </conditionalFormatting>
  <conditionalFormatting sqref="H62:H500">
    <cfRule type="expression" dxfId="7" priority="19" stopIfTrue="1">
      <formula>AND(H62="", I62&lt;&gt;"")</formula>
    </cfRule>
  </conditionalFormatting>
  <dataValidations>
    <dataValidation type="list" allowBlank="1" showErrorMessage="1" sqref="J86">
      <formula1>'12월'!$AB$86:$AI$86</formula1>
    </dataValidation>
    <dataValidation type="list" allowBlank="1" showErrorMessage="1" sqref="J455">
      <formula1>'12월'!$AB$455:$AI$455</formula1>
    </dataValidation>
    <dataValidation type="list" allowBlank="1" showErrorMessage="1" sqref="J470">
      <formula1>'12월'!$AB$470:$AI$470</formula1>
    </dataValidation>
    <dataValidation type="list" allowBlank="1" showErrorMessage="1" sqref="J346">
      <formula1>'12월'!$AB$346:$AI$346</formula1>
    </dataValidation>
    <dataValidation type="list" allowBlank="1" showErrorMessage="1" sqref="J361">
      <formula1>'12월'!$AB$361:$AI$361</formula1>
    </dataValidation>
    <dataValidation type="list" allowBlank="1" showErrorMessage="1" sqref="J237">
      <formula1>'12월'!$AB$237:$AI$237</formula1>
    </dataValidation>
    <dataValidation type="list" allowBlank="1" showErrorMessage="1" sqref="J128">
      <formula1>'12월'!$AB$128:$AI$128</formula1>
    </dataValidation>
    <dataValidation type="list" allowBlank="1" showErrorMessage="1" sqref="J475">
      <formula1>'12월'!$AB$475:$AI$475</formula1>
    </dataValidation>
    <dataValidation type="list" allowBlank="1" showErrorMessage="1" sqref="J272">
      <formula1>'12월'!$AB$272:$AI$272</formula1>
    </dataValidation>
    <dataValidation type="list" allowBlank="1" showErrorMessage="1" sqref="J72">
      <formula1>'12월'!$AB$72:$AI$72</formula1>
    </dataValidation>
    <dataValidation type="list" allowBlank="1" showErrorMessage="1" sqref="J163">
      <formula1>'12월'!$AB$163:$AI$163</formula1>
    </dataValidation>
    <dataValidation type="list" allowBlank="1" showErrorMessage="1" sqref="J310">
      <formula1>'12월'!$AB$310:$AI$310</formula1>
    </dataValidation>
    <dataValidation type="list" allowBlank="1" showErrorMessage="1" sqref="J168">
      <formula1>'12월'!$AB$168:$AI$168</formula1>
    </dataValidation>
    <dataValidation type="list" allowBlank="1" showErrorMessage="1" sqref="J232">
      <formula1>'12월'!$AB$232:$AI$232</formula1>
    </dataValidation>
    <dataValidation type="list" allowBlank="1" showErrorMessage="1" sqref="J199">
      <formula1>'12월'!$AB$199:$AI$199</formula1>
    </dataValidation>
    <dataValidation type="list" allowBlank="1" showErrorMessage="1" sqref="J404">
      <formula1>'12월'!$AB$404:$AI$404</formula1>
    </dataValidation>
    <dataValidation type="list" allowBlank="1" showErrorMessage="1" sqref="J201">
      <formula1>'12월'!$AB$201:$AI$201</formula1>
    </dataValidation>
    <dataValidation type="list" allowBlank="1" showErrorMessage="1" sqref="J450">
      <formula1>'12월'!$AB$450:$AI$450</formula1>
    </dataValidation>
    <dataValidation type="list" allowBlank="1" showErrorMessage="1" sqref="J341">
      <formula1>'12월'!$AB$341:$AI$341</formula1>
    </dataValidation>
    <dataValidation type="list" allowBlank="1" showErrorMessage="1" sqref="J409">
      <formula1>'12월'!$AB$409:$AI$409</formula1>
    </dataValidation>
    <dataValidation type="list" allowBlank="1" showErrorMessage="1" sqref="J366">
      <formula1>'12월'!$AB$366:$AI$366</formula1>
    </dataValidation>
    <dataValidation type="list" allowBlank="1" showErrorMessage="1" sqref="J257">
      <formula1>'12월'!$AB$257:$AI$257</formula1>
    </dataValidation>
    <dataValidation type="list" allowBlank="1" showErrorMessage="1" sqref="J252">
      <formula1>'12월'!$AB$252:$AI$252</formula1>
    </dataValidation>
    <dataValidation type="list" allowBlank="1" showErrorMessage="1" sqref="J148">
      <formula1>'12월'!$AB$148:$AI$148</formula1>
    </dataValidation>
    <dataValidation type="list" allowBlank="1" showErrorMessage="1" sqref="J143">
      <formula1>'12월'!$AB$143:$AI$143</formula1>
    </dataValidation>
    <dataValidation type="list" allowBlank="1" showErrorMessage="1" sqref="J98">
      <formula1>'12월'!$AB$98:$AI$98</formula1>
    </dataValidation>
    <dataValidation type="list" allowBlank="1" showErrorMessage="1" sqref="J392">
      <formula1>'12월'!$AB$392:$AI$392</formula1>
    </dataValidation>
    <dataValidation type="list" allowBlank="1" showErrorMessage="1" sqref="J306">
      <formula1>'12월'!$AB$306:$AI$306</formula1>
    </dataValidation>
    <dataValidation type="list" allowBlank="1" showErrorMessage="1" sqref="J226">
      <formula1>'12월'!$AB$226:$AI$226</formula1>
    </dataValidation>
    <dataValidation type="list" allowBlank="1" showErrorMessage="1" sqref="J174">
      <formula1>'12월'!$AB$174:$AI$174</formula1>
    </dataValidation>
    <dataValidation type="list" allowBlank="1" showErrorMessage="1" sqref="J415">
      <formula1>'12월'!$AB$415:$AI$415</formula1>
    </dataValidation>
    <dataValidation type="list" allowBlank="1" showErrorMessage="1" sqref="J283">
      <formula1>'12월'!$AB$283:$AI$283</formula1>
    </dataValidation>
    <dataValidation type="list" allowBlank="1" showErrorMessage="1" sqref="J117">
      <formula1>'12월'!$AB$117:$AI$117</formula1>
    </dataValidation>
    <dataValidation type="list" allowBlank="1" showErrorMessage="1" sqref="J194">
      <formula1>'12월'!$AB$194:$AI$194</formula1>
    </dataValidation>
    <dataValidation type="list" allowBlank="1" showErrorMessage="1" sqref="J206">
      <formula1>'12월'!$AB$206:$AI$206</formula1>
    </dataValidation>
    <dataValidation type="list" allowBlank="1" showErrorMessage="1" sqref="J424">
      <formula1>'12월'!$AB$424:$AI$424</formula1>
    </dataValidation>
    <dataValidation type="list" allowBlank="1" showErrorMessage="1" sqref="J315">
      <formula1>'12월'!$AB$315:$AI$315</formula1>
    </dataValidation>
    <dataValidation type="list" allowBlank="1" showErrorMessage="1" sqref="J246">
      <formula1>'12월'!$AB$246:$AI$246</formula1>
    </dataValidation>
    <dataValidation type="list" allowBlank="1" showErrorMessage="1" sqref="J435">
      <formula1>'12월'!$AB$435:$AI$435</formula1>
    </dataValidation>
    <dataValidation type="list" allowBlank="1" showErrorMessage="1" sqref="J490">
      <formula1>'12월'!$AB$490:$AI$490</formula1>
    </dataValidation>
    <dataValidation type="list" allowBlank="1" showErrorMessage="1" sqref="J326">
      <formula1>'12월'!$AB$326:$AI$326</formula1>
    </dataValidation>
    <dataValidation type="list" allowBlank="1" showErrorMessage="1" sqref="J154">
      <formula1>'12월'!$AB$154:$AI$154</formula1>
    </dataValidation>
    <dataValidation type="list" allowBlank="1" showErrorMessage="1" sqref="J381">
      <formula1>'12월'!$AB$381:$AI$381</formula1>
    </dataValidation>
    <dataValidation type="list" allowBlank="1" showErrorMessage="1" sqref="J88">
      <formula1>'12월'!$AB$88:$AI$88</formula1>
    </dataValidation>
    <dataValidation type="list" allowBlank="1" showErrorMessage="1" sqref="J137">
      <formula1>'12월'!$AB$137:$AI$137</formula1>
    </dataValidation>
    <dataValidation type="list" allowBlank="1" showErrorMessage="1" sqref="J263">
      <formula1>'12월'!$AB$263:$AI$263</formula1>
    </dataValidation>
    <dataValidation type="list" allowBlank="1" showErrorMessage="1" sqref="J444">
      <formula1>'12월'!$AB$444:$AI$444</formula1>
    </dataValidation>
    <dataValidation type="list" allowBlank="1" showErrorMessage="1" sqref="J481">
      <formula1>'12월'!$AB$481:$AI$481</formula1>
    </dataValidation>
    <dataValidation type="list" allowBlank="1" showErrorMessage="1" sqref="J70">
      <formula1>'12월'!$AB$70:$AI$70</formula1>
    </dataValidation>
    <dataValidation type="list" allowBlank="1" showErrorMessage="1" sqref="J292">
      <formula1>'12월'!$AB$292:$AI$292</formula1>
    </dataValidation>
    <dataValidation type="list" allowBlank="1" showErrorMessage="1" sqref="J108">
      <formula1>'12월'!$AB$108:$AI$108</formula1>
    </dataValidation>
    <dataValidation type="list" allowBlank="1" showErrorMessage="1" sqref="J183">
      <formula1>'12월'!$AB$183:$AI$183</formula1>
    </dataValidation>
    <dataValidation type="list" allowBlank="1" showErrorMessage="1" sqref="J372">
      <formula1>'12월'!$AB$372:$AI$372</formula1>
    </dataValidation>
    <dataValidation type="list" allowBlank="1" showErrorMessage="1" sqref="J335">
      <formula1>'12월'!$AB$335:$AI$335</formula1>
    </dataValidation>
    <dataValidation type="list" allowBlank="1" showErrorMessage="1" sqref="J217">
      <formula1>'12월'!$AB$217:$AI$217</formula1>
    </dataValidation>
    <dataValidation type="list" allowBlank="1" showErrorMessage="1" sqref="J375">
      <formula1>'12월'!$AB$375:$AI$375</formula1>
    </dataValidation>
    <dataValidation type="list" allowBlank="1" showErrorMessage="1" sqref="J228">
      <formula1>'12월'!$AB$228:$AI$228</formula1>
    </dataValidation>
    <dataValidation type="list" allowBlank="1" showErrorMessage="1" sqref="J469">
      <formula1>'12월'!$AB$469:$AI$469</formula1>
    </dataValidation>
    <dataValidation type="list" allowBlank="1" showErrorMessage="1" sqref="J101">
      <formula1>'12월'!$AB$101:$AI$101</formula1>
    </dataValidation>
    <dataValidation type="list" allowBlank="1" showErrorMessage="1" sqref="J304">
      <formula1>'12월'!$AB$304:$AI$304</formula1>
    </dataValidation>
    <dataValidation type="list" allowBlank="1" showErrorMessage="1" sqref="J157">
      <formula1>'12월'!$AB$157:$AI$157</formula1>
    </dataValidation>
    <dataValidation type="list" allowBlank="1" showErrorMessage="1" sqref="J337">
      <formula1>'12월'!$AB$337:$AI$337</formula1>
    </dataValidation>
    <dataValidation type="list" allowBlank="1" showErrorMessage="1" sqref="J210">
      <formula1>'12월'!$AB$210:$AI$210</formula1>
    </dataValidation>
    <dataValidation type="list" allowBlank="1" showErrorMessage="1" sqref="J484">
      <formula1>'12월'!$AB$484:$AI$484</formula1>
    </dataValidation>
    <dataValidation type="list" allowBlank="1" showErrorMessage="1" sqref="J177">
      <formula1>'12월'!$AB$177:$AI$177</formula1>
    </dataValidation>
    <dataValidation type="list" allowBlank="1" showErrorMessage="1" sqref="J426">
      <formula1>'12월'!$AB$426:$AI$426</formula1>
    </dataValidation>
    <dataValidation type="list" allowBlank="1" showErrorMessage="1" sqref="J355">
      <formula1>'12월'!$AB$355:$AI$355</formula1>
    </dataValidation>
    <dataValidation type="list" allowBlank="1" showErrorMessage="1" sqref="J119">
      <formula1>'12월'!$AB$119:$AI$119</formula1>
    </dataValidation>
    <dataValidation type="list" allowBlank="1" showErrorMessage="1" sqref="J286">
      <formula1>'12월'!$AB$286:$AI$286</formula1>
    </dataValidation>
    <dataValidation type="list" allowBlank="1" showErrorMessage="1" sqref="J357">
      <formula1>'12월'!$AB$357:$AI$357</formula1>
    </dataValidation>
    <dataValidation type="list" allowBlank="1" showErrorMessage="1" sqref="J324">
      <formula1>'12월'!$AB$324:$AI$324</formula1>
    </dataValidation>
    <dataValidation type="list" allowBlank="1" showErrorMessage="1" sqref="J489">
      <formula1>'12월'!$AB$489:$AI$489</formula1>
    </dataValidation>
    <dataValidation type="list" allowBlank="1" showErrorMessage="1" sqref="J67">
      <formula1>'12월'!$AB$67:$AI$67</formula1>
    </dataValidation>
    <dataValidation type="list" allowBlank="1" showErrorMessage="1" sqref="J248">
      <formula1>'12월'!$AB$248:$AI$248</formula1>
    </dataValidation>
    <dataValidation type="list" allowBlank="1" showErrorMessage="1" sqref="J464">
      <formula1>'12월'!$AB$464:$AI$464</formula1>
    </dataValidation>
    <dataValidation type="list" allowBlank="1" showErrorMessage="1" sqref="J215">
      <formula1>'12월'!$AB$215:$AI$215</formula1>
    </dataValidation>
    <dataValidation type="list" allowBlank="1" showErrorMessage="1" sqref="J180">
      <formula1>'12월'!$AB$180:$AI$180</formula1>
    </dataValidation>
    <dataValidation type="list" allowBlank="1" showErrorMessage="1" sqref="J91">
      <formula1>'12월'!$AB$91:$AI$91</formula1>
    </dataValidation>
    <dataValidation type="list" allowBlank="1" showErrorMessage="1" sqref="J106">
      <formula1>'12월'!$AB$106:$AI$106</formula1>
    </dataValidation>
    <dataValidation type="list" allowBlank="1" showErrorMessage="1" sqref="J139">
      <formula1>'12월'!$AB$139:$AI$139</formula1>
    </dataValidation>
    <dataValidation type="list" allowBlank="1" showErrorMessage="1" sqref="J266">
      <formula1>'12월'!$AB$266:$AI$266</formula1>
    </dataValidation>
    <dataValidation type="list" allowBlank="1" showErrorMessage="1" sqref="J446">
      <formula1>'12월'!$AB$446:$AI$446</formula1>
    </dataValidation>
    <dataValidation type="list" allowBlank="1" showErrorMessage="1" sqref="J413">
      <formula1>'12월'!$AB$413:$AI$413</formula1>
    </dataValidation>
    <dataValidation type="list" allowBlank="1" showErrorMessage="1" sqref="J486">
      <formula1>'12월'!$AB$486:$AI$486</formula1>
    </dataValidation>
    <dataValidation type="list" allowBlank="1" showErrorMessage="1" sqref="J250">
      <formula1>'12월'!$AB$250:$AI$250</formula1>
    </dataValidation>
    <dataValidation type="list" allowBlank="1" showErrorMessage="1" sqref="J74">
      <formula1>'12월'!$AB$74:$AI$74</formula1>
    </dataValidation>
    <dataValidation type="list" allowBlank="1" showErrorMessage="1" sqref="L62:L500">
      <formula1>'설정시트'!$D$23:$O$23</formula1>
    </dataValidation>
    <dataValidation type="list" allowBlank="1" showErrorMessage="1" sqref="J103">
      <formula1>'12월'!$AB$103:$AI$103</formula1>
    </dataValidation>
    <dataValidation type="list" allowBlank="1" showErrorMessage="1" sqref="J377">
      <formula1>'12월'!$AB$377:$AI$377</formula1>
    </dataValidation>
    <dataValidation type="list" allowBlank="1" showErrorMessage="1" sqref="J141">
      <formula1>'12월'!$AB$141:$AI$141</formula1>
    </dataValidation>
    <dataValidation type="list" allowBlank="1" showErrorMessage="1" sqref="J160">
      <formula1>'12월'!$AB$160:$AI$160</formula1>
    </dataValidation>
    <dataValidation type="list" allowBlank="1" showErrorMessage="1" sqref="J321">
      <formula1>'12월'!$AB$321:$AI$321</formula1>
    </dataValidation>
    <dataValidation type="list" allowBlank="1" showErrorMessage="1" sqref="J69">
      <formula1>'12월'!$AB$69:$AI$69</formula1>
    </dataValidation>
    <dataValidation type="list" allowBlank="1" showErrorMessage="1" sqref="J410">
      <formula1>'12월'!$AB$410:$AI$410</formula1>
    </dataValidation>
    <dataValidation type="list" allowBlank="1" showErrorMessage="1" sqref="J268">
      <formula1>'12월'!$AB$268:$AI$268</formula1>
    </dataValidation>
    <dataValidation type="list" allowBlank="1" showErrorMessage="1" sqref="J288">
      <formula1>'12월'!$AB$288:$AI$288</formula1>
    </dataValidation>
    <dataValidation type="list" allowBlank="1" showErrorMessage="1" sqref="J301">
      <formula1>'12월'!$AB$301:$AI$301</formula1>
    </dataValidation>
    <dataValidation type="list" allowBlank="1" showErrorMessage="1" sqref="J159">
      <formula1>'12월'!$AB$159:$AI$159</formula1>
    </dataValidation>
    <dataValidation type="list" allowBlank="1" showErrorMessage="1" sqref="J161">
      <formula1>'12월'!$AB$161:$AI$161</formula1>
    </dataValidation>
    <dataValidation type="list" allowBlank="1" showErrorMessage="1" sqref="J430">
      <formula1>'12월'!$AB$430:$AI$430</formula1>
    </dataValidation>
    <dataValidation type="list" allowBlank="1" showErrorMessage="1" sqref="J397">
      <formula1>'12월'!$AB$397:$AI$397</formula1>
    </dataValidation>
    <dataValidation type="list" allowBlank="1" showErrorMessage="1" sqref="J429">
      <formula1>'12월'!$AB$429:$AI$429</formula1>
    </dataValidation>
    <dataValidation type="list" allowBlank="1" showErrorMessage="1" sqref="J84">
      <formula1>'12월'!$AB$84:$AI$84</formula1>
    </dataValidation>
    <dataValidation type="list" allowBlank="1" showErrorMessage="1" sqref="J123">
      <formula1>'12월'!$AB$123:$AI$123</formula1>
    </dataValidation>
    <dataValidation type="list" allowBlank="1" showErrorMessage="1" sqref="J466">
      <formula1>'12월'!$AB$466:$AI$466</formula1>
    </dataValidation>
    <dataValidation type="list" allowBlank="1" showErrorMessage="1" sqref="J449">
      <formula1>'12월'!$AB$449:$AI$449</formula1>
    </dataValidation>
    <dataValidation type="list" allowBlank="1" showErrorMessage="1" sqref="J121">
      <formula1>'12월'!$AB$121:$AI$121</formula1>
    </dataValidation>
    <dataValidation type="list" allowBlank="1" showErrorMessage="1" sqref="J395">
      <formula1>'12월'!$AB$395:$AI$395</formula1>
    </dataValidation>
    <dataValidation type="list" allowBlank="1" showErrorMessage="1" sqref="J76">
      <formula1>'12월'!$AB$76:$AI$76</formula1>
    </dataValidation>
    <dataValidation type="list" allowBlank="1" showErrorMessage="1" sqref="J140">
      <formula1>'12월'!$AB$140:$AI$140</formula1>
    </dataValidation>
    <dataValidation type="list" allowBlank="1" showErrorMessage="1" sqref="J230">
      <formula1>'12월'!$AB$230:$AI$230</formula1>
    </dataValidation>
    <dataValidation type="list" allowBlank="1" showErrorMessage="1" sqref="J82">
      <formula1>'12월'!$AB$82:$AI$82</formula1>
    </dataValidation>
    <dataValidation type="list" allowBlank="1" showErrorMessage="1" sqref="J197">
      <formula1>'12월'!$AB$197:$AI$197</formula1>
    </dataValidation>
    <dataValidation type="list" allowBlank="1" showErrorMessage="1" sqref="J179">
      <formula1>'12월'!$AB$179:$AI$179</formula1>
    </dataValidation>
    <dataValidation type="list" allowBlank="1" showErrorMessage="1" sqref="J212">
      <formula1>'12월'!$AB$212:$AI$212</formula1>
    </dataValidation>
    <dataValidation type="list" allowBlank="1" showErrorMessage="1" sqref="J186">
      <formula1>'12월'!$AB$186:$AI$186</formula1>
    </dataValidation>
    <dataValidation type="list" allowBlank="1" showErrorMessage="1" sqref="J417">
      <formula1>'12월'!$AB$417:$AI$417</formula1>
    </dataValidation>
    <dataValidation type="list" allowBlank="1" showErrorMessage="1" sqref="J65">
      <formula1>'12월'!$AB$65:$AI$65</formula1>
    </dataValidation>
    <dataValidation type="list" allowBlank="1" showErrorMessage="1" sqref="J105">
      <formula1>'12월'!$AB$105:$AI$105</formula1>
    </dataValidation>
    <dataValidation type="list" allowBlank="1" showErrorMessage="1" sqref="J318">
      <formula1>'12월'!$AB$318:$AI$318</formula1>
    </dataValidation>
    <dataValidation type="list" allowBlank="1" showErrorMessage="1" sqref="J379">
      <formula1>'12월'!$AB$379:$AI$379</formula1>
    </dataValidation>
    <dataValidation type="list" allowBlank="1" showErrorMessage="1" sqref="J313">
      <formula1>'12월'!$AB$313:$AI$313</formula1>
    </dataValidation>
    <dataValidation type="list" allowBlank="1" showErrorMessage="1" sqref="J80">
      <formula1>'12월'!$AB$80:$AI$80</formula1>
    </dataValidation>
    <dataValidation type="list" allowBlank="1" showErrorMessage="1" sqref="J394">
      <formula1>'12월'!$AB$394:$AI$394</formula1>
    </dataValidation>
    <dataValidation type="list" allowBlank="1" showErrorMessage="1" sqref="J407">
      <formula1>'12월'!$AB$407:$AI$407</formula1>
    </dataValidation>
    <dataValidation type="list" allowBlank="1" showErrorMessage="1" sqref="J120">
      <formula1>'12월'!$AB$120:$AI$120</formula1>
    </dataValidation>
    <dataValidation type="list" allowBlank="1" showErrorMessage="1" sqref="J78">
      <formula1>'12월'!$AB$78:$AI$78</formula1>
    </dataValidation>
    <dataValidation type="list" allowBlank="1" showErrorMessage="1" sqref="J412">
      <formula1>'12월'!$AB$412:$AI$412</formula1>
    </dataValidation>
    <dataValidation type="list" allowBlank="1" showErrorMessage="1" sqref="J442">
      <formula1>'12월'!$AB$442:$AI$442</formula1>
    </dataValidation>
    <dataValidation type="list" allowBlank="1" showErrorMessage="1" sqref="J369">
      <formula1>'12월'!$AB$369:$AI$369</formula1>
    </dataValidation>
    <dataValidation type="list" allowBlank="1" showErrorMessage="1" sqref="J93">
      <formula1>'12월'!$AB$93:$AI$93</formula1>
    </dataValidation>
    <dataValidation type="list" allowBlank="1" showErrorMessage="1" sqref="J130">
      <formula1>'12월'!$AB$130:$AI$130</formula1>
    </dataValidation>
    <dataValidation type="list" allowBlank="1" showErrorMessage="1" sqref="J171">
      <formula1>'12월'!$AB$171:$AI$171</formula1>
    </dataValidation>
    <dataValidation type="list" allowBlank="1" showErrorMessage="1" sqref="J135">
      <formula1>'12월'!$AB$135:$AI$135</formula1>
    </dataValidation>
    <dataValidation type="list" allowBlank="1" showErrorMessage="1" sqref="J265">
      <formula1>'12월'!$AB$265:$AI$265</formula1>
    </dataValidation>
    <dataValidation type="list" allowBlank="1" showErrorMessage="1" sqref="J229">
      <formula1>'12월'!$AB$229:$AI$229</formula1>
    </dataValidation>
    <dataValidation type="list" allowBlank="1" showErrorMessage="1" sqref="J79">
      <formula1>'12월'!$AB$79:$AI$79</formula1>
    </dataValidation>
    <dataValidation type="list" allowBlank="1" showErrorMessage="1" sqref="J270">
      <formula1>'12월'!$AB$270:$AI$270</formula1>
    </dataValidation>
    <dataValidation type="list" allowBlank="1" showErrorMessage="1" sqref="J483">
      <formula1>'12월'!$AB$483:$AI$483</formula1>
    </dataValidation>
    <dataValidation type="list" allowBlank="1" showErrorMessage="1" sqref="J234">
      <formula1>'12월'!$AB$234:$AI$234</formula1>
    </dataValidation>
    <dataValidation type="list" allowBlank="1" showErrorMessage="1" sqref="J447">
      <formula1>'12월'!$AB$447:$AI$447</formula1>
    </dataValidation>
    <dataValidation type="list" allowBlank="1" showErrorMessage="1" sqref="J275">
      <formula1>'12월'!$AB$275:$AI$275</formula1>
    </dataValidation>
    <dataValidation type="list" allowBlank="1" showErrorMessage="1" sqref="J181">
      <formula1>'12월'!$AB$181:$AI$181</formula1>
    </dataValidation>
    <dataValidation type="list" allowBlank="1" showErrorMessage="1" sqref="J176">
      <formula1>'12월'!$AB$176:$AI$176</formula1>
    </dataValidation>
    <dataValidation type="list" allowBlank="1" showErrorMessage="1" sqref="J224">
      <formula1>'12월'!$AB$224:$AI$224</formula1>
    </dataValidation>
    <dataValidation type="list" allowBlank="1" showErrorMessage="1" sqref="J493">
      <formula1>'12월'!$AB$493:$AI$493</formula1>
    </dataValidation>
    <dataValidation type="list" allowBlank="1" showErrorMessage="1" sqref="J498">
      <formula1>'12월'!$AB$498:$AI$498</formula1>
    </dataValidation>
    <dataValidation type="list" allowBlank="1" showErrorMessage="1" sqref="J328">
      <formula1>'12월'!$AB$328:$AI$328</formula1>
    </dataValidation>
    <dataValidation type="list" allowBlank="1" showErrorMessage="1" sqref="J323">
      <formula1>'12월'!$AB$323:$AI$323</formula1>
    </dataValidation>
    <dataValidation type="list" allowBlank="1" showErrorMessage="1" sqref="J264">
      <formula1>'12월'!$AB$264:$AI$264</formula1>
    </dataValidation>
    <dataValidation type="list" allowBlank="1" showErrorMessage="1" sqref="J453">
      <formula1>'12월'!$AB$453:$AI$453</formula1>
    </dataValidation>
    <dataValidation type="list" allowBlank="1" showErrorMessage="1" sqref="J95">
      <formula1>'12월'!$AB$95:$AI$95</formula1>
    </dataValidation>
    <dataValidation type="list" allowBlank="1" showErrorMessage="1" sqref="J136">
      <formula1>'12월'!$AB$136:$AI$136</formula1>
    </dataValidation>
    <dataValidation type="list" allowBlank="1" showErrorMessage="1" sqref="J92">
      <formula1>'12월'!$AB$92:$AI$92</formula1>
    </dataValidation>
    <dataValidation type="list" allowBlank="1" showErrorMessage="1" sqref="J354">
      <formula1>'12월'!$AB$354:$AI$354</formula1>
    </dataValidation>
    <dataValidation type="list" allowBlank="1" showErrorMessage="1" sqref="J443">
      <formula1>'12월'!$AB$443:$AI$443</formula1>
    </dataValidation>
    <dataValidation type="list" allowBlank="1" showErrorMessage="1" sqref="J235">
      <formula1>'12월'!$AB$235:$AI$235</formula1>
    </dataValidation>
    <dataValidation type="list" allowBlank="1" showErrorMessage="1" sqref="J274">
      <formula1>'12월'!$AB$274:$AI$274</formula1>
    </dataValidation>
    <dataValidation type="list" allowBlank="1" showErrorMessage="1" sqref="J66">
      <formula1>'12월'!$AB$66:$AI$66</formula1>
    </dataValidation>
    <dataValidation type="list" allowBlank="1" showErrorMessage="1" sqref="J63">
      <formula1>'12월'!$AB$63:$AI$63</formula1>
    </dataValidation>
    <dataValidation type="list" allowBlank="1" showErrorMessage="1" sqref="J175">
      <formula1>'12월'!$AB$175:$AI$175</formula1>
    </dataValidation>
    <dataValidation type="list" allowBlank="1" showErrorMessage="1" sqref="J364">
      <formula1>'12월'!$AB$364:$AI$364</formula1>
    </dataValidation>
    <dataValidation type="list" allowBlank="1" showErrorMessage="1" sqref="J482">
      <formula1>'12월'!$AB$482:$AI$482</formula1>
    </dataValidation>
    <dataValidation type="list" allowBlank="1" showErrorMessage="1" sqref="J499">
      <formula1>'12월'!$AB$499:$AI$499</formula1>
    </dataValidation>
    <dataValidation type="list" allowBlank="1" showErrorMessage="1" sqref="J225">
      <formula1>'12월'!$AB$225:$AI$225</formula1>
    </dataValidation>
    <dataValidation type="list" allowBlank="1" showErrorMessage="1" sqref="J452">
      <formula1>'12월'!$AB$452:$AI$452</formula1>
    </dataValidation>
    <dataValidation type="list" allowBlank="1" showErrorMessage="1" sqref="J416">
      <formula1>'12월'!$AB$416:$AI$416</formula1>
    </dataValidation>
    <dataValidation type="list" allowBlank="1" showErrorMessage="1" sqref="J64">
      <formula1>'12월'!$AB$64:$AI$64</formula1>
    </dataValidation>
    <dataValidation type="list" allowBlank="1" showErrorMessage="1" sqref="J353">
      <formula1>'12월'!$AB$353:$AI$353</formula1>
    </dataValidation>
    <dataValidation type="list" allowBlank="1" showErrorMessage="1" sqref="J317">
      <formula1>'12월'!$AB$317:$AI$317</formula1>
    </dataValidation>
    <dataValidation type="list" allowBlank="1" showErrorMessage="1" sqref="J145">
      <formula1>'12월'!$AB$145:$AI$145</formula1>
    </dataValidation>
    <dataValidation type="list" allowBlank="1" showErrorMessage="1" sqref="J109">
      <formula1>'12월'!$AB$109:$AI$109</formula1>
    </dataValidation>
    <dataValidation type="list" allowBlank="1" showErrorMessage="1" sqref="J94">
      <formula1>'12월'!$AB$94:$AI$94</formula1>
    </dataValidation>
    <dataValidation type="list" allowBlank="1" showErrorMessage="1" sqref="J146">
      <formula1>'12월'!$AB$146:$AI$146</formula1>
    </dataValidation>
    <dataValidation type="list" allowBlank="1" showErrorMessage="1" sqref="J406">
      <formula1>'12월'!$AB$406:$AI$406</formula1>
    </dataValidation>
    <dataValidation type="list" allowBlank="1" showErrorMessage="1" sqref="J363">
      <formula1>'12월'!$AB$363:$AI$363</formula1>
    </dataValidation>
    <dataValidation type="list" allowBlank="1" showErrorMessage="1" sqref="J403">
      <formula1>'12월'!$AB$403:$AI$403</formula1>
    </dataValidation>
    <dataValidation type="list" allowBlank="1" showErrorMessage="1" sqref="J134">
      <formula1>'12월'!$AB$134:$AI$134</formula1>
    </dataValidation>
    <dataValidation type="list" allowBlank="1" showErrorMessage="1" sqref="J62">
      <formula1>'12월'!$AB$62:$AI$62</formula1>
    </dataValidation>
    <dataValidation type="list" allowBlank="1" showErrorMessage="1" sqref="J172">
      <formula1>'12월'!$AB$172:$AI$172</formula1>
    </dataValidation>
    <dataValidation type="list" allowBlank="1" showErrorMessage="1" sqref="J276">
      <formula1>'12월'!$AB$276:$AI$276</formula1>
    </dataValidation>
    <dataValidation type="list" allowBlank="1" showErrorMessage="1" sqref="J390">
      <formula1>'12월'!$AB$390:$AI$390</formula1>
    </dataValidation>
    <dataValidation type="list" allowBlank="1" showErrorMessage="1" sqref="J459">
      <formula1>'12월'!$AB$459:$AI$459</formula1>
    </dataValidation>
    <dataValidation type="list" allowBlank="1" showErrorMessage="1" sqref="J223">
      <formula1>'12월'!$AB$223:$AI$223</formula1>
    </dataValidation>
    <dataValidation type="list" allowBlank="1" showErrorMessage="1" sqref="J352">
      <formula1>'12월'!$AB$352:$AI$352</formula1>
    </dataValidation>
    <dataValidation type="list" allowBlank="1" showErrorMessage="1" sqref="J147">
      <formula1>'12월'!$AB$147:$AI$147</formula1>
    </dataValidation>
    <dataValidation type="list" allowBlank="1" showErrorMessage="1" sqref="J96">
      <formula1>'12월'!$AB$96:$AI$96</formula1>
    </dataValidation>
    <dataValidation type="list" allowBlank="1" showErrorMessage="1" sqref="J327">
      <formula1>'12월'!$AB$327:$AI$327</formula1>
    </dataValidation>
    <dataValidation type="list" allowBlank="1" showErrorMessage="1" sqref="J220">
      <formula1>'12월'!$AB$220:$AI$220</formula1>
    </dataValidation>
    <dataValidation type="list" allowBlank="1" showErrorMessage="1" sqref="J494">
      <formula1>'12월'!$AB$494:$AI$494</formula1>
    </dataValidation>
    <dataValidation type="list" allowBlank="1" showErrorMessage="1" sqref="J418">
      <formula1>'12월'!$AB$418:$AI$418</formula1>
    </dataValidation>
    <dataValidation type="list" allowBlank="1" showErrorMessage="1" sqref="J185">
      <formula1>'12월'!$AB$185:$AI$185</formula1>
    </dataValidation>
    <dataValidation type="list" allowBlank="1" showErrorMessage="1" sqref="J149">
      <formula1>'12월'!$AB$149:$AI$149</formula1>
    </dataValidation>
    <dataValidation type="list" allowBlank="1" showErrorMessage="1" sqref="J492">
      <formula1>'12월'!$AB$492:$AI$492</formula1>
    </dataValidation>
    <dataValidation type="list" allowBlank="1" showErrorMessage="1" sqref="J97">
      <formula1>'12월'!$AB$97:$AI$97</formula1>
    </dataValidation>
    <dataValidation type="list" allowBlank="1" showErrorMessage="1" sqref="J456">
      <formula1>'12월'!$AB$456:$AI$456</formula1>
    </dataValidation>
    <dataValidation type="list" allowBlank="1" showErrorMessage="1" sqref="J497">
      <formula1>'12월'!$AB$497:$AI$497</formula1>
    </dataValidation>
    <dataValidation type="list" allowBlank="1" showErrorMessage="1" sqref="J238">
      <formula1>'12월'!$AB$238:$AI$238</formula1>
    </dataValidation>
    <dataValidation type="list" allowBlank="1" showErrorMessage="1" sqref="J365">
      <formula1>'12월'!$AB$365:$AI$365</formula1>
    </dataValidation>
    <dataValidation type="list" allowBlank="1" showErrorMessage="1" sqref="J314">
      <formula1>'12월'!$AB$314:$AI$314</formula1>
    </dataValidation>
    <dataValidation type="list" allowBlank="1" showErrorMessage="1" sqref="J261">
      <formula1>'12월'!$AB$261:$AI$261</formula1>
    </dataValidation>
    <dataValidation type="list" allowBlank="1" showErrorMessage="1" sqref="J441">
      <formula1>'12월'!$AB$441:$AI$441</formula1>
    </dataValidation>
    <dataValidation type="list" allowBlank="1" showErrorMessage="1" sqref="J170">
      <formula1>'12월'!$AB$170:$AI$170</formula1>
    </dataValidation>
    <dataValidation type="list" allowBlank="1" showErrorMessage="1" sqref="J311">
      <formula1>'12월'!$AB$311:$AI$311</formula1>
    </dataValidation>
    <dataValidation type="list" allowBlank="1" showErrorMessage="1" sqref="J401">
      <formula1>'12월'!$AB$401:$AI$401</formula1>
    </dataValidation>
    <dataValidation type="list" allowBlank="1" showErrorMessage="1" sqref="J419">
      <formula1>'12월'!$AB$419:$AI$419</formula1>
    </dataValidation>
    <dataValidation type="list" allowBlank="1" showErrorMessage="1" sqref="J132">
      <formula1>'12월'!$AB$132:$AI$132</formula1>
    </dataValidation>
    <dataValidation type="list" allowBlank="1" showErrorMessage="1" sqref="J222">
      <formula1>'12월'!$AB$222:$AI$222</formula1>
    </dataValidation>
    <dataValidation type="list" allowBlank="1" showErrorMessage="1" sqref="J496">
      <formula1>'12월'!$AB$496:$AI$496</formula1>
    </dataValidation>
    <dataValidation type="list" allowBlank="1" showErrorMessage="1" sqref="J239">
      <formula1>'12월'!$AB$239:$AI$239</formula1>
    </dataValidation>
    <dataValidation type="list" allowBlank="1" showErrorMessage="1" sqref="J329">
      <formula1>'12월'!$AB$329:$AI$329</formula1>
    </dataValidation>
    <dataValidation type="list" allowBlank="1" showErrorMessage="1" sqref="J350">
      <formula1>'12월'!$AB$350:$AI$350</formula1>
    </dataValidation>
    <dataValidation type="list" allowBlank="1" showErrorMessage="1" sqref="J367">
      <formula1>'12월'!$AB$367:$AI$367</formula1>
    </dataValidation>
    <dataValidation type="list" allowBlank="1" showErrorMessage="1" sqref="J457">
      <formula1>'12월'!$AB$457:$AI$457</formula1>
    </dataValidation>
    <dataValidation type="list" allowBlank="1" showErrorMessage="1" sqref="J189">
      <formula1>'12월'!$AB$189:$AI$189</formula1>
    </dataValidation>
    <dataValidation type="list" allowBlank="1" showErrorMessage="1" sqref="J400">
      <formula1>'12월'!$AB$400:$AI$400</formula1>
    </dataValidation>
    <dataValidation type="list" allowBlank="1" showErrorMessage="1" sqref="J260">
      <formula1>'12월'!$AB$260:$AI$260</formula1>
    </dataValidation>
    <dataValidation type="list" allowBlank="1" showErrorMessage="1" sqref="J279">
      <formula1>'12월'!$AB$279:$AI$279</formula1>
    </dataValidation>
    <dataValidation type="list" allowBlank="1" showErrorMessage="1" sqref="J402">
      <formula1>'12월'!$AB$402:$AI$402</formula1>
    </dataValidation>
    <dataValidation type="list" allowBlank="1" showErrorMessage="1" sqref="J187">
      <formula1>'12월'!$AB$187:$AI$187</formula1>
    </dataValidation>
    <dataValidation type="list" allowBlank="1" showErrorMessage="1" sqref="J277">
      <formula1>'12월'!$AB$277:$AI$277</formula1>
    </dataValidation>
    <dataValidation type="list" allowBlank="1" showErrorMessage="1" sqref="J312">
      <formula1>'12월'!$AB$312:$AI$312</formula1>
    </dataValidation>
    <dataValidation type="list" allowBlank="1" showErrorMessage="1" sqref="J495">
      <formula1>'12월'!$AB$495:$AI$495</formula1>
    </dataValidation>
    <dataValidation type="list" allowBlank="1" showErrorMessage="1" sqref="J131">
      <formula1>'12월'!$AB$131:$AI$131</formula1>
    </dataValidation>
    <dataValidation type="list" allowBlank="1" showErrorMessage="1" sqref="J221">
      <formula1>'12월'!$AB$221:$AI$221</formula1>
    </dataValidation>
    <dataValidation type="list" allowBlank="1" showErrorMessage="1" sqref="J458">
      <formula1>'12월'!$AB$458:$AI$458</formula1>
    </dataValidation>
    <dataValidation type="list" allowBlank="1" showErrorMessage="1" sqref="J188">
      <formula1>'12월'!$AB$188:$AI$188</formula1>
    </dataValidation>
    <dataValidation type="list" allowBlank="1" showErrorMessage="1" sqref="J278">
      <formula1>'12월'!$AB$278:$AI$278</formula1>
    </dataValidation>
    <dataValidation type="list" allowBlank="1" showErrorMessage="1" sqref="J368">
      <formula1>'12월'!$AB$368:$AI$368</formula1>
    </dataValidation>
    <dataValidation type="list" allowBlank="1" showErrorMessage="1" sqref="J153">
      <formula1>'12월'!$AB$153:$AI$153</formula1>
    </dataValidation>
    <dataValidation type="list" allowBlank="1" showErrorMessage="1" sqref="J247">
      <formula1>'12월'!$AB$247:$AI$247</formula1>
    </dataValidation>
    <dataValidation type="list" allowBlank="1" showErrorMessage="1" sqref="J262">
      <formula1>'12월'!$AB$262:$AI$262</formula1>
    </dataValidation>
    <dataValidation type="list" allowBlank="1" showErrorMessage="1" sqref="J138">
      <formula1>'12월'!$AB$138:$AI$138</formula1>
    </dataValidation>
    <dataValidation type="list" allowBlank="1" showErrorMessage="1" sqref="J99">
      <formula1>'12월'!$AB$99:$AI$99</formula1>
    </dataValidation>
    <dataValidation type="list" allowBlank="1" showErrorMessage="1" sqref="J480">
      <formula1>'12월'!$AB$480:$AI$480</formula1>
    </dataValidation>
    <dataValidation type="list" allowBlank="1" showErrorMessage="1" sqref="J445">
      <formula1>'12월'!$AB$445:$AI$445</formula1>
    </dataValidation>
    <dataValidation type="list" allowBlank="1" showErrorMessage="1" sqref="J336">
      <formula1>'12월'!$AB$336:$AI$336</formula1>
    </dataValidation>
    <dataValidation type="list" allowBlank="1" showErrorMessage="1" sqref="J376">
      <formula1>'12월'!$AB$376:$AI$376</formula1>
    </dataValidation>
    <dataValidation type="list" allowBlank="1" showErrorMessage="1" sqref="J371">
      <formula1>'12월'!$AB$371:$AI$371</formula1>
    </dataValidation>
    <dataValidation type="list" allowBlank="1" showErrorMessage="1" sqref="J440">
      <formula1>'12월'!$AB$440:$AI$440</formula1>
    </dataValidation>
    <dataValidation type="list" allowBlank="1" showErrorMessage="1" sqref="J267">
      <formula1>'12월'!$AB$267:$AI$267</formula1>
    </dataValidation>
    <dataValidation type="list" allowBlank="1" showErrorMessage="1" sqref="J133">
      <formula1>'12월'!$AB$133:$AI$133</formula1>
    </dataValidation>
    <dataValidation type="list" allowBlank="1" showErrorMessage="1" sqref="J85">
      <formula1>'12월'!$AB$85:$AI$85</formula1>
    </dataValidation>
    <dataValidation type="list" allowBlank="1" showErrorMessage="1" sqref="J305">
      <formula1>'12월'!$AB$305:$AI$305</formula1>
    </dataValidation>
    <dataValidation type="list" allowBlank="1" showErrorMessage="1" sqref="J300">
      <formula1>'12월'!$AB$300:$AI$300</formula1>
    </dataValidation>
    <dataValidation type="list" allowBlank="1" showErrorMessage="1" sqref="J351">
      <formula1>'12월'!$AB$351:$AI$351</formula1>
    </dataValidation>
    <dataValidation type="list" allowBlank="1" showErrorMessage="1" sqref="J73">
      <formula1>'12월'!$AB$73:$AI$73</formula1>
    </dataValidation>
    <dataValidation type="list" allowBlank="1" showErrorMessage="1" sqref="J158">
      <formula1>'12월'!$AB$158:$AI$158</formula1>
    </dataValidation>
    <dataValidation type="list" allowBlank="1" showErrorMessage="1" sqref="J242">
      <formula1>'12월'!$AB$242:$AI$242</formula1>
    </dataValidation>
    <dataValidation type="list" allowBlank="1" showErrorMessage="1" sqref="J460">
      <formula1>'12월'!$AB$460:$AI$460</formula1>
    </dataValidation>
    <dataValidation type="list" allowBlank="1" showErrorMessage="1" sqref="J465">
      <formula1>'12월'!$AB$465:$AI$465</formula1>
    </dataValidation>
    <dataValidation type="list" allowBlank="1" showErrorMessage="1" sqref="J356">
      <formula1>'12월'!$AB$356:$AI$356</formula1>
    </dataValidation>
    <dataValidation type="list" allowBlank="1" showErrorMessage="1" sqref="J434">
      <formula1>'12월'!$AB$434:$AI$434</formula1>
    </dataValidation>
    <dataValidation type="list" allowBlank="1" showErrorMessage="1" sqref="J184">
      <formula1>'12월'!$AB$184:$AI$184</formula1>
    </dataValidation>
    <dataValidation type="list" allowBlank="1" showErrorMessage="1" sqref="J216">
      <formula1>'12월'!$AB$216:$AI$216</formula1>
    </dataValidation>
    <dataValidation type="list" allowBlank="1" showErrorMessage="1" sqref="J71">
      <formula1>'12월'!$AB$71:$AI$71</formula1>
    </dataValidation>
    <dataValidation type="list" allowBlank="1" showErrorMessage="1" sqref="J382">
      <formula1>'12월'!$AB$382:$AI$382</formula1>
    </dataValidation>
    <dataValidation type="list" allowBlank="1" showErrorMessage="1" sqref="J491">
      <formula1>'12월'!$AB$491:$AI$491</formula1>
    </dataValidation>
    <dataValidation type="list" allowBlank="1" showErrorMessage="1" sqref="J193">
      <formula1>'12월'!$AB$193:$AI$193</formula1>
    </dataValidation>
    <dataValidation type="list" allowBlank="1" showErrorMessage="1" sqref="J207">
      <formula1>'12월'!$AB$207:$AI$207</formula1>
    </dataValidation>
    <dataValidation type="list" allowBlank="1" showErrorMessage="1" sqref="J325">
      <formula1>'12월'!$AB$325:$AI$325</formula1>
    </dataValidation>
    <dataValidation type="list" allowBlank="1" showErrorMessage="1" sqref="J414">
      <formula1>'12월'!$AB$414:$AI$414</formula1>
    </dataValidation>
    <dataValidation type="list" allowBlank="1" showErrorMessage="1" sqref="J87">
      <formula1>'12월'!$AB$87:$AI$87</formula1>
    </dataValidation>
    <dataValidation type="list" allowBlank="1" showErrorMessage="1" sqref="J293">
      <formula1>'12월'!$AB$293:$AI$293</formula1>
    </dataValidation>
    <dataValidation type="list" allowBlank="1" showErrorMessage="1" sqref="J107">
      <formula1>'12월'!$AB$107:$AI$107</formula1>
    </dataValidation>
    <dataValidation type="list" allowBlank="1" showErrorMessage="1" sqref="J405">
      <formula1>'12월'!$AB$405:$AI$405</formula1>
    </dataValidation>
    <dataValidation type="list" allowBlank="1" showErrorMessage="1" sqref="J282">
      <formula1>'12월'!$AB$282:$AI$282</formula1>
    </dataValidation>
    <dataValidation type="list" allowBlank="1" showErrorMessage="1" sqref="J471">
      <formula1>'12월'!$AB$471:$AI$471</formula1>
    </dataValidation>
    <dataValidation type="list" allowBlank="1" showErrorMessage="1" sqref="J454">
      <formula1>'12월'!$AB$454:$AI$454</formula1>
    </dataValidation>
    <dataValidation type="list" allowBlank="1" showErrorMessage="1" sqref="J118">
      <formula1>'12월'!$AB$118:$AI$118</formula1>
    </dataValidation>
    <dataValidation type="list" allowBlank="1" showErrorMessage="1" sqref="J362">
      <formula1>'12월'!$AB$362:$AI$362</formula1>
    </dataValidation>
    <dataValidation type="list" allowBlank="1" showErrorMessage="1" sqref="J345">
      <formula1>'12월'!$AB$345:$AI$345</formula1>
    </dataValidation>
    <dataValidation type="list" allowBlank="1" showErrorMessage="1" sqref="J227">
      <formula1>'12월'!$AB$227:$AI$227</formula1>
    </dataValidation>
    <dataValidation type="list" allowBlank="1" showErrorMessage="1" sqref="J173">
      <formula1>'12월'!$AB$173:$AI$173</formula1>
    </dataValidation>
    <dataValidation type="list" allowBlank="1" showErrorMessage="1" sqref="J273">
      <formula1>'12월'!$AB$273:$AI$273</formula1>
    </dataValidation>
    <dataValidation type="list" allowBlank="1" showErrorMessage="1" sqref="J236">
      <formula1>'12월'!$AB$236:$AI$236</formula1>
    </dataValidation>
    <dataValidation type="list" allowBlank="1" showErrorMessage="1" sqref="J164">
      <formula1>'12월'!$AB$164:$AI$164</formula1>
    </dataValidation>
    <dataValidation type="list" allowBlank="1" showErrorMessage="1" sqref="J316">
      <formula1>'12월'!$AB$316:$AI$316</formula1>
    </dataValidation>
    <dataValidation type="list" allowBlank="1" showErrorMessage="1" sqref="J391">
      <formula1>'12월'!$AB$391:$AI$391</formula1>
    </dataValidation>
    <dataValidation type="list" allowBlank="1" showErrorMessage="1" sqref="J425">
      <formula1>'12월'!$AB$425:$AI$425</formula1>
    </dataValidation>
    <dataValidation type="list" allowBlank="1" showErrorMessage="1" sqref="J127">
      <formula1>'12월'!$AB$127:$AI$127</formula1>
    </dataValidation>
    <dataValidation type="list" allowBlank="1" showErrorMessage="1" sqref="J342">
      <formula1>'12월'!$AB$342:$AI$342</formula1>
    </dataValidation>
    <dataValidation type="list" allowBlank="1" showErrorMessage="1" sqref="J380">
      <formula1>'12월'!$AB$380:$AI$380</formula1>
    </dataValidation>
    <dataValidation type="list" allowBlank="1" showErrorMessage="1" sqref="J83">
      <formula1>'12월'!$AB$83:$AI$83</formula1>
    </dataValidation>
    <dataValidation type="list" allowBlank="1" showErrorMessage="1" sqref="J124">
      <formula1>'12월'!$AB$124:$AI$124</formula1>
    </dataValidation>
    <dataValidation type="list" allowBlank="1" showErrorMessage="1" sqref="J271">
      <formula1>'12월'!$AB$271:$AI$271</formula1>
    </dataValidation>
    <dataValidation type="list" allowBlank="1" showErrorMessage="1" sqref="J451">
      <formula1>'12월'!$AB$451:$AI$451</formula1>
    </dataValidation>
    <dataValidation type="list" allowBlank="1" showErrorMessage="1" sqref="J144">
      <formula1>'12월'!$AB$144:$AI$144</formula1>
    </dataValidation>
    <dataValidation type="list" allowBlank="1" showErrorMessage="1" sqref="J408">
      <formula1>'12월'!$AB$408:$AI$408</formula1>
    </dataValidation>
    <dataValidation type="list" allowBlank="1" showErrorMessage="1" sqref="J289">
      <formula1>'12월'!$AB$289:$AI$289</formula1>
    </dataValidation>
    <dataValidation type="list" allowBlank="1" showErrorMessage="1" sqref="J182">
      <formula1>'12월'!$AB$182:$AI$182</formula1>
    </dataValidation>
    <dataValidation type="list" allowBlank="1" showErrorMessage="1" sqref="J75">
      <formula1>'12월'!$AB$75:$AI$75</formula1>
    </dataValidation>
    <dataValidation type="list" allowBlank="1" showErrorMessage="1" sqref="J322">
      <formula1>'12월'!$AB$322:$AI$322</formula1>
    </dataValidation>
    <dataValidation type="list" allowBlank="1" showErrorMessage="1" sqref="J253">
      <formula1>'12월'!$AB$253:$AI$253</formula1>
    </dataValidation>
    <dataValidation type="list" allowBlank="1" showErrorMessage="1" sqref="J393">
      <formula1>'12월'!$AB$393:$AI$393</formula1>
    </dataValidation>
    <dataValidation type="list" allowBlank="1" showErrorMessage="1" sqref="J360">
      <formula1>'12월'!$AB$360:$AI$360</formula1>
    </dataValidation>
    <dataValidation type="list" allowBlank="1" showErrorMessage="1" sqref="J90">
      <formula1>'12월'!$AB$90:$AI$90</formula1>
    </dataValidation>
    <dataValidation type="list" allowBlank="1" showErrorMessage="1" sqref="J284">
      <formula1>'12월'!$AB$284:$AI$284</formula1>
    </dataValidation>
    <dataValidation type="list" allowBlank="1" showErrorMessage="1" sqref="J251">
      <formula1>'12월'!$AB$251:$AI$251</formula1>
    </dataValidation>
    <dataValidation type="list" allowBlank="1" showErrorMessage="1" sqref="J431">
      <formula1>'12월'!$AB$431:$AI$431</formula1>
    </dataValidation>
    <dataValidation type="list" allowBlank="1" showErrorMessage="1" sqref="J428">
      <formula1>'12월'!$AB$428:$AI$428</formula1>
    </dataValidation>
    <dataValidation type="list" allowBlank="1" showErrorMessage="1" sqref="J195">
      <formula1>'12월'!$AB$195:$AI$195</formula1>
    </dataValidation>
    <dataValidation type="list" allowBlank="1" showErrorMessage="1" sqref="J162">
      <formula1>'12월'!$AB$162:$AI$162</formula1>
    </dataValidation>
    <dataValidation type="list" allowBlank="1" showErrorMessage="1" sqref="J398">
      <formula1>'12월'!$AB$398:$AI$398</formula1>
    </dataValidation>
    <dataValidation type="list" allowBlank="1" showErrorMessage="1" sqref="J68">
      <formula1>'12월'!$AB$68:$AI$68</formula1>
    </dataValidation>
    <dataValidation type="list" allowBlank="1" showErrorMessage="1" sqref="J319">
      <formula1>'12월'!$AB$319:$AI$319</formula1>
    </dataValidation>
    <dataValidation type="list" allowBlank="1" showErrorMessage="1" sqref="J233">
      <formula1>'12월'!$AB$233:$AI$233</formula1>
    </dataValidation>
    <dataValidation type="list" allowBlank="1" showErrorMessage="1" sqref="J231">
      <formula1>'12월'!$AB$231:$AI$231</formula1>
    </dataValidation>
    <dataValidation type="list" allowBlank="1" showErrorMessage="1" sqref="J467">
      <formula1>'12월'!$AB$467:$AI$467</formula1>
    </dataValidation>
    <dataValidation type="list" allowBlank="1" showErrorMessage="1" sqref="J339">
      <formula1>'12월'!$AB$339:$AI$339</formula1>
    </dataValidation>
    <dataValidation type="list" allowBlank="1" showErrorMessage="1" sqref="J198">
      <formula1>'12월'!$AB$198:$AI$198</formula1>
    </dataValidation>
    <dataValidation type="list" allowBlank="1" showErrorMessage="1" sqref="J340">
      <formula1>'12월'!$AB$340:$AI$340</formula1>
    </dataValidation>
    <dataValidation type="list" allowBlank="1" showErrorMessage="1" sqref="J500">
      <formula1>'12월'!$AB$500:$AI$500</formula1>
    </dataValidation>
    <dataValidation type="list" allowBlank="1" showErrorMessage="1" sqref="J358">
      <formula1>'12월'!$AB$358:$AI$358</formula1>
    </dataValidation>
    <dataValidation type="list" allowBlank="1" showErrorMessage="1" sqref="J448">
      <formula1>'12월'!$AB$448:$AI$448</formula1>
    </dataValidation>
    <dataValidation type="list" allowBlank="1" showErrorMessage="1" sqref="J249">
      <formula1>'12월'!$AB$249:$AI$249</formula1>
    </dataValidation>
    <dataValidation type="list" allowBlank="1" showErrorMessage="1" sqref="J142">
      <formula1>'12월'!$AB$142:$AI$142</formula1>
    </dataValidation>
    <dataValidation type="list" allowBlank="1" showErrorMessage="1" sqref="J102">
      <formula1>'12월'!$AB$102:$AI$102</formula1>
    </dataValidation>
    <dataValidation type="list" allowBlank="1" showErrorMessage="1" sqref="J468">
      <formula1>'12월'!$AB$468:$AI$468</formula1>
    </dataValidation>
    <dataValidation type="list" allowBlank="1" showErrorMessage="1" sqref="J213">
      <formula1>'12월'!$AB$213:$AI$213</formula1>
    </dataValidation>
    <dataValidation type="list" allowBlank="1" showErrorMessage="1" sqref="J487">
      <formula1>'12월'!$AB$487:$AI$487</formula1>
    </dataValidation>
    <dataValidation type="list" allowBlank="1" showErrorMessage="1" sqref="J81">
      <formula1>'12월'!$AB$81:$AI$81</formula1>
    </dataValidation>
    <dataValidation type="list" allowBlank="1" showErrorMessage="1" sqref="J359">
      <formula1>'12월'!$AB$359:$AI$359</formula1>
    </dataValidation>
    <dataValidation type="list" allowBlank="1" showErrorMessage="1" sqref="J211">
      <formula1>'12월'!$AB$211:$AI$211</formula1>
    </dataValidation>
    <dataValidation type="list" allowBlank="1" showErrorMessage="1" sqref="J485">
      <formula1>'12월'!$AB$485:$AI$485</formula1>
    </dataValidation>
    <dataValidation type="list" allowBlank="1" showErrorMessage="1" sqref="J378">
      <formula1>'12월'!$AB$378:$AI$378</formula1>
    </dataValidation>
    <dataValidation type="list" allowBlank="1" showErrorMessage="1" sqref="J104">
      <formula1>'12월'!$AB$104:$AI$104</formula1>
    </dataValidation>
    <dataValidation type="list" allowBlank="1" showErrorMessage="1" sqref="J320">
      <formula1>'12월'!$AB$320:$AI$320</formula1>
    </dataValidation>
    <dataValidation type="list" allowBlank="1" showErrorMessage="1" sqref="J178">
      <formula1>'12월'!$AB$178:$AI$178</formula1>
    </dataValidation>
    <dataValidation type="list" allowBlank="1" showErrorMessage="1" sqref="J411">
      <formula1>'12월'!$AB$411:$AI$411</formula1>
    </dataValidation>
    <dataValidation type="list" allowBlank="1" showErrorMessage="1" sqref="J269">
      <formula1>'12월'!$AB$269:$AI$269</formula1>
    </dataValidation>
    <dataValidation type="list" allowBlank="1" showErrorMessage="1" sqref="J287">
      <formula1>'12월'!$AB$287:$AI$287</formula1>
    </dataValidation>
    <dataValidation type="list" allowBlank="1" showErrorMessage="1" sqref="J396">
      <formula1>'12월'!$AB$396:$AI$396</formula1>
    </dataValidation>
    <dataValidation type="list" allowBlank="1" showErrorMessage="1" sqref="J77">
      <formula1>'12월'!$AB$77:$AI$77</formula1>
    </dataValidation>
    <dataValidation type="list" allowBlank="1" showErrorMessage="1" sqref="J122">
      <formula1>'12월'!$AB$122:$AI$122</formula1>
    </dataValidation>
    <dataValidation type="list" allowBlank="1" showErrorMessage="1" sqref="J302">
      <formula1>'12월'!$AB$302:$AI$302</formula1>
    </dataValidation>
    <dataValidation type="list" allowBlank="1" showErrorMessage="1" sqref="J214">
      <formula1>'12월'!$AB$214:$AI$214</formula1>
    </dataValidation>
    <dataValidation type="list" allowBlank="1" showErrorMessage="1" sqref="J389">
      <formula1>'12월'!$AB$389:$AI$389</formula1>
    </dataValidation>
    <dataValidation type="list" allowBlank="1" showErrorMessage="1" sqref="J295">
      <formula1>'12월'!$AB$295:$AI$295</formula1>
    </dataValidation>
    <dataValidation type="list" allowBlank="1" showErrorMessage="1" sqref="J308">
      <formula1>'12월'!$AB$308:$AI$308</formula1>
    </dataValidation>
    <dataValidation type="list" allowBlank="1" showErrorMessage="1" sqref="J422">
      <formula1>'12월'!$AB$422:$AI$422</formula1>
    </dataValidation>
    <dataValidation type="list" allowBlank="1" showErrorMessage="1" sqref="J488">
      <formula1>'12월'!$AB$488:$AI$488</formula1>
    </dataValidation>
    <dataValidation type="list" allowBlank="1" showErrorMessage="1" sqref="J204">
      <formula1>'12월'!$AB$204:$AI$204</formula1>
    </dataValidation>
    <dataValidation type="list" allowBlank="1" showErrorMessage="1" sqref="J478">
      <formula1>'12월'!$AB$478:$AI$478</formula1>
    </dataValidation>
    <dataValidation type="list" allowBlank="1" showErrorMessage="1" sqref="J290">
      <formula1>'12월'!$AB$290:$AI$290</formula1>
    </dataValidation>
    <dataValidation type="list" allowBlank="1" showErrorMessage="1" sqref="J303">
      <formula1>'12월'!$AB$303:$AI$303</formula1>
    </dataValidation>
    <dataValidation type="list" allowBlank="1" showErrorMessage="1" sqref="J196">
      <formula1>'12월'!$AB$196:$AI$196</formula1>
    </dataValidation>
    <dataValidation type="list" allowBlank="1" showErrorMessage="1" sqref="J209">
      <formula1>'12월'!$AB$209:$AI$209</formula1>
    </dataValidation>
    <dataValidation type="list" allowBlank="1" showErrorMessage="1" sqref="J191">
      <formula1>'12월'!$AB$191:$AI$191</formula1>
    </dataValidation>
    <dataValidation type="list" allowBlank="1" showErrorMessage="1" sqref="J343">
      <formula1>'12월'!$AB$343:$AI$343</formula1>
    </dataValidation>
    <dataValidation type="list" allowBlank="1" showErrorMessage="1" sqref="J374">
      <formula1>'12월'!$AB$374:$AI$374</formula1>
    </dataValidation>
    <dataValidation type="list" allowBlank="1" showErrorMessage="1" sqref="J437">
      <formula1>'12월'!$AB$437:$AI$437</formula1>
    </dataValidation>
    <dataValidation type="list" allowBlank="1" showErrorMessage="1" sqref="J280">
      <formula1>'12월'!$AB$280:$AI$280</formula1>
    </dataValidation>
    <dataValidation type="list" allowBlank="1" showErrorMessage="1" sqref="J166">
      <formula1>'12월'!$AB$166:$AI$166</formula1>
    </dataValidation>
    <dataValidation type="list" allowBlank="1" showErrorMessage="1" sqref="J100">
      <formula1>'12월'!$AB$100:$AI$100</formula1>
    </dataValidation>
    <dataValidation type="list" allowBlank="1" showErrorMessage="1" sqref="J125">
      <formula1>'12월'!$AB$125:$AI$125</formula1>
    </dataValidation>
    <dataValidation type="list" allowBlank="1" showErrorMessage="1" sqref="J338">
      <formula1>'12월'!$AB$338:$AI$338</formula1>
    </dataValidation>
    <dataValidation type="list" allowBlank="1" showErrorMessage="1" sqref="J333">
      <formula1>'12월'!$AB$333:$AI$333</formula1>
    </dataValidation>
    <dataValidation type="list" allowBlank="1" showErrorMessage="1" sqref="J384">
      <formula1>'12월'!$AB$384:$AI$384</formula1>
    </dataValidation>
    <dataValidation type="list" allowBlank="1" showErrorMessage="1" sqref="J399">
      <formula1>'12월'!$AB$399:$AI$399</formula1>
    </dataValidation>
    <dataValidation type="list" allowBlank="1" showErrorMessage="1" sqref="J219">
      <formula1>'12월'!$AB$219:$AI$219</formula1>
    </dataValidation>
    <dataValidation type="list" allowBlank="1" showErrorMessage="1" sqref="J427">
      <formula1>'12월'!$AB$427:$AI$427</formula1>
    </dataValidation>
    <dataValidation type="list" allowBlank="1" showErrorMessage="1" sqref="J432">
      <formula1>'12월'!$AB$432:$AI$432</formula1>
    </dataValidation>
    <dataValidation type="list" allowBlank="1" showErrorMessage="1" sqref="J285">
      <formula1>'12월'!$AB$285:$AI$285</formula1>
    </dataValidation>
    <dataValidation type="list" allowBlank="1" showErrorMessage="1" sqref="J115">
      <formula1>'12월'!$AB$115:$AI$115</formula1>
    </dataValidation>
    <dataValidation type="list" allowBlank="1" showErrorMessage="1" sqref="J110">
      <formula1>'12월'!$AB$110:$AI$110</formula1>
    </dataValidation>
    <dataValidation type="list" allowBlank="1" showErrorMessage="1" sqref="J472">
      <formula1>'12월'!$AB$472:$AI$472</formula1>
    </dataValidation>
    <dataValidation type="list" allowBlank="1" showErrorMessage="1" sqref="J344">
      <formula1>'12월'!$AB$344:$AI$344</formula1>
    </dataValidation>
    <dataValidation type="list" allowBlank="1" showErrorMessage="1" sqref="J165">
      <formula1>'12월'!$AB$165:$AI$165</formula1>
    </dataValidation>
    <dataValidation type="list" allowBlank="1" showErrorMessage="1" sqref="J373">
      <formula1>'12월'!$AB$373:$AI$373</formula1>
    </dataValidation>
    <dataValidation type="list" allowBlank="1" showErrorMessage="1" sqref="J126">
      <formula1>'12월'!$AB$126:$AI$126</formula1>
    </dataValidation>
    <dataValidation type="list" allowBlank="1" showErrorMessage="1" sqref="J255">
      <formula1>'12월'!$AB$255:$AI$255</formula1>
    </dataValidation>
    <dataValidation type="list" allowBlank="1" showErrorMessage="1" sqref="J463">
      <formula1>'12월'!$AB$463:$AI$463</formula1>
    </dataValidation>
    <dataValidation type="list" allowBlank="1" showErrorMessage="1" sqref="J383">
      <formula1>'12월'!$AB$383:$AI$383</formula1>
    </dataValidation>
    <dataValidation type="list" allowBlank="1" showErrorMessage="1" sqref="J334">
      <formula1>'12월'!$AB$334:$AI$334</formula1>
    </dataValidation>
    <dataValidation type="list" allowBlank="1" showErrorMessage="1" sqref="J156">
      <formula1>'12월'!$AB$156:$AI$156</formula1>
    </dataValidation>
    <dataValidation type="list" allowBlank="1" showErrorMessage="1" sqref="J473">
      <formula1>'12월'!$AB$473:$AI$473</formula1>
    </dataValidation>
    <dataValidation type="list" allowBlank="1" showErrorMessage="1" sqref="J433">
      <formula1>'12월'!$AB$433:$AI$433</formula1>
    </dataValidation>
    <dataValidation type="list" allowBlank="1" showErrorMessage="1" sqref="J307">
      <formula1>'12월'!$AB$307:$AI$307</formula1>
    </dataValidation>
    <dataValidation type="list" allowBlank="1" showErrorMessage="1" sqref="J244">
      <formula1>'12월'!$AB$244:$AI$244</formula1>
    </dataValidation>
    <dataValidation type="list" allowBlank="1" showErrorMessage="1" sqref="J208">
      <formula1>'12월'!$AB$208:$AI$208</formula1>
    </dataValidation>
    <dataValidation type="list" allowBlank="1" showErrorMessage="1" sqref="J291">
      <formula1>'12월'!$AB$291:$AI$291</formula1>
    </dataValidation>
    <dataValidation type="list" allowBlank="1" showErrorMessage="1" sqref="J462">
      <formula1>'12월'!$AB$462:$AI$462</formula1>
    </dataValidation>
    <dataValidation type="list" allowBlank="1" showErrorMessage="1" sqref="J254">
      <formula1>'12월'!$AB$254:$AI$254</formula1>
    </dataValidation>
    <dataValidation type="list" allowBlank="1" showErrorMessage="1" sqref="J192">
      <formula1>'12월'!$AB$192:$AI$192</formula1>
    </dataValidation>
    <dataValidation type="list" allowBlank="1" showErrorMessage="1" sqref="J89">
      <formula1>'12월'!$AB$89:$AI$89</formula1>
    </dataValidation>
    <dataValidation type="list" allowBlank="1" showErrorMessage="1" sqref="J245">
      <formula1>'12월'!$AB$245:$AI$245</formula1>
    </dataValidation>
    <dataValidation type="list" allowBlank="1" showErrorMessage="1" sqref="J155">
      <formula1>'12월'!$AB$155:$AI$155</formula1>
    </dataValidation>
    <dataValidation type="list" allowBlank="1" showErrorMessage="1" sqref="J167">
      <formula1>'12월'!$AB$167:$AI$167</formula1>
    </dataValidation>
    <dataValidation type="list" allowBlank="1" showErrorMessage="1" sqref="J436">
      <formula1>'12월'!$AB$436:$AI$436</formula1>
    </dataValidation>
    <dataValidation type="list" allowBlank="1" showErrorMessage="1" sqref="J129">
      <formula1>'12월'!$AB$129:$AI$129</formula1>
    </dataValidation>
    <dataValidation type="list" allowBlank="1" showErrorMessage="1" sqref="J243">
      <formula1>'12월'!$AB$243:$AI$243</formula1>
    </dataValidation>
    <dataValidation type="list" allowBlank="1" showErrorMessage="1" sqref="J256">
      <formula1>'12월'!$AB$256:$AI$256</formula1>
    </dataValidation>
    <dataValidation type="list" allowBlank="1" showErrorMessage="1" sqref="J218">
      <formula1>'12월'!$AB$218:$AI$218</formula1>
    </dataValidation>
    <dataValidation type="list" allowBlank="1" showErrorMessage="1" sqref="J111">
      <formula1>'12월'!$AB$111:$AI$111</formula1>
    </dataValidation>
    <dataValidation type="list" allowBlank="1" showErrorMessage="1" sqref="J385">
      <formula1>'12월'!$AB$385:$AI$385</formula1>
    </dataValidation>
    <dataValidation type="list" allowBlank="1" showErrorMessage="1" sqref="J114">
      <formula1>'12월'!$AB$114:$AI$114</formula1>
    </dataValidation>
    <dataValidation type="list" allowBlank="1" showErrorMessage="1" sqref="J388">
      <formula1>'12월'!$AB$388:$AI$388</formula1>
    </dataValidation>
    <dataValidation type="list" allowBlank="1" showErrorMessage="1" sqref="J461">
      <formula1>'12월'!$AB$461:$AI$461</formula1>
    </dataValidation>
    <dataValidation type="list" allowBlank="1" showErrorMessage="1" sqref="J281">
      <formula1>'12월'!$AB$281:$AI$281</formula1>
    </dataValidation>
    <dataValidation type="list" allowBlank="1" showErrorMessage="1" sqref="J152">
      <formula1>'12월'!$AB$152:$AI$152</formula1>
    </dataValidation>
    <dataValidation type="list" allowBlank="1" showErrorMessage="1" sqref="J116">
      <formula1>'12월'!$AB$116:$AI$116</formula1>
    </dataValidation>
    <dataValidation type="list" allowBlank="1" showErrorMessage="1" sqref="J190">
      <formula1>'12월'!$AB$190:$AI$190</formula1>
    </dataValidation>
    <dataValidation type="list" allowBlank="1" showErrorMessage="1" sqref="J309">
      <formula1>'12월'!$AB$309:$AI$309</formula1>
    </dataValidation>
    <dataValidation type="list" allowBlank="1" showErrorMessage="1" sqref="J423">
      <formula1>'12월'!$AB$423:$AI$423</formula1>
    </dataValidation>
    <dataValidation type="list" allowBlank="1" showErrorMessage="1" sqref="J205">
      <formula1>'12월'!$AB$205:$AI$205</formula1>
    </dataValidation>
    <dataValidation type="list" allowBlank="1" showErrorMessage="1" sqref="J332">
      <formula1>'12월'!$AB$332:$AI$332</formula1>
    </dataValidation>
    <dataValidation type="list" allowBlank="1" showErrorMessage="1" sqref="J347">
      <formula1>'12월'!$AB$347:$AI$347</formula1>
    </dataValidation>
    <dataValidation type="list" allowBlank="1" showErrorMessage="1" sqref="J370">
      <formula1>'12월'!$AB$370:$AI$370</formula1>
    </dataValidation>
    <dataValidation type="list" allowBlank="1" showErrorMessage="1" sqref="J294">
      <formula1>'12월'!$AB$294:$AI$294</formula1>
    </dataValidation>
    <dataValidation type="list" allowBlank="1" showErrorMessage="1" sqref="J474">
      <formula1>'12월'!$AB$474:$AI$474</formula1>
    </dataValidation>
    <dataValidation type="list" allowBlank="1" showErrorMessage="1" sqref="J299">
      <formula1>'12월'!$AB$299:$AI$299</formula1>
    </dataValidation>
    <dataValidation type="list" allowBlank="1" showErrorMessage="1" sqref="J479">
      <formula1>'12월'!$AB$479:$AI$479</formula1>
    </dataValidation>
    <dataValidation type="list" allowBlank="1" showErrorMessage="1" sqref="J200">
      <formula1>'12월'!$AB$200:$AI$200</formula1>
    </dataValidation>
    <dataValidation type="list" allowBlank="1" showErrorMessage="1" sqref="J297">
      <formula1>'12월'!$AB$297:$AI$297</formula1>
    </dataValidation>
    <dataValidation type="list" allowBlank="1" showErrorMessage="1" sqref="J420">
      <formula1>'12월'!$AB$420:$AI$420</formula1>
    </dataValidation>
    <dataValidation type="list" allowBlank="1" showErrorMessage="1" sqref="J169">
      <formula1>'12월'!$AB$169:$AI$169</formula1>
    </dataValidation>
    <dataValidation type="list" allowBlank="1" showErrorMessage="1" sqref="J259">
      <formula1>'12월'!$AB$259:$AI$259</formula1>
    </dataValidation>
    <dataValidation type="list" allowBlank="1" showErrorMessage="1" sqref="J202">
      <formula1>'12월'!$AB$202:$AI$202</formula1>
    </dataValidation>
    <dataValidation type="list" allowBlank="1" showErrorMessage="1" sqref="J387">
      <formula1>'12월'!$AB$387:$AI$387</formula1>
    </dataValidation>
    <dataValidation type="list" allowBlank="1" showErrorMessage="1" sqref="J476">
      <formula1>'12월'!$AB$476:$AI$476</formula1>
    </dataValidation>
    <dataValidation type="list" allowBlank="1" showErrorMessage="1" sqref="J348">
      <formula1>'12월'!$AB$348:$AI$348</formula1>
    </dataValidation>
    <dataValidation type="list" allowBlank="1" showErrorMessage="1" sqref="J241">
      <formula1>'12월'!$AB$241:$AI$241</formula1>
    </dataValidation>
    <dataValidation type="list" allowBlank="1" showErrorMessage="1" sqref="J258">
      <formula1>'12월'!$AB$258:$AI$258</formula1>
    </dataValidation>
    <dataValidation type="list" allowBlank="1" showErrorMessage="1" sqref="J151">
      <formula1>'12월'!$AB$151:$AI$151</formula1>
    </dataValidation>
    <dataValidation type="list" allowBlank="1" showErrorMessage="1" sqref="J331">
      <formula1>'12월'!$AB$331:$AI$331</formula1>
    </dataValidation>
    <dataValidation type="list" allowBlank="1" showErrorMessage="1" sqref="J298">
      <formula1>'12월'!$AB$298:$AI$298</formula1>
    </dataValidation>
    <dataValidation type="list" allowBlank="1" showErrorMessage="1" sqref="J438">
      <formula1>'12월'!$AB$438:$AI$438</formula1>
    </dataValidation>
    <dataValidation type="list" allowBlank="1" showErrorMessage="1" sqref="J421">
      <formula1>'12월'!$AB$421:$AI$421</formula1>
    </dataValidation>
    <dataValidation type="list" allowBlank="1" showErrorMessage="1" sqref="J112">
      <formula1>'12월'!$AB$112:$AI$112</formula1>
    </dataValidation>
    <dataValidation type="list" allowBlank="1" showErrorMessage="1" sqref="J296">
      <formula1>'12월'!$AB$296:$AI$296</formula1>
    </dataValidation>
    <dataValidation type="list" allowBlank="1" showErrorMessage="1" sqref="J386">
      <formula1>'12월'!$AB$386:$AI$386</formula1>
    </dataValidation>
    <dataValidation type="list" allowBlank="1" showErrorMessage="1" sqref="J240">
      <formula1>'12월'!$AB$240:$AI$240</formula1>
    </dataValidation>
    <dataValidation type="list" allowBlank="1" showErrorMessage="1" sqref="J477">
      <formula1>'12월'!$AB$477:$AI$477</formula1>
    </dataValidation>
    <dataValidation type="list" allowBlank="1" showErrorMessage="1" sqref="J113">
      <formula1>'12월'!$AB$113:$AI$113</formula1>
    </dataValidation>
    <dataValidation type="list" allowBlank="1" showErrorMessage="1" sqref="J203">
      <formula1>'12월'!$AB$203:$AI$203</formula1>
    </dataValidation>
    <dataValidation type="list" allowBlank="1" showErrorMessage="1" sqref="J349">
      <formula1>'12월'!$AB$349:$AI$349</formula1>
    </dataValidation>
    <dataValidation type="list" allowBlank="1" showErrorMessage="1" sqref="J439">
      <formula1>'12월'!$AB$439:$AI$439</formula1>
    </dataValidation>
    <dataValidation type="list" allowBlank="1" showErrorMessage="1" sqref="J150">
      <formula1>'12월'!$AB$150:$AI$150</formula1>
    </dataValidation>
    <dataValidation type="list" allowBlank="1" showErrorMessage="1" sqref="J330">
      <formula1>'12월'!$AB$330:$AI$330</formula1>
    </dataValidation>
    <dataValidation type="list" allowBlank="1" showErrorMessage="1" sqref="I62:I500">
      <formula1>'설정시트'!$C$7:$C$20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1.5"/>
    <col customWidth="1" min="3" max="3" width="50.0"/>
    <col customWidth="1" min="5" max="5" width="27.0"/>
  </cols>
  <sheetData>
    <row r="1" ht="9.0" customHeight="1">
      <c r="B1" s="4"/>
      <c r="D1" s="242"/>
    </row>
    <row r="2" ht="21.75" customHeight="1">
      <c r="B2" s="243" t="s">
        <v>1015</v>
      </c>
      <c r="C2" s="243" t="s">
        <v>1016</v>
      </c>
      <c r="D2" s="244" t="s">
        <v>128</v>
      </c>
      <c r="E2" s="243" t="s">
        <v>148</v>
      </c>
    </row>
    <row r="3">
      <c r="B3" s="245">
        <v>45806.0</v>
      </c>
      <c r="C3" s="34" t="s">
        <v>1017</v>
      </c>
      <c r="D3" s="246">
        <f>176970+179040</f>
        <v>356010</v>
      </c>
      <c r="E3" s="34" t="s">
        <v>1018</v>
      </c>
    </row>
    <row r="4">
      <c r="B4" s="245">
        <v>45810.0</v>
      </c>
      <c r="C4" s="34" t="s">
        <v>1019</v>
      </c>
      <c r="D4" s="246">
        <v>216200.0</v>
      </c>
      <c r="E4" s="34" t="s">
        <v>1020</v>
      </c>
    </row>
    <row r="5">
      <c r="B5" s="245">
        <v>45817.0</v>
      </c>
      <c r="C5" s="34" t="s">
        <v>1021</v>
      </c>
      <c r="D5" s="246">
        <v>33310.0</v>
      </c>
      <c r="E5" s="34" t="s">
        <v>1018</v>
      </c>
    </row>
    <row r="6">
      <c r="B6" s="245">
        <v>45834.0</v>
      </c>
      <c r="C6" s="34" t="s">
        <v>1022</v>
      </c>
      <c r="D6" s="246">
        <f>190000+10300</f>
        <v>200300</v>
      </c>
      <c r="E6" s="34" t="s">
        <v>1023</v>
      </c>
    </row>
    <row r="7">
      <c r="B7" s="245">
        <v>45838.0</v>
      </c>
      <c r="C7" s="34" t="s">
        <v>1024</v>
      </c>
      <c r="D7" s="246">
        <v>65700.0</v>
      </c>
      <c r="E7" s="34" t="s">
        <v>1025</v>
      </c>
    </row>
    <row r="8">
      <c r="B8" s="245">
        <v>45841.0</v>
      </c>
      <c r="D8" s="246">
        <v>148600.0</v>
      </c>
      <c r="E8" s="34" t="s">
        <v>1026</v>
      </c>
    </row>
    <row r="9">
      <c r="B9" s="245">
        <v>45845.0</v>
      </c>
      <c r="C9" s="34" t="s">
        <v>1027</v>
      </c>
      <c r="D9" s="242">
        <f>531800+41200</f>
        <v>573000</v>
      </c>
      <c r="E9" s="34" t="s">
        <v>1028</v>
      </c>
    </row>
    <row r="10">
      <c r="B10" s="245">
        <v>45848.0</v>
      </c>
      <c r="D10" s="242"/>
      <c r="E10" s="34" t="s">
        <v>1029</v>
      </c>
    </row>
    <row r="11">
      <c r="B11" s="4"/>
      <c r="D11" s="242"/>
    </row>
    <row r="12">
      <c r="B12" s="4"/>
      <c r="D12" s="242"/>
    </row>
    <row r="13">
      <c r="B13" s="4"/>
      <c r="D13" s="242"/>
    </row>
    <row r="14">
      <c r="B14" s="4"/>
      <c r="D14" s="242"/>
    </row>
    <row r="15">
      <c r="B15" s="4"/>
      <c r="D15" s="242"/>
    </row>
    <row r="16">
      <c r="B16" s="4"/>
      <c r="D16" s="242"/>
    </row>
    <row r="17">
      <c r="B17" s="4"/>
      <c r="D17" s="242"/>
    </row>
    <row r="18">
      <c r="B18" s="4"/>
      <c r="D18" s="242"/>
    </row>
    <row r="19">
      <c r="B19" s="4"/>
      <c r="D19" s="242"/>
    </row>
    <row r="20">
      <c r="B20" s="4"/>
      <c r="D20" s="242"/>
    </row>
    <row r="21">
      <c r="B21" s="4"/>
      <c r="D21" s="242"/>
    </row>
    <row r="22">
      <c r="B22" s="4"/>
      <c r="D22" s="242"/>
    </row>
    <row r="23">
      <c r="B23" s="4"/>
      <c r="D23" s="242"/>
    </row>
    <row r="24">
      <c r="B24" s="4"/>
      <c r="D24" s="242"/>
    </row>
    <row r="25">
      <c r="B25" s="4"/>
      <c r="D25" s="242"/>
    </row>
    <row r="26">
      <c r="B26" s="4"/>
      <c r="D26" s="242"/>
    </row>
    <row r="27">
      <c r="B27" s="4"/>
      <c r="D27" s="242"/>
    </row>
    <row r="28">
      <c r="B28" s="4"/>
      <c r="D28" s="242"/>
    </row>
    <row r="29">
      <c r="B29" s="4"/>
      <c r="D29" s="242"/>
    </row>
    <row r="30">
      <c r="B30" s="4"/>
      <c r="D30" s="242"/>
    </row>
    <row r="31">
      <c r="B31" s="4"/>
      <c r="D31" s="242"/>
    </row>
    <row r="32">
      <c r="B32" s="4"/>
      <c r="D32" s="242"/>
    </row>
    <row r="33">
      <c r="B33" s="4"/>
      <c r="D33" s="242"/>
    </row>
    <row r="34">
      <c r="B34" s="4"/>
      <c r="D34" s="242"/>
    </row>
    <row r="35">
      <c r="B35" s="4"/>
      <c r="D35" s="242"/>
    </row>
    <row r="36">
      <c r="B36" s="4"/>
      <c r="D36" s="242"/>
    </row>
    <row r="37">
      <c r="B37" s="4"/>
      <c r="D37" s="242"/>
    </row>
    <row r="38">
      <c r="B38" s="4"/>
      <c r="D38" s="242"/>
    </row>
    <row r="39">
      <c r="B39" s="4"/>
      <c r="D39" s="242"/>
    </row>
    <row r="40">
      <c r="B40" s="4"/>
      <c r="D40" s="242"/>
    </row>
    <row r="41">
      <c r="B41" s="4"/>
      <c r="D41" s="242"/>
    </row>
    <row r="42">
      <c r="B42" s="4"/>
      <c r="D42" s="242"/>
    </row>
    <row r="43">
      <c r="B43" s="4"/>
      <c r="D43" s="242"/>
    </row>
    <row r="44">
      <c r="B44" s="4"/>
      <c r="D44" s="242"/>
    </row>
    <row r="45">
      <c r="B45" s="4"/>
      <c r="D45" s="242"/>
    </row>
    <row r="46">
      <c r="B46" s="4"/>
      <c r="D46" s="242"/>
    </row>
    <row r="47">
      <c r="B47" s="4"/>
      <c r="D47" s="242"/>
    </row>
    <row r="48">
      <c r="B48" s="4"/>
      <c r="D48" s="242"/>
    </row>
    <row r="49">
      <c r="B49" s="4"/>
      <c r="D49" s="242"/>
    </row>
    <row r="50">
      <c r="B50" s="4"/>
      <c r="D50" s="242"/>
    </row>
    <row r="51">
      <c r="B51" s="4"/>
      <c r="D51" s="242"/>
    </row>
    <row r="52">
      <c r="B52" s="4"/>
      <c r="D52" s="242"/>
    </row>
    <row r="53">
      <c r="B53" s="4"/>
      <c r="D53" s="242"/>
    </row>
    <row r="54">
      <c r="B54" s="4"/>
      <c r="D54" s="242"/>
    </row>
    <row r="55">
      <c r="B55" s="4"/>
      <c r="D55" s="242"/>
    </row>
    <row r="56">
      <c r="B56" s="4"/>
      <c r="D56" s="242"/>
    </row>
    <row r="57">
      <c r="B57" s="4"/>
      <c r="D57" s="242"/>
    </row>
    <row r="58">
      <c r="B58" s="4"/>
      <c r="D58" s="242"/>
    </row>
    <row r="59">
      <c r="B59" s="4"/>
      <c r="D59" s="242"/>
    </row>
    <row r="60">
      <c r="B60" s="4"/>
      <c r="D60" s="242"/>
    </row>
    <row r="61">
      <c r="B61" s="4"/>
      <c r="D61" s="242"/>
    </row>
    <row r="62">
      <c r="B62" s="4"/>
      <c r="D62" s="242"/>
    </row>
    <row r="63">
      <c r="B63" s="4"/>
      <c r="D63" s="242"/>
    </row>
    <row r="64">
      <c r="B64" s="4"/>
      <c r="D64" s="242"/>
    </row>
    <row r="65">
      <c r="B65" s="4"/>
      <c r="D65" s="242"/>
    </row>
    <row r="66">
      <c r="B66" s="4"/>
      <c r="D66" s="242"/>
    </row>
    <row r="67">
      <c r="B67" s="4"/>
      <c r="D67" s="242"/>
    </row>
    <row r="68">
      <c r="B68" s="4"/>
      <c r="D68" s="242"/>
    </row>
    <row r="69">
      <c r="B69" s="4"/>
      <c r="D69" s="242"/>
    </row>
    <row r="70">
      <c r="B70" s="4"/>
      <c r="D70" s="242"/>
    </row>
    <row r="71">
      <c r="B71" s="4"/>
      <c r="D71" s="242"/>
    </row>
    <row r="72">
      <c r="B72" s="4"/>
      <c r="D72" s="242"/>
    </row>
    <row r="73">
      <c r="B73" s="4"/>
      <c r="D73" s="242"/>
    </row>
    <row r="74">
      <c r="B74" s="4"/>
      <c r="D74" s="242"/>
    </row>
    <row r="75">
      <c r="B75" s="4"/>
      <c r="D75" s="242"/>
    </row>
    <row r="76">
      <c r="B76" s="4"/>
      <c r="D76" s="242"/>
    </row>
    <row r="77">
      <c r="B77" s="4"/>
      <c r="D77" s="242"/>
    </row>
    <row r="78">
      <c r="B78" s="4"/>
      <c r="D78" s="242"/>
    </row>
    <row r="79">
      <c r="B79" s="4"/>
      <c r="D79" s="242"/>
    </row>
    <row r="80">
      <c r="B80" s="4"/>
      <c r="D80" s="242"/>
    </row>
    <row r="81">
      <c r="B81" s="4"/>
      <c r="D81" s="242"/>
    </row>
    <row r="82">
      <c r="B82" s="4"/>
      <c r="D82" s="242"/>
    </row>
    <row r="83">
      <c r="B83" s="4"/>
      <c r="D83" s="242"/>
    </row>
    <row r="84">
      <c r="B84" s="4"/>
      <c r="D84" s="242"/>
    </row>
    <row r="85">
      <c r="B85" s="4"/>
      <c r="D85" s="242"/>
    </row>
    <row r="86">
      <c r="B86" s="4"/>
      <c r="D86" s="242"/>
    </row>
    <row r="87">
      <c r="B87" s="4"/>
      <c r="D87" s="242"/>
    </row>
    <row r="88">
      <c r="B88" s="4"/>
      <c r="D88" s="242"/>
    </row>
    <row r="89">
      <c r="B89" s="4"/>
      <c r="D89" s="242"/>
    </row>
    <row r="90">
      <c r="B90" s="4"/>
      <c r="D90" s="242"/>
    </row>
    <row r="91">
      <c r="B91" s="4"/>
      <c r="D91" s="242"/>
    </row>
    <row r="92">
      <c r="B92" s="4"/>
      <c r="D92" s="242"/>
    </row>
    <row r="93">
      <c r="B93" s="4"/>
      <c r="D93" s="242"/>
    </row>
    <row r="94">
      <c r="B94" s="4"/>
      <c r="D94" s="242"/>
    </row>
    <row r="95">
      <c r="B95" s="4"/>
      <c r="D95" s="242"/>
    </row>
    <row r="96">
      <c r="B96" s="4"/>
      <c r="D96" s="242"/>
    </row>
    <row r="97">
      <c r="B97" s="4"/>
      <c r="D97" s="242"/>
    </row>
    <row r="98">
      <c r="B98" s="4"/>
      <c r="D98" s="242"/>
    </row>
    <row r="99">
      <c r="B99" s="4"/>
      <c r="D99" s="242"/>
    </row>
    <row r="100">
      <c r="B100" s="4"/>
      <c r="D100" s="242"/>
    </row>
    <row r="101">
      <c r="B101" s="4"/>
      <c r="D101" s="242"/>
    </row>
    <row r="102">
      <c r="B102" s="4"/>
      <c r="D102" s="242"/>
    </row>
    <row r="103">
      <c r="B103" s="4"/>
      <c r="D103" s="242"/>
    </row>
    <row r="104">
      <c r="B104" s="4"/>
      <c r="D104" s="242"/>
    </row>
    <row r="105">
      <c r="B105" s="4"/>
      <c r="D105" s="242"/>
    </row>
    <row r="106">
      <c r="B106" s="4"/>
      <c r="D106" s="242"/>
    </row>
    <row r="107">
      <c r="B107" s="4"/>
      <c r="D107" s="242"/>
    </row>
    <row r="108">
      <c r="B108" s="4"/>
      <c r="D108" s="242"/>
    </row>
    <row r="109">
      <c r="B109" s="4"/>
      <c r="D109" s="242"/>
    </row>
    <row r="110">
      <c r="B110" s="4"/>
      <c r="D110" s="242"/>
    </row>
    <row r="111">
      <c r="B111" s="4"/>
      <c r="D111" s="242"/>
    </row>
    <row r="112">
      <c r="B112" s="4"/>
      <c r="D112" s="242"/>
    </row>
    <row r="113">
      <c r="B113" s="4"/>
      <c r="D113" s="242"/>
    </row>
    <row r="114">
      <c r="B114" s="4"/>
      <c r="D114" s="242"/>
    </row>
    <row r="115">
      <c r="B115" s="4"/>
      <c r="D115" s="242"/>
    </row>
    <row r="116">
      <c r="B116" s="4"/>
      <c r="D116" s="242"/>
    </row>
    <row r="117">
      <c r="B117" s="4"/>
      <c r="D117" s="242"/>
    </row>
    <row r="118">
      <c r="B118" s="4"/>
      <c r="D118" s="242"/>
    </row>
    <row r="119">
      <c r="B119" s="4"/>
      <c r="D119" s="242"/>
    </row>
    <row r="120">
      <c r="B120" s="4"/>
      <c r="D120" s="242"/>
    </row>
    <row r="121">
      <c r="B121" s="4"/>
      <c r="D121" s="242"/>
    </row>
    <row r="122">
      <c r="B122" s="4"/>
      <c r="D122" s="242"/>
    </row>
    <row r="123">
      <c r="B123" s="4"/>
      <c r="D123" s="242"/>
    </row>
    <row r="124">
      <c r="B124" s="4"/>
      <c r="D124" s="242"/>
    </row>
    <row r="125">
      <c r="B125" s="4"/>
      <c r="D125" s="242"/>
    </row>
    <row r="126">
      <c r="B126" s="4"/>
      <c r="D126" s="242"/>
    </row>
    <row r="127">
      <c r="B127" s="4"/>
      <c r="D127" s="242"/>
    </row>
    <row r="128">
      <c r="B128" s="4"/>
      <c r="D128" s="242"/>
    </row>
    <row r="129">
      <c r="B129" s="4"/>
      <c r="D129" s="242"/>
    </row>
    <row r="130">
      <c r="B130" s="4"/>
      <c r="D130" s="242"/>
    </row>
    <row r="131">
      <c r="B131" s="4"/>
      <c r="D131" s="242"/>
    </row>
    <row r="132">
      <c r="B132" s="4"/>
      <c r="D132" s="242"/>
    </row>
    <row r="133">
      <c r="B133" s="4"/>
      <c r="D133" s="242"/>
    </row>
    <row r="134">
      <c r="B134" s="4"/>
      <c r="D134" s="242"/>
    </row>
    <row r="135">
      <c r="B135" s="4"/>
      <c r="D135" s="242"/>
    </row>
    <row r="136">
      <c r="B136" s="4"/>
      <c r="D136" s="242"/>
    </row>
    <row r="137">
      <c r="B137" s="4"/>
      <c r="D137" s="242"/>
    </row>
    <row r="138">
      <c r="B138" s="4"/>
      <c r="D138" s="242"/>
    </row>
    <row r="139">
      <c r="B139" s="4"/>
      <c r="D139" s="242"/>
    </row>
    <row r="140">
      <c r="B140" s="4"/>
      <c r="D140" s="242"/>
    </row>
    <row r="141">
      <c r="B141" s="4"/>
      <c r="D141" s="242"/>
    </row>
    <row r="142">
      <c r="B142" s="4"/>
      <c r="D142" s="242"/>
    </row>
    <row r="143">
      <c r="B143" s="4"/>
      <c r="D143" s="242"/>
    </row>
    <row r="144">
      <c r="B144" s="4"/>
      <c r="D144" s="242"/>
    </row>
    <row r="145">
      <c r="B145" s="4"/>
      <c r="D145" s="242"/>
    </row>
    <row r="146">
      <c r="B146" s="4"/>
      <c r="D146" s="242"/>
    </row>
    <row r="147">
      <c r="B147" s="4"/>
      <c r="D147" s="242"/>
    </row>
    <row r="148">
      <c r="B148" s="4"/>
      <c r="D148" s="242"/>
    </row>
    <row r="149">
      <c r="B149" s="4"/>
      <c r="D149" s="242"/>
    </row>
    <row r="150">
      <c r="B150" s="4"/>
      <c r="D150" s="242"/>
    </row>
    <row r="151">
      <c r="B151" s="4"/>
      <c r="D151" s="242"/>
    </row>
    <row r="152">
      <c r="B152" s="4"/>
      <c r="D152" s="242"/>
    </row>
    <row r="153">
      <c r="B153" s="4"/>
      <c r="D153" s="242"/>
    </row>
    <row r="154">
      <c r="B154" s="4"/>
      <c r="D154" s="242"/>
    </row>
    <row r="155">
      <c r="B155" s="4"/>
      <c r="D155" s="242"/>
    </row>
    <row r="156">
      <c r="B156" s="4"/>
      <c r="D156" s="242"/>
    </row>
    <row r="157">
      <c r="B157" s="4"/>
      <c r="D157" s="242"/>
    </row>
    <row r="158">
      <c r="B158" s="4"/>
      <c r="D158" s="242"/>
    </row>
    <row r="159">
      <c r="B159" s="4"/>
      <c r="D159" s="242"/>
    </row>
    <row r="160">
      <c r="B160" s="4"/>
      <c r="D160" s="242"/>
    </row>
    <row r="161">
      <c r="B161" s="4"/>
      <c r="D161" s="242"/>
    </row>
    <row r="162">
      <c r="B162" s="4"/>
      <c r="D162" s="242"/>
    </row>
    <row r="163">
      <c r="B163" s="4"/>
      <c r="D163" s="242"/>
    </row>
    <row r="164">
      <c r="B164" s="4"/>
      <c r="D164" s="242"/>
    </row>
    <row r="165">
      <c r="B165" s="4"/>
      <c r="D165" s="242"/>
    </row>
    <row r="166">
      <c r="B166" s="4"/>
      <c r="D166" s="242"/>
    </row>
    <row r="167">
      <c r="B167" s="4"/>
      <c r="D167" s="242"/>
    </row>
    <row r="168">
      <c r="B168" s="4"/>
      <c r="D168" s="242"/>
    </row>
    <row r="169">
      <c r="B169" s="4"/>
      <c r="D169" s="242"/>
    </row>
    <row r="170">
      <c r="B170" s="4"/>
      <c r="D170" s="242"/>
    </row>
    <row r="171">
      <c r="B171" s="4"/>
      <c r="D171" s="242"/>
    </row>
    <row r="172">
      <c r="B172" s="4"/>
      <c r="D172" s="242"/>
    </row>
    <row r="173">
      <c r="B173" s="4"/>
      <c r="D173" s="242"/>
    </row>
    <row r="174">
      <c r="B174" s="4"/>
      <c r="D174" s="242"/>
    </row>
    <row r="175">
      <c r="B175" s="4"/>
      <c r="D175" s="242"/>
    </row>
    <row r="176">
      <c r="B176" s="4"/>
      <c r="D176" s="242"/>
    </row>
    <row r="177">
      <c r="B177" s="4"/>
      <c r="D177" s="242"/>
    </row>
    <row r="178">
      <c r="B178" s="4"/>
      <c r="D178" s="242"/>
    </row>
    <row r="179">
      <c r="B179" s="4"/>
      <c r="D179" s="242"/>
    </row>
    <row r="180">
      <c r="B180" s="4"/>
      <c r="D180" s="242"/>
    </row>
    <row r="181">
      <c r="B181" s="4"/>
      <c r="D181" s="242"/>
    </row>
    <row r="182">
      <c r="B182" s="4"/>
      <c r="D182" s="242"/>
    </row>
    <row r="183">
      <c r="B183" s="4"/>
      <c r="D183" s="242"/>
    </row>
    <row r="184">
      <c r="B184" s="4"/>
      <c r="D184" s="242"/>
    </row>
    <row r="185">
      <c r="B185" s="4"/>
      <c r="D185" s="242"/>
    </row>
    <row r="186">
      <c r="B186" s="4"/>
      <c r="D186" s="242"/>
    </row>
    <row r="187">
      <c r="B187" s="4"/>
      <c r="D187" s="242"/>
    </row>
    <row r="188">
      <c r="B188" s="4"/>
      <c r="D188" s="242"/>
    </row>
    <row r="189">
      <c r="B189" s="4"/>
      <c r="D189" s="242"/>
    </row>
    <row r="190">
      <c r="B190" s="4"/>
      <c r="D190" s="242"/>
    </row>
    <row r="191">
      <c r="B191" s="4"/>
      <c r="D191" s="242"/>
    </row>
    <row r="192">
      <c r="B192" s="4"/>
      <c r="D192" s="242"/>
    </row>
    <row r="193">
      <c r="B193" s="4"/>
      <c r="D193" s="242"/>
    </row>
    <row r="194">
      <c r="B194" s="4"/>
      <c r="D194" s="242"/>
    </row>
    <row r="195">
      <c r="B195" s="4"/>
      <c r="D195" s="242"/>
    </row>
    <row r="196">
      <c r="B196" s="4"/>
      <c r="D196" s="242"/>
    </row>
    <row r="197">
      <c r="B197" s="4"/>
      <c r="D197" s="242"/>
    </row>
    <row r="198">
      <c r="B198" s="4"/>
      <c r="D198" s="242"/>
    </row>
    <row r="199">
      <c r="B199" s="4"/>
      <c r="D199" s="242"/>
    </row>
    <row r="200">
      <c r="B200" s="4"/>
      <c r="D200" s="242"/>
    </row>
    <row r="201">
      <c r="B201" s="4"/>
      <c r="D201" s="242"/>
    </row>
    <row r="202">
      <c r="B202" s="4"/>
      <c r="D202" s="242"/>
    </row>
    <row r="203">
      <c r="B203" s="4"/>
      <c r="D203" s="242"/>
    </row>
    <row r="204">
      <c r="B204" s="4"/>
      <c r="D204" s="242"/>
    </row>
    <row r="205">
      <c r="B205" s="4"/>
      <c r="D205" s="242"/>
    </row>
    <row r="206">
      <c r="B206" s="4"/>
      <c r="D206" s="242"/>
    </row>
    <row r="207">
      <c r="B207" s="4"/>
      <c r="D207" s="242"/>
    </row>
    <row r="208">
      <c r="B208" s="4"/>
      <c r="D208" s="242"/>
    </row>
    <row r="209">
      <c r="B209" s="4"/>
      <c r="D209" s="242"/>
    </row>
    <row r="210">
      <c r="B210" s="4"/>
      <c r="D210" s="242"/>
    </row>
    <row r="211">
      <c r="B211" s="4"/>
      <c r="D211" s="242"/>
    </row>
    <row r="212">
      <c r="B212" s="4"/>
      <c r="D212" s="242"/>
    </row>
    <row r="213">
      <c r="B213" s="4"/>
      <c r="D213" s="242"/>
    </row>
    <row r="214">
      <c r="B214" s="4"/>
      <c r="D214" s="242"/>
    </row>
    <row r="215">
      <c r="B215" s="4"/>
      <c r="D215" s="242"/>
    </row>
    <row r="216">
      <c r="B216" s="4"/>
      <c r="D216" s="242"/>
    </row>
    <row r="217">
      <c r="B217" s="4"/>
      <c r="D217" s="242"/>
    </row>
    <row r="218">
      <c r="B218" s="4"/>
      <c r="D218" s="242"/>
    </row>
    <row r="219">
      <c r="B219" s="4"/>
      <c r="D219" s="242"/>
    </row>
    <row r="220">
      <c r="B220" s="4"/>
      <c r="D220" s="242"/>
    </row>
    <row r="221">
      <c r="B221" s="4"/>
      <c r="D221" s="242"/>
    </row>
    <row r="222">
      <c r="B222" s="4"/>
      <c r="D222" s="242"/>
    </row>
    <row r="223">
      <c r="B223" s="4"/>
      <c r="D223" s="242"/>
    </row>
    <row r="224">
      <c r="B224" s="4"/>
      <c r="D224" s="242"/>
    </row>
    <row r="225">
      <c r="B225" s="4"/>
      <c r="D225" s="242"/>
    </row>
    <row r="226">
      <c r="B226" s="4"/>
      <c r="D226" s="242"/>
    </row>
    <row r="227">
      <c r="B227" s="4"/>
      <c r="D227" s="242"/>
    </row>
    <row r="228">
      <c r="B228" s="4"/>
      <c r="D228" s="242"/>
    </row>
    <row r="229">
      <c r="B229" s="4"/>
      <c r="D229" s="242"/>
    </row>
    <row r="230">
      <c r="B230" s="4"/>
      <c r="D230" s="242"/>
    </row>
    <row r="231">
      <c r="B231" s="4"/>
      <c r="D231" s="242"/>
    </row>
    <row r="232">
      <c r="B232" s="4"/>
      <c r="D232" s="242"/>
    </row>
    <row r="233">
      <c r="B233" s="4"/>
      <c r="D233" s="242"/>
    </row>
    <row r="234">
      <c r="B234" s="4"/>
      <c r="D234" s="242"/>
    </row>
    <row r="235">
      <c r="B235" s="4"/>
      <c r="D235" s="242"/>
    </row>
    <row r="236">
      <c r="B236" s="4"/>
      <c r="D236" s="242"/>
    </row>
    <row r="237">
      <c r="B237" s="4"/>
      <c r="D237" s="242"/>
    </row>
    <row r="238">
      <c r="B238" s="4"/>
      <c r="D238" s="242"/>
    </row>
    <row r="239">
      <c r="B239" s="4"/>
      <c r="D239" s="242"/>
    </row>
    <row r="240">
      <c r="B240" s="4"/>
      <c r="D240" s="242"/>
    </row>
    <row r="241">
      <c r="B241" s="4"/>
      <c r="D241" s="242"/>
    </row>
    <row r="242">
      <c r="B242" s="4"/>
      <c r="D242" s="242"/>
    </row>
    <row r="243">
      <c r="B243" s="4"/>
      <c r="D243" s="242"/>
    </row>
    <row r="244">
      <c r="B244" s="4"/>
      <c r="D244" s="242"/>
    </row>
    <row r="245">
      <c r="B245" s="4"/>
      <c r="D245" s="242"/>
    </row>
    <row r="246">
      <c r="B246" s="4"/>
      <c r="D246" s="242"/>
    </row>
    <row r="247">
      <c r="B247" s="4"/>
      <c r="D247" s="242"/>
    </row>
    <row r="248">
      <c r="B248" s="4"/>
      <c r="D248" s="242"/>
    </row>
    <row r="249">
      <c r="B249" s="4"/>
      <c r="D249" s="242"/>
    </row>
    <row r="250">
      <c r="B250" s="4"/>
      <c r="D250" s="242"/>
    </row>
    <row r="251">
      <c r="B251" s="4"/>
      <c r="D251" s="242"/>
    </row>
    <row r="252">
      <c r="B252" s="4"/>
      <c r="D252" s="242"/>
    </row>
    <row r="253">
      <c r="B253" s="4"/>
      <c r="D253" s="242"/>
    </row>
    <row r="254">
      <c r="B254" s="4"/>
      <c r="D254" s="242"/>
    </row>
    <row r="255">
      <c r="B255" s="4"/>
      <c r="D255" s="242"/>
    </row>
    <row r="256">
      <c r="B256" s="4"/>
      <c r="D256" s="242"/>
    </row>
    <row r="257">
      <c r="B257" s="4"/>
      <c r="D257" s="242"/>
    </row>
    <row r="258">
      <c r="B258" s="4"/>
      <c r="D258" s="242"/>
    </row>
    <row r="259">
      <c r="B259" s="4"/>
      <c r="D259" s="242"/>
    </row>
    <row r="260">
      <c r="B260" s="4"/>
      <c r="D260" s="242"/>
    </row>
    <row r="261">
      <c r="B261" s="4"/>
      <c r="D261" s="242"/>
    </row>
    <row r="262">
      <c r="B262" s="4"/>
      <c r="D262" s="242"/>
    </row>
    <row r="263">
      <c r="B263" s="4"/>
      <c r="D263" s="242"/>
    </row>
    <row r="264">
      <c r="B264" s="4"/>
      <c r="D264" s="242"/>
    </row>
    <row r="265">
      <c r="B265" s="4"/>
      <c r="D265" s="242"/>
    </row>
    <row r="266">
      <c r="B266" s="4"/>
      <c r="D266" s="242"/>
    </row>
    <row r="267">
      <c r="B267" s="4"/>
      <c r="D267" s="242"/>
    </row>
    <row r="268">
      <c r="B268" s="4"/>
      <c r="D268" s="242"/>
    </row>
    <row r="269">
      <c r="B269" s="4"/>
      <c r="D269" s="242"/>
    </row>
    <row r="270">
      <c r="B270" s="4"/>
      <c r="D270" s="242"/>
    </row>
    <row r="271">
      <c r="B271" s="4"/>
      <c r="D271" s="242"/>
    </row>
    <row r="272">
      <c r="B272" s="4"/>
      <c r="D272" s="242"/>
    </row>
    <row r="273">
      <c r="B273" s="4"/>
      <c r="D273" s="242"/>
    </row>
    <row r="274">
      <c r="B274" s="4"/>
      <c r="D274" s="242"/>
    </row>
    <row r="275">
      <c r="B275" s="4"/>
      <c r="D275" s="242"/>
    </row>
    <row r="276">
      <c r="B276" s="4"/>
      <c r="D276" s="242"/>
    </row>
    <row r="277">
      <c r="B277" s="4"/>
      <c r="D277" s="242"/>
    </row>
    <row r="278">
      <c r="B278" s="4"/>
      <c r="D278" s="242"/>
    </row>
    <row r="279">
      <c r="B279" s="4"/>
      <c r="D279" s="242"/>
    </row>
    <row r="280">
      <c r="B280" s="4"/>
      <c r="D280" s="242"/>
    </row>
    <row r="281">
      <c r="B281" s="4"/>
      <c r="D281" s="242"/>
    </row>
    <row r="282">
      <c r="B282" s="4"/>
      <c r="D282" s="242"/>
    </row>
    <row r="283">
      <c r="B283" s="4"/>
      <c r="D283" s="242"/>
    </row>
    <row r="284">
      <c r="B284" s="4"/>
      <c r="D284" s="242"/>
    </row>
    <row r="285">
      <c r="B285" s="4"/>
      <c r="D285" s="242"/>
    </row>
    <row r="286">
      <c r="B286" s="4"/>
      <c r="D286" s="242"/>
    </row>
    <row r="287">
      <c r="B287" s="4"/>
      <c r="D287" s="242"/>
    </row>
    <row r="288">
      <c r="B288" s="4"/>
      <c r="D288" s="242"/>
    </row>
    <row r="289">
      <c r="B289" s="4"/>
      <c r="D289" s="242"/>
    </row>
    <row r="290">
      <c r="B290" s="4"/>
      <c r="D290" s="242"/>
    </row>
    <row r="291">
      <c r="B291" s="4"/>
      <c r="D291" s="242"/>
    </row>
    <row r="292">
      <c r="B292" s="4"/>
      <c r="D292" s="242"/>
    </row>
    <row r="293">
      <c r="B293" s="4"/>
      <c r="D293" s="242"/>
    </row>
    <row r="294">
      <c r="B294" s="4"/>
      <c r="D294" s="242"/>
    </row>
    <row r="295">
      <c r="B295" s="4"/>
      <c r="D295" s="242"/>
    </row>
    <row r="296">
      <c r="B296" s="4"/>
      <c r="D296" s="242"/>
    </row>
    <row r="297">
      <c r="B297" s="4"/>
      <c r="D297" s="242"/>
    </row>
    <row r="298">
      <c r="B298" s="4"/>
      <c r="D298" s="242"/>
    </row>
    <row r="299">
      <c r="B299" s="4"/>
      <c r="D299" s="242"/>
    </row>
    <row r="300">
      <c r="B300" s="4"/>
      <c r="D300" s="242"/>
    </row>
    <row r="301">
      <c r="B301" s="4"/>
      <c r="D301" s="242"/>
    </row>
    <row r="302">
      <c r="B302" s="4"/>
      <c r="D302" s="242"/>
    </row>
    <row r="303">
      <c r="B303" s="4"/>
      <c r="D303" s="242"/>
    </row>
    <row r="304">
      <c r="B304" s="4"/>
      <c r="D304" s="242"/>
    </row>
    <row r="305">
      <c r="B305" s="4"/>
      <c r="D305" s="242"/>
    </row>
    <row r="306">
      <c r="B306" s="4"/>
      <c r="D306" s="242"/>
    </row>
    <row r="307">
      <c r="B307" s="4"/>
      <c r="D307" s="242"/>
    </row>
    <row r="308">
      <c r="B308" s="4"/>
      <c r="D308" s="242"/>
    </row>
    <row r="309">
      <c r="B309" s="4"/>
      <c r="D309" s="242"/>
    </row>
    <row r="310">
      <c r="B310" s="4"/>
      <c r="D310" s="242"/>
    </row>
    <row r="311">
      <c r="B311" s="4"/>
      <c r="D311" s="242"/>
    </row>
    <row r="312">
      <c r="B312" s="4"/>
      <c r="D312" s="242"/>
    </row>
    <row r="313">
      <c r="B313" s="4"/>
      <c r="D313" s="242"/>
    </row>
    <row r="314">
      <c r="B314" s="4"/>
      <c r="D314" s="242"/>
    </row>
    <row r="315">
      <c r="B315" s="4"/>
      <c r="D315" s="242"/>
    </row>
    <row r="316">
      <c r="B316" s="4"/>
      <c r="D316" s="242"/>
    </row>
    <row r="317">
      <c r="B317" s="4"/>
      <c r="D317" s="242"/>
    </row>
    <row r="318">
      <c r="B318" s="4"/>
      <c r="D318" s="242"/>
    </row>
    <row r="319">
      <c r="B319" s="4"/>
      <c r="D319" s="242"/>
    </row>
    <row r="320">
      <c r="B320" s="4"/>
      <c r="D320" s="242"/>
    </row>
    <row r="321">
      <c r="B321" s="4"/>
      <c r="D321" s="242"/>
    </row>
    <row r="322">
      <c r="B322" s="4"/>
      <c r="D322" s="242"/>
    </row>
    <row r="323">
      <c r="B323" s="4"/>
      <c r="D323" s="242"/>
    </row>
    <row r="324">
      <c r="B324" s="4"/>
      <c r="D324" s="242"/>
    </row>
    <row r="325">
      <c r="B325" s="4"/>
      <c r="D325" s="242"/>
    </row>
    <row r="326">
      <c r="B326" s="4"/>
      <c r="D326" s="242"/>
    </row>
    <row r="327">
      <c r="B327" s="4"/>
      <c r="D327" s="242"/>
    </row>
    <row r="328">
      <c r="B328" s="4"/>
      <c r="D328" s="242"/>
    </row>
    <row r="329">
      <c r="B329" s="4"/>
      <c r="D329" s="242"/>
    </row>
    <row r="330">
      <c r="B330" s="4"/>
      <c r="D330" s="242"/>
    </row>
    <row r="331">
      <c r="B331" s="4"/>
      <c r="D331" s="242"/>
    </row>
    <row r="332">
      <c r="B332" s="4"/>
      <c r="D332" s="242"/>
    </row>
    <row r="333">
      <c r="B333" s="4"/>
      <c r="D333" s="242"/>
    </row>
    <row r="334">
      <c r="B334" s="4"/>
      <c r="D334" s="242"/>
    </row>
    <row r="335">
      <c r="B335" s="4"/>
      <c r="D335" s="242"/>
    </row>
    <row r="336">
      <c r="B336" s="4"/>
      <c r="D336" s="242"/>
    </row>
    <row r="337">
      <c r="B337" s="4"/>
      <c r="D337" s="242"/>
    </row>
    <row r="338">
      <c r="B338" s="4"/>
      <c r="D338" s="242"/>
    </row>
    <row r="339">
      <c r="B339" s="4"/>
      <c r="D339" s="242"/>
    </row>
    <row r="340">
      <c r="B340" s="4"/>
      <c r="D340" s="242"/>
    </row>
    <row r="341">
      <c r="B341" s="4"/>
      <c r="D341" s="242"/>
    </row>
    <row r="342">
      <c r="B342" s="4"/>
      <c r="D342" s="242"/>
    </row>
    <row r="343">
      <c r="B343" s="4"/>
      <c r="D343" s="242"/>
    </row>
    <row r="344">
      <c r="B344" s="4"/>
      <c r="D344" s="242"/>
    </row>
    <row r="345">
      <c r="B345" s="4"/>
      <c r="D345" s="242"/>
    </row>
    <row r="346">
      <c r="B346" s="4"/>
      <c r="D346" s="242"/>
    </row>
    <row r="347">
      <c r="B347" s="4"/>
      <c r="D347" s="242"/>
    </row>
    <row r="348">
      <c r="B348" s="4"/>
      <c r="D348" s="242"/>
    </row>
    <row r="349">
      <c r="B349" s="4"/>
      <c r="D349" s="242"/>
    </row>
    <row r="350">
      <c r="B350" s="4"/>
      <c r="D350" s="242"/>
    </row>
    <row r="351">
      <c r="B351" s="4"/>
      <c r="D351" s="242"/>
    </row>
    <row r="352">
      <c r="B352" s="4"/>
      <c r="D352" s="242"/>
    </row>
    <row r="353">
      <c r="B353" s="4"/>
      <c r="D353" s="242"/>
    </row>
    <row r="354">
      <c r="B354" s="4"/>
      <c r="D354" s="242"/>
    </row>
    <row r="355">
      <c r="B355" s="4"/>
      <c r="D355" s="242"/>
    </row>
    <row r="356">
      <c r="B356" s="4"/>
      <c r="D356" s="242"/>
    </row>
    <row r="357">
      <c r="B357" s="4"/>
      <c r="D357" s="242"/>
    </row>
    <row r="358">
      <c r="B358" s="4"/>
      <c r="D358" s="242"/>
    </row>
    <row r="359">
      <c r="B359" s="4"/>
      <c r="D359" s="242"/>
    </row>
    <row r="360">
      <c r="B360" s="4"/>
      <c r="D360" s="242"/>
    </row>
    <row r="361">
      <c r="B361" s="4"/>
      <c r="D361" s="242"/>
    </row>
    <row r="362">
      <c r="B362" s="4"/>
      <c r="D362" s="242"/>
    </row>
    <row r="363">
      <c r="B363" s="4"/>
      <c r="D363" s="242"/>
    </row>
    <row r="364">
      <c r="B364" s="4"/>
      <c r="D364" s="242"/>
    </row>
    <row r="365">
      <c r="B365" s="4"/>
      <c r="D365" s="242"/>
    </row>
    <row r="366">
      <c r="B366" s="4"/>
      <c r="D366" s="242"/>
    </row>
    <row r="367">
      <c r="B367" s="4"/>
      <c r="D367" s="242"/>
    </row>
    <row r="368">
      <c r="B368" s="4"/>
      <c r="D368" s="242"/>
    </row>
    <row r="369">
      <c r="B369" s="4"/>
      <c r="D369" s="242"/>
    </row>
    <row r="370">
      <c r="B370" s="4"/>
      <c r="D370" s="242"/>
    </row>
    <row r="371">
      <c r="B371" s="4"/>
      <c r="D371" s="242"/>
    </row>
    <row r="372">
      <c r="B372" s="4"/>
      <c r="D372" s="242"/>
    </row>
    <row r="373">
      <c r="B373" s="4"/>
      <c r="D373" s="242"/>
    </row>
    <row r="374">
      <c r="B374" s="4"/>
      <c r="D374" s="242"/>
    </row>
    <row r="375">
      <c r="B375" s="4"/>
      <c r="D375" s="242"/>
    </row>
    <row r="376">
      <c r="B376" s="4"/>
      <c r="D376" s="242"/>
    </row>
    <row r="377">
      <c r="B377" s="4"/>
      <c r="D377" s="242"/>
    </row>
    <row r="378">
      <c r="B378" s="4"/>
      <c r="D378" s="242"/>
    </row>
    <row r="379">
      <c r="B379" s="4"/>
      <c r="D379" s="242"/>
    </row>
    <row r="380">
      <c r="B380" s="4"/>
      <c r="D380" s="242"/>
    </row>
    <row r="381">
      <c r="B381" s="4"/>
      <c r="D381" s="242"/>
    </row>
    <row r="382">
      <c r="B382" s="4"/>
      <c r="D382" s="242"/>
    </row>
    <row r="383">
      <c r="B383" s="4"/>
      <c r="D383" s="242"/>
    </row>
    <row r="384">
      <c r="B384" s="4"/>
      <c r="D384" s="242"/>
    </row>
    <row r="385">
      <c r="B385" s="4"/>
      <c r="D385" s="242"/>
    </row>
    <row r="386">
      <c r="B386" s="4"/>
      <c r="D386" s="242"/>
    </row>
    <row r="387">
      <c r="B387" s="4"/>
      <c r="D387" s="242"/>
    </row>
    <row r="388">
      <c r="B388" s="4"/>
      <c r="D388" s="242"/>
    </row>
    <row r="389">
      <c r="B389" s="4"/>
      <c r="D389" s="242"/>
    </row>
    <row r="390">
      <c r="B390" s="4"/>
      <c r="D390" s="242"/>
    </row>
    <row r="391">
      <c r="B391" s="4"/>
      <c r="D391" s="242"/>
    </row>
    <row r="392">
      <c r="B392" s="4"/>
      <c r="D392" s="242"/>
    </row>
    <row r="393">
      <c r="B393" s="4"/>
      <c r="D393" s="242"/>
    </row>
    <row r="394">
      <c r="B394" s="4"/>
      <c r="D394" s="242"/>
    </row>
    <row r="395">
      <c r="B395" s="4"/>
      <c r="D395" s="242"/>
    </row>
    <row r="396">
      <c r="B396" s="4"/>
      <c r="D396" s="242"/>
    </row>
    <row r="397">
      <c r="B397" s="4"/>
      <c r="D397" s="242"/>
    </row>
    <row r="398">
      <c r="B398" s="4"/>
      <c r="D398" s="242"/>
    </row>
    <row r="399">
      <c r="B399" s="4"/>
      <c r="D399" s="242"/>
    </row>
    <row r="400">
      <c r="B400" s="4"/>
      <c r="D400" s="242"/>
    </row>
    <row r="401">
      <c r="B401" s="4"/>
      <c r="D401" s="242"/>
    </row>
    <row r="402">
      <c r="B402" s="4"/>
      <c r="D402" s="242"/>
    </row>
    <row r="403">
      <c r="B403" s="4"/>
      <c r="D403" s="242"/>
    </row>
    <row r="404">
      <c r="B404" s="4"/>
      <c r="D404" s="242"/>
    </row>
    <row r="405">
      <c r="B405" s="4"/>
      <c r="D405" s="242"/>
    </row>
    <row r="406">
      <c r="B406" s="4"/>
      <c r="D406" s="242"/>
    </row>
    <row r="407">
      <c r="B407" s="4"/>
      <c r="D407" s="242"/>
    </row>
    <row r="408">
      <c r="B408" s="4"/>
      <c r="D408" s="242"/>
    </row>
    <row r="409">
      <c r="B409" s="4"/>
      <c r="D409" s="242"/>
    </row>
    <row r="410">
      <c r="B410" s="4"/>
      <c r="D410" s="242"/>
    </row>
    <row r="411">
      <c r="B411" s="4"/>
      <c r="D411" s="242"/>
    </row>
    <row r="412">
      <c r="B412" s="4"/>
      <c r="D412" s="242"/>
    </row>
    <row r="413">
      <c r="B413" s="4"/>
      <c r="D413" s="242"/>
    </row>
    <row r="414">
      <c r="B414" s="4"/>
      <c r="D414" s="242"/>
    </row>
    <row r="415">
      <c r="B415" s="4"/>
      <c r="D415" s="242"/>
    </row>
    <row r="416">
      <c r="B416" s="4"/>
      <c r="D416" s="242"/>
    </row>
    <row r="417">
      <c r="B417" s="4"/>
      <c r="D417" s="242"/>
    </row>
    <row r="418">
      <c r="B418" s="4"/>
      <c r="D418" s="242"/>
    </row>
    <row r="419">
      <c r="B419" s="4"/>
      <c r="D419" s="242"/>
    </row>
    <row r="420">
      <c r="B420" s="4"/>
      <c r="D420" s="242"/>
    </row>
    <row r="421">
      <c r="B421" s="4"/>
      <c r="D421" s="242"/>
    </row>
    <row r="422">
      <c r="B422" s="4"/>
      <c r="D422" s="242"/>
    </row>
    <row r="423">
      <c r="B423" s="4"/>
      <c r="D423" s="242"/>
    </row>
    <row r="424">
      <c r="B424" s="4"/>
      <c r="D424" s="242"/>
    </row>
    <row r="425">
      <c r="B425" s="4"/>
      <c r="D425" s="242"/>
    </row>
    <row r="426">
      <c r="B426" s="4"/>
      <c r="D426" s="242"/>
    </row>
    <row r="427">
      <c r="B427" s="4"/>
      <c r="D427" s="242"/>
    </row>
    <row r="428">
      <c r="B428" s="4"/>
      <c r="D428" s="242"/>
    </row>
    <row r="429">
      <c r="B429" s="4"/>
      <c r="D429" s="242"/>
    </row>
    <row r="430">
      <c r="B430" s="4"/>
      <c r="D430" s="242"/>
    </row>
    <row r="431">
      <c r="B431" s="4"/>
      <c r="D431" s="242"/>
    </row>
    <row r="432">
      <c r="B432" s="4"/>
      <c r="D432" s="242"/>
    </row>
    <row r="433">
      <c r="B433" s="4"/>
      <c r="D433" s="242"/>
    </row>
    <row r="434">
      <c r="B434" s="4"/>
      <c r="D434" s="242"/>
    </row>
    <row r="435">
      <c r="B435" s="4"/>
      <c r="D435" s="242"/>
    </row>
    <row r="436">
      <c r="B436" s="4"/>
      <c r="D436" s="242"/>
    </row>
    <row r="437">
      <c r="B437" s="4"/>
      <c r="D437" s="242"/>
    </row>
    <row r="438">
      <c r="B438" s="4"/>
      <c r="D438" s="242"/>
    </row>
    <row r="439">
      <c r="B439" s="4"/>
      <c r="D439" s="242"/>
    </row>
    <row r="440">
      <c r="B440" s="4"/>
      <c r="D440" s="242"/>
    </row>
    <row r="441">
      <c r="B441" s="4"/>
      <c r="D441" s="242"/>
    </row>
    <row r="442">
      <c r="B442" s="4"/>
      <c r="D442" s="242"/>
    </row>
    <row r="443">
      <c r="B443" s="4"/>
      <c r="D443" s="242"/>
    </row>
    <row r="444">
      <c r="B444" s="4"/>
      <c r="D444" s="242"/>
    </row>
    <row r="445">
      <c r="B445" s="4"/>
      <c r="D445" s="242"/>
    </row>
    <row r="446">
      <c r="B446" s="4"/>
      <c r="D446" s="242"/>
    </row>
    <row r="447">
      <c r="B447" s="4"/>
      <c r="D447" s="242"/>
    </row>
    <row r="448">
      <c r="B448" s="4"/>
      <c r="D448" s="242"/>
    </row>
    <row r="449">
      <c r="B449" s="4"/>
      <c r="D449" s="242"/>
    </row>
    <row r="450">
      <c r="B450" s="4"/>
      <c r="D450" s="242"/>
    </row>
    <row r="451">
      <c r="B451" s="4"/>
      <c r="D451" s="242"/>
    </row>
    <row r="452">
      <c r="B452" s="4"/>
      <c r="D452" s="242"/>
    </row>
    <row r="453">
      <c r="B453" s="4"/>
      <c r="D453" s="242"/>
    </row>
    <row r="454">
      <c r="B454" s="4"/>
      <c r="D454" s="242"/>
    </row>
    <row r="455">
      <c r="B455" s="4"/>
      <c r="D455" s="242"/>
    </row>
    <row r="456">
      <c r="B456" s="4"/>
      <c r="D456" s="242"/>
    </row>
    <row r="457">
      <c r="B457" s="4"/>
      <c r="D457" s="242"/>
    </row>
    <row r="458">
      <c r="B458" s="4"/>
      <c r="D458" s="242"/>
    </row>
    <row r="459">
      <c r="B459" s="4"/>
      <c r="D459" s="242"/>
    </row>
    <row r="460">
      <c r="B460" s="4"/>
      <c r="D460" s="242"/>
    </row>
    <row r="461">
      <c r="B461" s="4"/>
      <c r="D461" s="242"/>
    </row>
    <row r="462">
      <c r="B462" s="4"/>
      <c r="D462" s="242"/>
    </row>
    <row r="463">
      <c r="B463" s="4"/>
      <c r="D463" s="242"/>
    </row>
    <row r="464">
      <c r="B464" s="4"/>
      <c r="D464" s="242"/>
    </row>
    <row r="465">
      <c r="B465" s="4"/>
      <c r="D465" s="242"/>
    </row>
    <row r="466">
      <c r="B466" s="4"/>
      <c r="D466" s="242"/>
    </row>
    <row r="467">
      <c r="B467" s="4"/>
      <c r="D467" s="242"/>
    </row>
    <row r="468">
      <c r="B468" s="4"/>
      <c r="D468" s="242"/>
    </row>
    <row r="469">
      <c r="B469" s="4"/>
      <c r="D469" s="242"/>
    </row>
    <row r="470">
      <c r="B470" s="4"/>
      <c r="D470" s="242"/>
    </row>
    <row r="471">
      <c r="B471" s="4"/>
      <c r="D471" s="242"/>
    </row>
    <row r="472">
      <c r="B472" s="4"/>
      <c r="D472" s="242"/>
    </row>
    <row r="473">
      <c r="B473" s="4"/>
      <c r="D473" s="242"/>
    </row>
    <row r="474">
      <c r="B474" s="4"/>
      <c r="D474" s="242"/>
    </row>
    <row r="475">
      <c r="B475" s="4"/>
      <c r="D475" s="242"/>
    </row>
    <row r="476">
      <c r="B476" s="4"/>
      <c r="D476" s="242"/>
    </row>
    <row r="477">
      <c r="B477" s="4"/>
      <c r="D477" s="242"/>
    </row>
    <row r="478">
      <c r="B478" s="4"/>
      <c r="D478" s="242"/>
    </row>
    <row r="479">
      <c r="B479" s="4"/>
      <c r="D479" s="242"/>
    </row>
    <row r="480">
      <c r="B480" s="4"/>
      <c r="D480" s="242"/>
    </row>
    <row r="481">
      <c r="B481" s="4"/>
      <c r="D481" s="242"/>
    </row>
    <row r="482">
      <c r="B482" s="4"/>
      <c r="D482" s="242"/>
    </row>
    <row r="483">
      <c r="B483" s="4"/>
      <c r="D483" s="242"/>
    </row>
    <row r="484">
      <c r="B484" s="4"/>
      <c r="D484" s="242"/>
    </row>
    <row r="485">
      <c r="B485" s="4"/>
      <c r="D485" s="242"/>
    </row>
    <row r="486">
      <c r="B486" s="4"/>
      <c r="D486" s="242"/>
    </row>
    <row r="487">
      <c r="B487" s="4"/>
      <c r="D487" s="242"/>
    </row>
    <row r="488">
      <c r="B488" s="4"/>
      <c r="D488" s="242"/>
    </row>
    <row r="489">
      <c r="B489" s="4"/>
      <c r="D489" s="242"/>
    </row>
    <row r="490">
      <c r="B490" s="4"/>
      <c r="D490" s="242"/>
    </row>
    <row r="491">
      <c r="B491" s="4"/>
      <c r="D491" s="242"/>
    </row>
    <row r="492">
      <c r="B492" s="4"/>
      <c r="D492" s="242"/>
    </row>
    <row r="493">
      <c r="B493" s="4"/>
      <c r="D493" s="242"/>
    </row>
    <row r="494">
      <c r="B494" s="4"/>
      <c r="D494" s="242"/>
    </row>
    <row r="495">
      <c r="B495" s="4"/>
      <c r="D495" s="242"/>
    </row>
    <row r="496">
      <c r="B496" s="4"/>
      <c r="D496" s="242"/>
    </row>
    <row r="497">
      <c r="B497" s="4"/>
      <c r="D497" s="242"/>
    </row>
    <row r="498">
      <c r="B498" s="4"/>
      <c r="D498" s="242"/>
    </row>
    <row r="499">
      <c r="B499" s="4"/>
      <c r="D499" s="242"/>
    </row>
    <row r="500">
      <c r="B500" s="4"/>
      <c r="D500" s="242"/>
    </row>
    <row r="501">
      <c r="B501" s="4"/>
      <c r="D501" s="242"/>
    </row>
    <row r="502">
      <c r="B502" s="4"/>
      <c r="D502" s="242"/>
    </row>
    <row r="503">
      <c r="B503" s="4"/>
      <c r="D503" s="242"/>
    </row>
    <row r="504">
      <c r="B504" s="4"/>
      <c r="D504" s="242"/>
    </row>
    <row r="505">
      <c r="B505" s="4"/>
      <c r="D505" s="242"/>
    </row>
    <row r="506">
      <c r="B506" s="4"/>
      <c r="D506" s="242"/>
    </row>
    <row r="507">
      <c r="B507" s="4"/>
      <c r="D507" s="242"/>
    </row>
    <row r="508">
      <c r="B508" s="4"/>
      <c r="D508" s="242"/>
    </row>
    <row r="509">
      <c r="B509" s="4"/>
      <c r="D509" s="242"/>
    </row>
    <row r="510">
      <c r="B510" s="4"/>
      <c r="D510" s="242"/>
    </row>
    <row r="511">
      <c r="B511" s="4"/>
      <c r="D511" s="242"/>
    </row>
    <row r="512">
      <c r="B512" s="4"/>
      <c r="D512" s="242"/>
    </row>
    <row r="513">
      <c r="B513" s="4"/>
      <c r="D513" s="242"/>
    </row>
    <row r="514">
      <c r="B514" s="4"/>
      <c r="D514" s="242"/>
    </row>
    <row r="515">
      <c r="B515" s="4"/>
      <c r="D515" s="242"/>
    </row>
    <row r="516">
      <c r="B516" s="4"/>
      <c r="D516" s="242"/>
    </row>
    <row r="517">
      <c r="B517" s="4"/>
      <c r="D517" s="242"/>
    </row>
    <row r="518">
      <c r="B518" s="4"/>
      <c r="D518" s="242"/>
    </row>
    <row r="519">
      <c r="B519" s="4"/>
      <c r="D519" s="242"/>
    </row>
    <row r="520">
      <c r="B520" s="4"/>
      <c r="D520" s="242"/>
    </row>
    <row r="521">
      <c r="B521" s="4"/>
      <c r="D521" s="242"/>
    </row>
    <row r="522">
      <c r="B522" s="4"/>
      <c r="D522" s="242"/>
    </row>
    <row r="523">
      <c r="B523" s="4"/>
      <c r="D523" s="242"/>
    </row>
    <row r="524">
      <c r="B524" s="4"/>
      <c r="D524" s="242"/>
    </row>
    <row r="525">
      <c r="B525" s="4"/>
      <c r="D525" s="242"/>
    </row>
    <row r="526">
      <c r="B526" s="4"/>
      <c r="D526" s="242"/>
    </row>
    <row r="527">
      <c r="B527" s="4"/>
      <c r="D527" s="242"/>
    </row>
    <row r="528">
      <c r="B528" s="4"/>
      <c r="D528" s="242"/>
    </row>
    <row r="529">
      <c r="B529" s="4"/>
      <c r="D529" s="242"/>
    </row>
    <row r="530">
      <c r="B530" s="4"/>
      <c r="D530" s="242"/>
    </row>
    <row r="531">
      <c r="B531" s="4"/>
      <c r="D531" s="242"/>
    </row>
    <row r="532">
      <c r="B532" s="4"/>
      <c r="D532" s="242"/>
    </row>
    <row r="533">
      <c r="B533" s="4"/>
      <c r="D533" s="242"/>
    </row>
    <row r="534">
      <c r="B534" s="4"/>
      <c r="D534" s="242"/>
    </row>
    <row r="535">
      <c r="B535" s="4"/>
      <c r="D535" s="242"/>
    </row>
    <row r="536">
      <c r="B536" s="4"/>
      <c r="D536" s="242"/>
    </row>
    <row r="537">
      <c r="B537" s="4"/>
      <c r="D537" s="242"/>
    </row>
    <row r="538">
      <c r="B538" s="4"/>
      <c r="D538" s="242"/>
    </row>
    <row r="539">
      <c r="B539" s="4"/>
      <c r="D539" s="242"/>
    </row>
    <row r="540">
      <c r="B540" s="4"/>
      <c r="D540" s="242"/>
    </row>
    <row r="541">
      <c r="B541" s="4"/>
      <c r="D541" s="242"/>
    </row>
    <row r="542">
      <c r="B542" s="4"/>
      <c r="D542" s="242"/>
    </row>
    <row r="543">
      <c r="B543" s="4"/>
      <c r="D543" s="242"/>
    </row>
    <row r="544">
      <c r="B544" s="4"/>
      <c r="D544" s="242"/>
    </row>
    <row r="545">
      <c r="B545" s="4"/>
      <c r="D545" s="242"/>
    </row>
    <row r="546">
      <c r="B546" s="4"/>
      <c r="D546" s="242"/>
    </row>
    <row r="547">
      <c r="B547" s="4"/>
      <c r="D547" s="242"/>
    </row>
    <row r="548">
      <c r="B548" s="4"/>
      <c r="D548" s="242"/>
    </row>
    <row r="549">
      <c r="B549" s="4"/>
      <c r="D549" s="242"/>
    </row>
    <row r="550">
      <c r="B550" s="4"/>
      <c r="D550" s="242"/>
    </row>
    <row r="551">
      <c r="B551" s="4"/>
      <c r="D551" s="242"/>
    </row>
    <row r="552">
      <c r="B552" s="4"/>
      <c r="D552" s="242"/>
    </row>
    <row r="553">
      <c r="B553" s="4"/>
      <c r="D553" s="242"/>
    </row>
    <row r="554">
      <c r="B554" s="4"/>
      <c r="D554" s="242"/>
    </row>
    <row r="555">
      <c r="B555" s="4"/>
      <c r="D555" s="242"/>
    </row>
    <row r="556">
      <c r="B556" s="4"/>
      <c r="D556" s="242"/>
    </row>
    <row r="557">
      <c r="B557" s="4"/>
      <c r="D557" s="242"/>
    </row>
    <row r="558">
      <c r="B558" s="4"/>
      <c r="D558" s="242"/>
    </row>
    <row r="559">
      <c r="B559" s="4"/>
      <c r="D559" s="242"/>
    </row>
    <row r="560">
      <c r="B560" s="4"/>
      <c r="D560" s="242"/>
    </row>
    <row r="561">
      <c r="B561" s="4"/>
      <c r="D561" s="242"/>
    </row>
    <row r="562">
      <c r="B562" s="4"/>
      <c r="D562" s="242"/>
    </row>
    <row r="563">
      <c r="B563" s="4"/>
      <c r="D563" s="242"/>
    </row>
    <row r="564">
      <c r="B564" s="4"/>
      <c r="D564" s="242"/>
    </row>
    <row r="565">
      <c r="B565" s="4"/>
      <c r="D565" s="242"/>
    </row>
    <row r="566">
      <c r="B566" s="4"/>
      <c r="D566" s="242"/>
    </row>
    <row r="567">
      <c r="B567" s="4"/>
      <c r="D567" s="242"/>
    </row>
    <row r="568">
      <c r="B568" s="4"/>
      <c r="D568" s="242"/>
    </row>
    <row r="569">
      <c r="B569" s="4"/>
      <c r="D569" s="242"/>
    </row>
    <row r="570">
      <c r="B570" s="4"/>
      <c r="D570" s="242"/>
    </row>
    <row r="571">
      <c r="B571" s="4"/>
      <c r="D571" s="242"/>
    </row>
    <row r="572">
      <c r="B572" s="4"/>
      <c r="D572" s="242"/>
    </row>
    <row r="573">
      <c r="B573" s="4"/>
      <c r="D573" s="242"/>
    </row>
    <row r="574">
      <c r="B574" s="4"/>
      <c r="D574" s="242"/>
    </row>
    <row r="575">
      <c r="B575" s="4"/>
      <c r="D575" s="242"/>
    </row>
    <row r="576">
      <c r="B576" s="4"/>
      <c r="D576" s="242"/>
    </row>
    <row r="577">
      <c r="B577" s="4"/>
      <c r="D577" s="242"/>
    </row>
    <row r="578">
      <c r="B578" s="4"/>
      <c r="D578" s="242"/>
    </row>
    <row r="579">
      <c r="B579" s="4"/>
      <c r="D579" s="242"/>
    </row>
    <row r="580">
      <c r="B580" s="4"/>
      <c r="D580" s="242"/>
    </row>
    <row r="581">
      <c r="B581" s="4"/>
      <c r="D581" s="242"/>
    </row>
    <row r="582">
      <c r="B582" s="4"/>
      <c r="D582" s="242"/>
    </row>
    <row r="583">
      <c r="B583" s="4"/>
      <c r="D583" s="242"/>
    </row>
    <row r="584">
      <c r="B584" s="4"/>
      <c r="D584" s="242"/>
    </row>
    <row r="585">
      <c r="B585" s="4"/>
      <c r="D585" s="242"/>
    </row>
    <row r="586">
      <c r="B586" s="4"/>
      <c r="D586" s="242"/>
    </row>
    <row r="587">
      <c r="B587" s="4"/>
      <c r="D587" s="242"/>
    </row>
    <row r="588">
      <c r="B588" s="4"/>
      <c r="D588" s="242"/>
    </row>
    <row r="589">
      <c r="B589" s="4"/>
      <c r="D589" s="242"/>
    </row>
    <row r="590">
      <c r="B590" s="4"/>
      <c r="D590" s="242"/>
    </row>
    <row r="591">
      <c r="B591" s="4"/>
      <c r="D591" s="242"/>
    </row>
    <row r="592">
      <c r="B592" s="4"/>
      <c r="D592" s="242"/>
    </row>
    <row r="593">
      <c r="B593" s="4"/>
      <c r="D593" s="242"/>
    </row>
    <row r="594">
      <c r="B594" s="4"/>
      <c r="D594" s="242"/>
    </row>
    <row r="595">
      <c r="B595" s="4"/>
      <c r="D595" s="242"/>
    </row>
    <row r="596">
      <c r="B596" s="4"/>
      <c r="D596" s="242"/>
    </row>
    <row r="597">
      <c r="B597" s="4"/>
      <c r="D597" s="242"/>
    </row>
    <row r="598">
      <c r="B598" s="4"/>
      <c r="D598" s="242"/>
    </row>
    <row r="599">
      <c r="B599" s="4"/>
      <c r="D599" s="242"/>
    </row>
    <row r="600">
      <c r="B600" s="4"/>
      <c r="D600" s="242"/>
    </row>
    <row r="601">
      <c r="B601" s="4"/>
      <c r="D601" s="242"/>
    </row>
    <row r="602">
      <c r="B602" s="4"/>
      <c r="D602" s="242"/>
    </row>
    <row r="603">
      <c r="B603" s="4"/>
      <c r="D603" s="242"/>
    </row>
    <row r="604">
      <c r="B604" s="4"/>
      <c r="D604" s="242"/>
    </row>
    <row r="605">
      <c r="B605" s="4"/>
      <c r="D605" s="242"/>
    </row>
    <row r="606">
      <c r="B606" s="4"/>
      <c r="D606" s="242"/>
    </row>
    <row r="607">
      <c r="B607" s="4"/>
      <c r="D607" s="242"/>
    </row>
    <row r="608">
      <c r="B608" s="4"/>
      <c r="D608" s="242"/>
    </row>
    <row r="609">
      <c r="B609" s="4"/>
      <c r="D609" s="242"/>
    </row>
    <row r="610">
      <c r="B610" s="4"/>
      <c r="D610" s="242"/>
    </row>
    <row r="611">
      <c r="B611" s="4"/>
      <c r="D611" s="242"/>
    </row>
    <row r="612">
      <c r="B612" s="4"/>
      <c r="D612" s="242"/>
    </row>
    <row r="613">
      <c r="B613" s="4"/>
      <c r="D613" s="242"/>
    </row>
    <row r="614">
      <c r="B614" s="4"/>
      <c r="D614" s="242"/>
    </row>
    <row r="615">
      <c r="B615" s="4"/>
      <c r="D615" s="242"/>
    </row>
    <row r="616">
      <c r="B616" s="4"/>
      <c r="D616" s="242"/>
    </row>
    <row r="617">
      <c r="B617" s="4"/>
      <c r="D617" s="242"/>
    </row>
    <row r="618">
      <c r="B618" s="4"/>
      <c r="D618" s="242"/>
    </row>
    <row r="619">
      <c r="B619" s="4"/>
      <c r="D619" s="242"/>
    </row>
    <row r="620">
      <c r="B620" s="4"/>
      <c r="D620" s="242"/>
    </row>
    <row r="621">
      <c r="B621" s="4"/>
      <c r="D621" s="242"/>
    </row>
    <row r="622">
      <c r="B622" s="4"/>
      <c r="D622" s="242"/>
    </row>
    <row r="623">
      <c r="B623" s="4"/>
      <c r="D623" s="242"/>
    </row>
    <row r="624">
      <c r="B624" s="4"/>
      <c r="D624" s="242"/>
    </row>
    <row r="625">
      <c r="B625" s="4"/>
      <c r="D625" s="242"/>
    </row>
    <row r="626">
      <c r="B626" s="4"/>
      <c r="D626" s="242"/>
    </row>
    <row r="627">
      <c r="B627" s="4"/>
      <c r="D627" s="242"/>
    </row>
    <row r="628">
      <c r="B628" s="4"/>
      <c r="D628" s="242"/>
    </row>
    <row r="629">
      <c r="B629" s="4"/>
      <c r="D629" s="242"/>
    </row>
    <row r="630">
      <c r="B630" s="4"/>
      <c r="D630" s="242"/>
    </row>
    <row r="631">
      <c r="B631" s="4"/>
      <c r="D631" s="242"/>
    </row>
    <row r="632">
      <c r="B632" s="4"/>
      <c r="D632" s="242"/>
    </row>
    <row r="633">
      <c r="B633" s="4"/>
      <c r="D633" s="242"/>
    </row>
    <row r="634">
      <c r="B634" s="4"/>
      <c r="D634" s="242"/>
    </row>
    <row r="635">
      <c r="B635" s="4"/>
      <c r="D635" s="242"/>
    </row>
    <row r="636">
      <c r="B636" s="4"/>
      <c r="D636" s="242"/>
    </row>
    <row r="637">
      <c r="B637" s="4"/>
      <c r="D637" s="242"/>
    </row>
    <row r="638">
      <c r="B638" s="4"/>
      <c r="D638" s="242"/>
    </row>
    <row r="639">
      <c r="B639" s="4"/>
      <c r="D639" s="242"/>
    </row>
    <row r="640">
      <c r="B640" s="4"/>
      <c r="D640" s="242"/>
    </row>
    <row r="641">
      <c r="B641" s="4"/>
      <c r="D641" s="242"/>
    </row>
    <row r="642">
      <c r="B642" s="4"/>
      <c r="D642" s="242"/>
    </row>
    <row r="643">
      <c r="B643" s="4"/>
      <c r="D643" s="242"/>
    </row>
    <row r="644">
      <c r="B644" s="4"/>
      <c r="D644" s="242"/>
    </row>
    <row r="645">
      <c r="B645" s="4"/>
      <c r="D645" s="242"/>
    </row>
    <row r="646">
      <c r="B646" s="4"/>
      <c r="D646" s="242"/>
    </row>
    <row r="647">
      <c r="B647" s="4"/>
      <c r="D647" s="242"/>
    </row>
    <row r="648">
      <c r="B648" s="4"/>
      <c r="D648" s="242"/>
    </row>
    <row r="649">
      <c r="B649" s="4"/>
      <c r="D649" s="242"/>
    </row>
    <row r="650">
      <c r="B650" s="4"/>
      <c r="D650" s="242"/>
    </row>
    <row r="651">
      <c r="B651" s="4"/>
      <c r="D651" s="242"/>
    </row>
    <row r="652">
      <c r="B652" s="4"/>
      <c r="D652" s="242"/>
    </row>
    <row r="653">
      <c r="B653" s="4"/>
      <c r="D653" s="242"/>
    </row>
    <row r="654">
      <c r="B654" s="4"/>
      <c r="D654" s="242"/>
    </row>
    <row r="655">
      <c r="B655" s="4"/>
      <c r="D655" s="242"/>
    </row>
    <row r="656">
      <c r="B656" s="4"/>
      <c r="D656" s="242"/>
    </row>
    <row r="657">
      <c r="B657" s="4"/>
      <c r="D657" s="242"/>
    </row>
    <row r="658">
      <c r="B658" s="4"/>
      <c r="D658" s="242"/>
    </row>
    <row r="659">
      <c r="B659" s="4"/>
      <c r="D659" s="242"/>
    </row>
    <row r="660">
      <c r="B660" s="4"/>
      <c r="D660" s="242"/>
    </row>
    <row r="661">
      <c r="B661" s="4"/>
      <c r="D661" s="242"/>
    </row>
    <row r="662">
      <c r="B662" s="4"/>
      <c r="D662" s="242"/>
    </row>
    <row r="663">
      <c r="B663" s="4"/>
      <c r="D663" s="242"/>
    </row>
    <row r="664">
      <c r="B664" s="4"/>
      <c r="D664" s="242"/>
    </row>
    <row r="665">
      <c r="B665" s="4"/>
      <c r="D665" s="242"/>
    </row>
    <row r="666">
      <c r="B666" s="4"/>
      <c r="D666" s="242"/>
    </row>
    <row r="667">
      <c r="B667" s="4"/>
      <c r="D667" s="242"/>
    </row>
    <row r="668">
      <c r="B668" s="4"/>
      <c r="D668" s="242"/>
    </row>
    <row r="669">
      <c r="B669" s="4"/>
      <c r="D669" s="242"/>
    </row>
    <row r="670">
      <c r="B670" s="4"/>
      <c r="D670" s="242"/>
    </row>
    <row r="671">
      <c r="B671" s="4"/>
      <c r="D671" s="242"/>
    </row>
    <row r="672">
      <c r="B672" s="4"/>
      <c r="D672" s="242"/>
    </row>
    <row r="673">
      <c r="B673" s="4"/>
      <c r="D673" s="242"/>
    </row>
    <row r="674">
      <c r="B674" s="4"/>
      <c r="D674" s="242"/>
    </row>
    <row r="675">
      <c r="B675" s="4"/>
      <c r="D675" s="242"/>
    </row>
    <row r="676">
      <c r="B676" s="4"/>
      <c r="D676" s="242"/>
    </row>
    <row r="677">
      <c r="B677" s="4"/>
      <c r="D677" s="242"/>
    </row>
    <row r="678">
      <c r="B678" s="4"/>
      <c r="D678" s="242"/>
    </row>
    <row r="679">
      <c r="B679" s="4"/>
      <c r="D679" s="242"/>
    </row>
    <row r="680">
      <c r="B680" s="4"/>
      <c r="D680" s="242"/>
    </row>
    <row r="681">
      <c r="B681" s="4"/>
      <c r="D681" s="242"/>
    </row>
    <row r="682">
      <c r="B682" s="4"/>
      <c r="D682" s="242"/>
    </row>
    <row r="683">
      <c r="B683" s="4"/>
      <c r="D683" s="242"/>
    </row>
    <row r="684">
      <c r="B684" s="4"/>
      <c r="D684" s="242"/>
    </row>
    <row r="685">
      <c r="B685" s="4"/>
      <c r="D685" s="242"/>
    </row>
    <row r="686">
      <c r="B686" s="4"/>
      <c r="D686" s="242"/>
    </row>
    <row r="687">
      <c r="B687" s="4"/>
      <c r="D687" s="242"/>
    </row>
    <row r="688">
      <c r="B688" s="4"/>
      <c r="D688" s="242"/>
    </row>
    <row r="689">
      <c r="B689" s="4"/>
      <c r="D689" s="242"/>
    </row>
    <row r="690">
      <c r="B690" s="4"/>
      <c r="D690" s="242"/>
    </row>
    <row r="691">
      <c r="B691" s="4"/>
      <c r="D691" s="242"/>
    </row>
    <row r="692">
      <c r="B692" s="4"/>
      <c r="D692" s="242"/>
    </row>
    <row r="693">
      <c r="B693" s="4"/>
      <c r="D693" s="242"/>
    </row>
    <row r="694">
      <c r="B694" s="4"/>
      <c r="D694" s="242"/>
    </row>
    <row r="695">
      <c r="B695" s="4"/>
      <c r="D695" s="242"/>
    </row>
    <row r="696">
      <c r="B696" s="4"/>
      <c r="D696" s="242"/>
    </row>
    <row r="697">
      <c r="B697" s="4"/>
      <c r="D697" s="242"/>
    </row>
    <row r="698">
      <c r="B698" s="4"/>
      <c r="D698" s="242"/>
    </row>
    <row r="699">
      <c r="B699" s="4"/>
      <c r="D699" s="242"/>
    </row>
    <row r="700">
      <c r="B700" s="4"/>
      <c r="D700" s="242"/>
    </row>
    <row r="701">
      <c r="B701" s="4"/>
      <c r="D701" s="242"/>
    </row>
    <row r="702">
      <c r="B702" s="4"/>
      <c r="D702" s="242"/>
    </row>
    <row r="703">
      <c r="B703" s="4"/>
      <c r="D703" s="242"/>
    </row>
    <row r="704">
      <c r="B704" s="4"/>
      <c r="D704" s="242"/>
    </row>
    <row r="705">
      <c r="B705" s="4"/>
      <c r="D705" s="242"/>
    </row>
    <row r="706">
      <c r="B706" s="4"/>
      <c r="D706" s="242"/>
    </row>
    <row r="707">
      <c r="B707" s="4"/>
      <c r="D707" s="242"/>
    </row>
    <row r="708">
      <c r="B708" s="4"/>
      <c r="D708" s="242"/>
    </row>
    <row r="709">
      <c r="B709" s="4"/>
      <c r="D709" s="242"/>
    </row>
    <row r="710">
      <c r="B710" s="4"/>
      <c r="D710" s="242"/>
    </row>
    <row r="711">
      <c r="B711" s="4"/>
      <c r="D711" s="242"/>
    </row>
    <row r="712">
      <c r="B712" s="4"/>
      <c r="D712" s="242"/>
    </row>
    <row r="713">
      <c r="B713" s="4"/>
      <c r="D713" s="242"/>
    </row>
    <row r="714">
      <c r="B714" s="4"/>
      <c r="D714" s="242"/>
    </row>
    <row r="715">
      <c r="B715" s="4"/>
      <c r="D715" s="242"/>
    </row>
    <row r="716">
      <c r="B716" s="4"/>
      <c r="D716" s="242"/>
    </row>
    <row r="717">
      <c r="B717" s="4"/>
      <c r="D717" s="242"/>
    </row>
    <row r="718">
      <c r="B718" s="4"/>
      <c r="D718" s="242"/>
    </row>
    <row r="719">
      <c r="B719" s="4"/>
      <c r="D719" s="242"/>
    </row>
    <row r="720">
      <c r="B720" s="4"/>
      <c r="D720" s="242"/>
    </row>
    <row r="721">
      <c r="B721" s="4"/>
      <c r="D721" s="242"/>
    </row>
    <row r="722">
      <c r="B722" s="4"/>
      <c r="D722" s="242"/>
    </row>
    <row r="723">
      <c r="B723" s="4"/>
      <c r="D723" s="242"/>
    </row>
    <row r="724">
      <c r="B724" s="4"/>
      <c r="D724" s="242"/>
    </row>
    <row r="725">
      <c r="B725" s="4"/>
      <c r="D725" s="242"/>
    </row>
    <row r="726">
      <c r="B726" s="4"/>
      <c r="D726" s="242"/>
    </row>
    <row r="727">
      <c r="B727" s="4"/>
      <c r="D727" s="242"/>
    </row>
    <row r="728">
      <c r="B728" s="4"/>
      <c r="D728" s="242"/>
    </row>
    <row r="729">
      <c r="B729" s="4"/>
      <c r="D729" s="242"/>
    </row>
    <row r="730">
      <c r="B730" s="4"/>
      <c r="D730" s="242"/>
    </row>
    <row r="731">
      <c r="B731" s="4"/>
      <c r="D731" s="242"/>
    </row>
    <row r="732">
      <c r="B732" s="4"/>
      <c r="D732" s="242"/>
    </row>
    <row r="733">
      <c r="B733" s="4"/>
      <c r="D733" s="242"/>
    </row>
    <row r="734">
      <c r="B734" s="4"/>
      <c r="D734" s="242"/>
    </row>
    <row r="735">
      <c r="B735" s="4"/>
      <c r="D735" s="242"/>
    </row>
    <row r="736">
      <c r="B736" s="4"/>
      <c r="D736" s="242"/>
    </row>
    <row r="737">
      <c r="B737" s="4"/>
      <c r="D737" s="242"/>
    </row>
    <row r="738">
      <c r="B738" s="4"/>
      <c r="D738" s="242"/>
    </row>
    <row r="739">
      <c r="B739" s="4"/>
      <c r="D739" s="242"/>
    </row>
    <row r="740">
      <c r="B740" s="4"/>
      <c r="D740" s="242"/>
    </row>
    <row r="741">
      <c r="B741" s="4"/>
      <c r="D741" s="242"/>
    </row>
    <row r="742">
      <c r="B742" s="4"/>
      <c r="D742" s="242"/>
    </row>
    <row r="743">
      <c r="B743" s="4"/>
      <c r="D743" s="242"/>
    </row>
    <row r="744">
      <c r="B744" s="4"/>
      <c r="D744" s="242"/>
    </row>
    <row r="745">
      <c r="B745" s="4"/>
      <c r="D745" s="242"/>
    </row>
    <row r="746">
      <c r="B746" s="4"/>
      <c r="D746" s="242"/>
    </row>
    <row r="747">
      <c r="B747" s="4"/>
      <c r="D747" s="242"/>
    </row>
    <row r="748">
      <c r="B748" s="4"/>
      <c r="D748" s="242"/>
    </row>
    <row r="749">
      <c r="B749" s="4"/>
      <c r="D749" s="242"/>
    </row>
    <row r="750">
      <c r="B750" s="4"/>
      <c r="D750" s="242"/>
    </row>
    <row r="751">
      <c r="B751" s="4"/>
      <c r="D751" s="242"/>
    </row>
    <row r="752">
      <c r="B752" s="4"/>
      <c r="D752" s="242"/>
    </row>
    <row r="753">
      <c r="B753" s="4"/>
      <c r="D753" s="242"/>
    </row>
    <row r="754">
      <c r="B754" s="4"/>
      <c r="D754" s="242"/>
    </row>
    <row r="755">
      <c r="B755" s="4"/>
      <c r="D755" s="242"/>
    </row>
    <row r="756">
      <c r="B756" s="4"/>
      <c r="D756" s="242"/>
    </row>
    <row r="757">
      <c r="B757" s="4"/>
      <c r="D757" s="242"/>
    </row>
    <row r="758">
      <c r="B758" s="4"/>
      <c r="D758" s="242"/>
    </row>
    <row r="759">
      <c r="B759" s="4"/>
      <c r="D759" s="242"/>
    </row>
    <row r="760">
      <c r="B760" s="4"/>
      <c r="D760" s="242"/>
    </row>
    <row r="761">
      <c r="B761" s="4"/>
      <c r="D761" s="242"/>
    </row>
    <row r="762">
      <c r="B762" s="4"/>
      <c r="D762" s="242"/>
    </row>
    <row r="763">
      <c r="B763" s="4"/>
      <c r="D763" s="242"/>
    </row>
    <row r="764">
      <c r="B764" s="4"/>
      <c r="D764" s="242"/>
    </row>
    <row r="765">
      <c r="B765" s="4"/>
      <c r="D765" s="242"/>
    </row>
    <row r="766">
      <c r="B766" s="4"/>
      <c r="D766" s="242"/>
    </row>
    <row r="767">
      <c r="B767" s="4"/>
      <c r="D767" s="242"/>
    </row>
    <row r="768">
      <c r="B768" s="4"/>
      <c r="D768" s="242"/>
    </row>
    <row r="769">
      <c r="B769" s="4"/>
      <c r="D769" s="242"/>
    </row>
    <row r="770">
      <c r="B770" s="4"/>
      <c r="D770" s="242"/>
    </row>
    <row r="771">
      <c r="B771" s="4"/>
      <c r="D771" s="242"/>
    </row>
    <row r="772">
      <c r="B772" s="4"/>
      <c r="D772" s="242"/>
    </row>
    <row r="773">
      <c r="B773" s="4"/>
      <c r="D773" s="242"/>
    </row>
    <row r="774">
      <c r="B774" s="4"/>
      <c r="D774" s="242"/>
    </row>
    <row r="775">
      <c r="B775" s="4"/>
      <c r="D775" s="242"/>
    </row>
    <row r="776">
      <c r="B776" s="4"/>
      <c r="D776" s="242"/>
    </row>
    <row r="777">
      <c r="B777" s="4"/>
      <c r="D777" s="242"/>
    </row>
    <row r="778">
      <c r="B778" s="4"/>
      <c r="D778" s="242"/>
    </row>
    <row r="779">
      <c r="B779" s="4"/>
      <c r="D779" s="242"/>
    </row>
    <row r="780">
      <c r="B780" s="4"/>
      <c r="D780" s="242"/>
    </row>
    <row r="781">
      <c r="B781" s="4"/>
      <c r="D781" s="242"/>
    </row>
    <row r="782">
      <c r="B782" s="4"/>
      <c r="D782" s="242"/>
    </row>
    <row r="783">
      <c r="B783" s="4"/>
      <c r="D783" s="242"/>
    </row>
    <row r="784">
      <c r="B784" s="4"/>
      <c r="D784" s="242"/>
    </row>
    <row r="785">
      <c r="B785" s="4"/>
      <c r="D785" s="242"/>
    </row>
    <row r="786">
      <c r="B786" s="4"/>
      <c r="D786" s="242"/>
    </row>
    <row r="787">
      <c r="B787" s="4"/>
      <c r="D787" s="242"/>
    </row>
    <row r="788">
      <c r="B788" s="4"/>
      <c r="D788" s="242"/>
    </row>
    <row r="789">
      <c r="B789" s="4"/>
      <c r="D789" s="242"/>
    </row>
    <row r="790">
      <c r="B790" s="4"/>
      <c r="D790" s="242"/>
    </row>
    <row r="791">
      <c r="B791" s="4"/>
      <c r="D791" s="242"/>
    </row>
    <row r="792">
      <c r="B792" s="4"/>
      <c r="D792" s="242"/>
    </row>
    <row r="793">
      <c r="B793" s="4"/>
      <c r="D793" s="242"/>
    </row>
    <row r="794">
      <c r="B794" s="4"/>
      <c r="D794" s="242"/>
    </row>
    <row r="795">
      <c r="B795" s="4"/>
      <c r="D795" s="242"/>
    </row>
    <row r="796">
      <c r="B796" s="4"/>
      <c r="D796" s="242"/>
    </row>
    <row r="797">
      <c r="B797" s="4"/>
      <c r="D797" s="242"/>
    </row>
    <row r="798">
      <c r="B798" s="4"/>
      <c r="D798" s="242"/>
    </row>
    <row r="799">
      <c r="B799" s="4"/>
      <c r="D799" s="242"/>
    </row>
    <row r="800">
      <c r="B800" s="4"/>
      <c r="D800" s="242"/>
    </row>
    <row r="801">
      <c r="B801" s="4"/>
      <c r="D801" s="242"/>
    </row>
    <row r="802">
      <c r="B802" s="4"/>
      <c r="D802" s="242"/>
    </row>
    <row r="803">
      <c r="B803" s="4"/>
      <c r="D803" s="242"/>
    </row>
    <row r="804">
      <c r="B804" s="4"/>
      <c r="D804" s="242"/>
    </row>
    <row r="805">
      <c r="B805" s="4"/>
      <c r="D805" s="242"/>
    </row>
    <row r="806">
      <c r="B806" s="4"/>
      <c r="D806" s="242"/>
    </row>
    <row r="807">
      <c r="B807" s="4"/>
      <c r="D807" s="242"/>
    </row>
    <row r="808">
      <c r="B808" s="4"/>
      <c r="D808" s="242"/>
    </row>
    <row r="809">
      <c r="B809" s="4"/>
      <c r="D809" s="242"/>
    </row>
    <row r="810">
      <c r="B810" s="4"/>
      <c r="D810" s="242"/>
    </row>
    <row r="811">
      <c r="B811" s="4"/>
      <c r="D811" s="242"/>
    </row>
    <row r="812">
      <c r="B812" s="4"/>
      <c r="D812" s="242"/>
    </row>
    <row r="813">
      <c r="B813" s="4"/>
      <c r="D813" s="242"/>
    </row>
    <row r="814">
      <c r="B814" s="4"/>
      <c r="D814" s="242"/>
    </row>
    <row r="815">
      <c r="B815" s="4"/>
      <c r="D815" s="242"/>
    </row>
    <row r="816">
      <c r="B816" s="4"/>
      <c r="D816" s="242"/>
    </row>
    <row r="817">
      <c r="B817" s="4"/>
      <c r="D817" s="242"/>
    </row>
    <row r="818">
      <c r="B818" s="4"/>
      <c r="D818" s="242"/>
    </row>
    <row r="819">
      <c r="B819" s="4"/>
      <c r="D819" s="242"/>
    </row>
    <row r="820">
      <c r="B820" s="4"/>
      <c r="D820" s="242"/>
    </row>
    <row r="821">
      <c r="B821" s="4"/>
      <c r="D821" s="242"/>
    </row>
    <row r="822">
      <c r="B822" s="4"/>
      <c r="D822" s="242"/>
    </row>
    <row r="823">
      <c r="B823" s="4"/>
      <c r="D823" s="242"/>
    </row>
    <row r="824">
      <c r="B824" s="4"/>
      <c r="D824" s="242"/>
    </row>
    <row r="825">
      <c r="B825" s="4"/>
      <c r="D825" s="242"/>
    </row>
    <row r="826">
      <c r="B826" s="4"/>
      <c r="D826" s="242"/>
    </row>
    <row r="827">
      <c r="B827" s="4"/>
      <c r="D827" s="242"/>
    </row>
    <row r="828">
      <c r="B828" s="4"/>
      <c r="D828" s="242"/>
    </row>
    <row r="829">
      <c r="B829" s="4"/>
      <c r="D829" s="242"/>
    </row>
    <row r="830">
      <c r="B830" s="4"/>
      <c r="D830" s="242"/>
    </row>
    <row r="831">
      <c r="B831" s="4"/>
      <c r="D831" s="242"/>
    </row>
    <row r="832">
      <c r="B832" s="4"/>
      <c r="D832" s="242"/>
    </row>
    <row r="833">
      <c r="B833" s="4"/>
      <c r="D833" s="242"/>
    </row>
    <row r="834">
      <c r="B834" s="4"/>
      <c r="D834" s="242"/>
    </row>
    <row r="835">
      <c r="B835" s="4"/>
      <c r="D835" s="242"/>
    </row>
    <row r="836">
      <c r="B836" s="4"/>
      <c r="D836" s="242"/>
    </row>
    <row r="837">
      <c r="B837" s="4"/>
      <c r="D837" s="242"/>
    </row>
    <row r="838">
      <c r="B838" s="4"/>
      <c r="D838" s="242"/>
    </row>
    <row r="839">
      <c r="B839" s="4"/>
      <c r="D839" s="242"/>
    </row>
    <row r="840">
      <c r="B840" s="4"/>
      <c r="D840" s="242"/>
    </row>
    <row r="841">
      <c r="B841" s="4"/>
      <c r="D841" s="242"/>
    </row>
    <row r="842">
      <c r="B842" s="4"/>
      <c r="D842" s="242"/>
    </row>
    <row r="843">
      <c r="B843" s="4"/>
      <c r="D843" s="242"/>
    </row>
    <row r="844">
      <c r="B844" s="4"/>
      <c r="D844" s="242"/>
    </row>
    <row r="845">
      <c r="B845" s="4"/>
      <c r="D845" s="242"/>
    </row>
    <row r="846">
      <c r="B846" s="4"/>
      <c r="D846" s="242"/>
    </row>
    <row r="847">
      <c r="B847" s="4"/>
      <c r="D847" s="242"/>
    </row>
    <row r="848">
      <c r="B848" s="4"/>
      <c r="D848" s="242"/>
    </row>
    <row r="849">
      <c r="B849" s="4"/>
      <c r="D849" s="242"/>
    </row>
    <row r="850">
      <c r="B850" s="4"/>
      <c r="D850" s="242"/>
    </row>
    <row r="851">
      <c r="B851" s="4"/>
      <c r="D851" s="242"/>
    </row>
    <row r="852">
      <c r="B852" s="4"/>
      <c r="D852" s="242"/>
    </row>
    <row r="853">
      <c r="B853" s="4"/>
      <c r="D853" s="242"/>
    </row>
    <row r="854">
      <c r="B854" s="4"/>
      <c r="D854" s="242"/>
    </row>
    <row r="855">
      <c r="B855" s="4"/>
      <c r="D855" s="242"/>
    </row>
    <row r="856">
      <c r="B856" s="4"/>
      <c r="D856" s="242"/>
    </row>
    <row r="857">
      <c r="B857" s="4"/>
      <c r="D857" s="242"/>
    </row>
    <row r="858">
      <c r="B858" s="4"/>
      <c r="D858" s="242"/>
    </row>
    <row r="859">
      <c r="B859" s="4"/>
      <c r="D859" s="242"/>
    </row>
    <row r="860">
      <c r="B860" s="4"/>
      <c r="D860" s="242"/>
    </row>
    <row r="861">
      <c r="B861" s="4"/>
      <c r="D861" s="242"/>
    </row>
    <row r="862">
      <c r="B862" s="4"/>
      <c r="D862" s="242"/>
    </row>
    <row r="863">
      <c r="B863" s="4"/>
      <c r="D863" s="242"/>
    </row>
    <row r="864">
      <c r="B864" s="4"/>
      <c r="D864" s="242"/>
    </row>
    <row r="865">
      <c r="B865" s="4"/>
      <c r="D865" s="242"/>
    </row>
    <row r="866">
      <c r="B866" s="4"/>
      <c r="D866" s="242"/>
    </row>
    <row r="867">
      <c r="B867" s="4"/>
      <c r="D867" s="242"/>
    </row>
    <row r="868">
      <c r="B868" s="4"/>
      <c r="D868" s="242"/>
    </row>
    <row r="869">
      <c r="B869" s="4"/>
      <c r="D869" s="242"/>
    </row>
    <row r="870">
      <c r="B870" s="4"/>
      <c r="D870" s="242"/>
    </row>
    <row r="871">
      <c r="B871" s="4"/>
      <c r="D871" s="242"/>
    </row>
    <row r="872">
      <c r="B872" s="4"/>
      <c r="D872" s="242"/>
    </row>
    <row r="873">
      <c r="B873" s="4"/>
      <c r="D873" s="242"/>
    </row>
    <row r="874">
      <c r="B874" s="4"/>
      <c r="D874" s="242"/>
    </row>
    <row r="875">
      <c r="B875" s="4"/>
      <c r="D875" s="242"/>
    </row>
    <row r="876">
      <c r="B876" s="4"/>
      <c r="D876" s="242"/>
    </row>
    <row r="877">
      <c r="B877" s="4"/>
      <c r="D877" s="242"/>
    </row>
    <row r="878">
      <c r="B878" s="4"/>
      <c r="D878" s="242"/>
    </row>
    <row r="879">
      <c r="B879" s="4"/>
      <c r="D879" s="242"/>
    </row>
    <row r="880">
      <c r="B880" s="4"/>
      <c r="D880" s="242"/>
    </row>
    <row r="881">
      <c r="B881" s="4"/>
      <c r="D881" s="242"/>
    </row>
    <row r="882">
      <c r="B882" s="4"/>
      <c r="D882" s="242"/>
    </row>
    <row r="883">
      <c r="B883" s="4"/>
      <c r="D883" s="242"/>
    </row>
    <row r="884">
      <c r="B884" s="4"/>
      <c r="D884" s="242"/>
    </row>
    <row r="885">
      <c r="B885" s="4"/>
      <c r="D885" s="242"/>
    </row>
    <row r="886">
      <c r="B886" s="4"/>
      <c r="D886" s="242"/>
    </row>
    <row r="887">
      <c r="B887" s="4"/>
      <c r="D887" s="242"/>
    </row>
    <row r="888">
      <c r="B888" s="4"/>
      <c r="D888" s="242"/>
    </row>
    <row r="889">
      <c r="B889" s="4"/>
      <c r="D889" s="242"/>
    </row>
    <row r="890">
      <c r="B890" s="4"/>
      <c r="D890" s="242"/>
    </row>
    <row r="891">
      <c r="B891" s="4"/>
      <c r="D891" s="242"/>
    </row>
    <row r="892">
      <c r="B892" s="4"/>
      <c r="D892" s="242"/>
    </row>
    <row r="893">
      <c r="B893" s="4"/>
      <c r="D893" s="242"/>
    </row>
    <row r="894">
      <c r="B894" s="4"/>
      <c r="D894" s="242"/>
    </row>
    <row r="895">
      <c r="B895" s="4"/>
      <c r="D895" s="242"/>
    </row>
    <row r="896">
      <c r="B896" s="4"/>
      <c r="D896" s="242"/>
    </row>
    <row r="897">
      <c r="B897" s="4"/>
      <c r="D897" s="242"/>
    </row>
    <row r="898">
      <c r="B898" s="4"/>
      <c r="D898" s="242"/>
    </row>
    <row r="899">
      <c r="B899" s="4"/>
      <c r="D899" s="242"/>
    </row>
    <row r="900">
      <c r="B900" s="4"/>
      <c r="D900" s="242"/>
    </row>
    <row r="901">
      <c r="B901" s="4"/>
      <c r="D901" s="242"/>
    </row>
    <row r="902">
      <c r="B902" s="4"/>
      <c r="D902" s="242"/>
    </row>
    <row r="903">
      <c r="B903" s="4"/>
      <c r="D903" s="242"/>
    </row>
    <row r="904">
      <c r="B904" s="4"/>
      <c r="D904" s="242"/>
    </row>
    <row r="905">
      <c r="B905" s="4"/>
      <c r="D905" s="242"/>
    </row>
    <row r="906">
      <c r="B906" s="4"/>
      <c r="D906" s="242"/>
    </row>
    <row r="907">
      <c r="B907" s="4"/>
      <c r="D907" s="242"/>
    </row>
    <row r="908">
      <c r="B908" s="4"/>
      <c r="D908" s="242"/>
    </row>
    <row r="909">
      <c r="B909" s="4"/>
      <c r="D909" s="242"/>
    </row>
    <row r="910">
      <c r="B910" s="4"/>
      <c r="D910" s="242"/>
    </row>
    <row r="911">
      <c r="B911" s="4"/>
      <c r="D911" s="242"/>
    </row>
    <row r="912">
      <c r="B912" s="4"/>
      <c r="D912" s="242"/>
    </row>
    <row r="913">
      <c r="B913" s="4"/>
      <c r="D913" s="242"/>
    </row>
    <row r="914">
      <c r="B914" s="4"/>
      <c r="D914" s="242"/>
    </row>
    <row r="915">
      <c r="B915" s="4"/>
      <c r="D915" s="242"/>
    </row>
    <row r="916">
      <c r="B916" s="4"/>
      <c r="D916" s="242"/>
    </row>
    <row r="917">
      <c r="B917" s="4"/>
      <c r="D917" s="242"/>
    </row>
    <row r="918">
      <c r="B918" s="4"/>
      <c r="D918" s="242"/>
    </row>
    <row r="919">
      <c r="B919" s="4"/>
      <c r="D919" s="242"/>
    </row>
    <row r="920">
      <c r="B920" s="4"/>
      <c r="D920" s="242"/>
    </row>
    <row r="921">
      <c r="B921" s="4"/>
      <c r="D921" s="242"/>
    </row>
    <row r="922">
      <c r="B922" s="4"/>
      <c r="D922" s="242"/>
    </row>
    <row r="923">
      <c r="B923" s="4"/>
      <c r="D923" s="242"/>
    </row>
    <row r="924">
      <c r="B924" s="4"/>
      <c r="D924" s="242"/>
    </row>
    <row r="925">
      <c r="B925" s="4"/>
      <c r="D925" s="242"/>
    </row>
    <row r="926">
      <c r="B926" s="4"/>
      <c r="D926" s="242"/>
    </row>
    <row r="927">
      <c r="B927" s="4"/>
      <c r="D927" s="242"/>
    </row>
    <row r="928">
      <c r="B928" s="4"/>
      <c r="D928" s="242"/>
    </row>
    <row r="929">
      <c r="B929" s="4"/>
      <c r="D929" s="242"/>
    </row>
    <row r="930">
      <c r="B930" s="4"/>
      <c r="D930" s="242"/>
    </row>
    <row r="931">
      <c r="B931" s="4"/>
      <c r="D931" s="242"/>
    </row>
    <row r="932">
      <c r="B932" s="4"/>
      <c r="D932" s="242"/>
    </row>
    <row r="933">
      <c r="B933" s="4"/>
      <c r="D933" s="242"/>
    </row>
    <row r="934">
      <c r="B934" s="4"/>
      <c r="D934" s="242"/>
    </row>
    <row r="935">
      <c r="B935" s="4"/>
      <c r="D935" s="242"/>
    </row>
    <row r="936">
      <c r="B936" s="4"/>
      <c r="D936" s="242"/>
    </row>
    <row r="937">
      <c r="B937" s="4"/>
      <c r="D937" s="242"/>
    </row>
    <row r="938">
      <c r="B938" s="4"/>
      <c r="D938" s="242"/>
    </row>
    <row r="939">
      <c r="B939" s="4"/>
      <c r="D939" s="242"/>
    </row>
    <row r="940">
      <c r="B940" s="4"/>
      <c r="D940" s="242"/>
    </row>
    <row r="941">
      <c r="B941" s="4"/>
      <c r="D941" s="242"/>
    </row>
    <row r="942">
      <c r="B942" s="4"/>
      <c r="D942" s="242"/>
    </row>
    <row r="943">
      <c r="B943" s="4"/>
      <c r="D943" s="242"/>
    </row>
    <row r="944">
      <c r="B944" s="4"/>
      <c r="D944" s="242"/>
    </row>
    <row r="945">
      <c r="B945" s="4"/>
      <c r="D945" s="242"/>
    </row>
    <row r="946">
      <c r="B946" s="4"/>
      <c r="D946" s="242"/>
    </row>
    <row r="947">
      <c r="B947" s="4"/>
      <c r="D947" s="242"/>
    </row>
    <row r="948">
      <c r="B948" s="4"/>
      <c r="D948" s="242"/>
    </row>
    <row r="949">
      <c r="B949" s="4"/>
      <c r="D949" s="242"/>
    </row>
    <row r="950">
      <c r="B950" s="4"/>
      <c r="D950" s="242"/>
    </row>
    <row r="951">
      <c r="B951" s="4"/>
      <c r="D951" s="242"/>
    </row>
    <row r="952">
      <c r="B952" s="4"/>
      <c r="D952" s="242"/>
    </row>
    <row r="953">
      <c r="B953" s="4"/>
      <c r="D953" s="242"/>
    </row>
    <row r="954">
      <c r="B954" s="4"/>
      <c r="D954" s="242"/>
    </row>
    <row r="955">
      <c r="B955" s="4"/>
      <c r="D955" s="242"/>
    </row>
    <row r="956">
      <c r="B956" s="4"/>
      <c r="D956" s="242"/>
    </row>
    <row r="957">
      <c r="B957" s="4"/>
      <c r="D957" s="242"/>
    </row>
    <row r="958">
      <c r="B958" s="4"/>
      <c r="D958" s="242"/>
    </row>
    <row r="959">
      <c r="B959" s="4"/>
      <c r="D959" s="242"/>
    </row>
    <row r="960">
      <c r="B960" s="4"/>
      <c r="D960" s="242"/>
    </row>
    <row r="961">
      <c r="B961" s="4"/>
      <c r="D961" s="242"/>
    </row>
    <row r="962">
      <c r="B962" s="4"/>
      <c r="D962" s="242"/>
    </row>
    <row r="963">
      <c r="B963" s="4"/>
      <c r="D963" s="242"/>
    </row>
    <row r="964">
      <c r="B964" s="4"/>
      <c r="D964" s="242"/>
    </row>
    <row r="965">
      <c r="B965" s="4"/>
      <c r="D965" s="242"/>
    </row>
    <row r="966">
      <c r="B966" s="4"/>
      <c r="D966" s="242"/>
    </row>
    <row r="967">
      <c r="B967" s="4"/>
      <c r="D967" s="242"/>
    </row>
    <row r="968">
      <c r="B968" s="4"/>
      <c r="D968" s="242"/>
    </row>
    <row r="969">
      <c r="B969" s="4"/>
      <c r="D969" s="242"/>
    </row>
    <row r="970">
      <c r="B970" s="4"/>
      <c r="D970" s="242"/>
    </row>
    <row r="971">
      <c r="B971" s="4"/>
      <c r="D971" s="242"/>
    </row>
    <row r="972">
      <c r="B972" s="4"/>
      <c r="D972" s="242"/>
    </row>
    <row r="973">
      <c r="B973" s="4"/>
      <c r="D973" s="242"/>
    </row>
    <row r="974">
      <c r="B974" s="4"/>
      <c r="D974" s="242"/>
    </row>
    <row r="975">
      <c r="B975" s="4"/>
      <c r="D975" s="242"/>
    </row>
    <row r="976">
      <c r="B976" s="4"/>
      <c r="D976" s="242"/>
    </row>
    <row r="977">
      <c r="B977" s="4"/>
      <c r="D977" s="242"/>
    </row>
    <row r="978">
      <c r="B978" s="4"/>
      <c r="D978" s="242"/>
    </row>
    <row r="979">
      <c r="B979" s="4"/>
      <c r="D979" s="242"/>
    </row>
    <row r="980">
      <c r="B980" s="4"/>
      <c r="D980" s="242"/>
    </row>
    <row r="981">
      <c r="B981" s="4"/>
      <c r="D981" s="242"/>
    </row>
    <row r="982">
      <c r="B982" s="4"/>
      <c r="D982" s="242"/>
    </row>
    <row r="983">
      <c r="B983" s="4"/>
      <c r="D983" s="242"/>
    </row>
    <row r="984">
      <c r="B984" s="4"/>
      <c r="D984" s="242"/>
    </row>
    <row r="985">
      <c r="B985" s="4"/>
      <c r="D985" s="242"/>
    </row>
    <row r="986">
      <c r="B986" s="4"/>
      <c r="D986" s="242"/>
    </row>
    <row r="987">
      <c r="B987" s="4"/>
      <c r="D987" s="242"/>
    </row>
    <row r="988">
      <c r="B988" s="4"/>
      <c r="D988" s="242"/>
    </row>
    <row r="989">
      <c r="B989" s="4"/>
      <c r="D989" s="242"/>
    </row>
    <row r="990">
      <c r="B990" s="4"/>
      <c r="D990" s="242"/>
    </row>
    <row r="991">
      <c r="B991" s="4"/>
      <c r="D991" s="242"/>
    </row>
    <row r="992">
      <c r="B992" s="4"/>
      <c r="D992" s="242"/>
    </row>
    <row r="993">
      <c r="B993" s="4"/>
      <c r="D993" s="242"/>
    </row>
    <row r="994">
      <c r="B994" s="4"/>
      <c r="D994" s="242"/>
    </row>
    <row r="995">
      <c r="B995" s="4"/>
      <c r="D995" s="242"/>
    </row>
    <row r="996">
      <c r="B996" s="4"/>
      <c r="D996" s="242"/>
    </row>
    <row r="997">
      <c r="B997" s="4"/>
      <c r="D997" s="242"/>
    </row>
    <row r="998">
      <c r="B998" s="4"/>
      <c r="D998" s="242"/>
    </row>
    <row r="999">
      <c r="B999" s="4"/>
      <c r="D999" s="242"/>
    </row>
  </sheetData>
  <drawing r:id="rId1"/>
</worksheet>
</file>